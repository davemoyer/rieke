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charts/colors6.xml" ContentType="application/vnd.ms-office.chartcolorstyle+xml"/>
  <Override PartName="/xl/charts/style6.xml" ContentType="application/vnd.ms-office.chartstyle+xml"/>
  <Override PartName="/xl/charts/chart6.xml" ContentType="application/vnd.openxmlformats-officedocument.drawingml.chart+xml"/>
  <Override PartName="/xl/worksheets/sheet1.xml" ContentType="application/vnd.openxmlformats-officedocument.spreadsheetml.worksheet+xml"/>
  <Override PartName="/xl/charts/style5.xml" ContentType="application/vnd.ms-office.chartstyle+xml"/>
  <Override PartName="/xl/charts/chart5.xml" ContentType="application/vnd.openxmlformats-officedocument.drawingml.chart+xml"/>
  <Override PartName="/xl/charts/colors5.xml" ContentType="application/vnd.ms-office.chartcolorstyle+xml"/>
  <Override PartName="/xl/charts/style4.xml" ContentType="application/vnd.ms-office.chartstyle+xml"/>
  <Override PartName="/xl/charts/colors4.xml" ContentType="application/vnd.ms-office.chartcolorstyle+xml"/>
  <Override PartName="/xl/charts/style1.xml" ContentType="application/vnd.ms-office.chartstyle+xml"/>
  <Override PartName="/xl/charts/chart1.xml" ContentType="application/vnd.openxmlformats-officedocument.drawingml.chart+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charts/chart2.xml" ContentType="application/vnd.openxmlformats-officedocument.drawingml.chart+xml"/>
  <Override PartName="/xl/charts/colors1.xml" ContentType="application/vnd.ms-office.chartcolorstyle+xml"/>
  <Override PartName="/xl/charts/chart3.xml" ContentType="application/vnd.openxmlformats-officedocument.drawingml.chart+xml"/>
  <Override PartName="/xl/charts/style3.xml" ContentType="application/vnd.ms-office.chartstyle+xml"/>
  <Override PartName="/xl/charts/colors2.xml" ContentType="application/vnd.ms-office.chartcolorstyle+xml"/>
  <Override PartName="/xl/charts/colors3.xml" ContentType="application/vnd.ms-office.chartcolorstyle+xml"/>
  <Override PartName="/xl/charts/style2.xml" ContentType="application/vnd.ms-office.chartstyle+xml"/>
  <Override PartName="/xl/charts/chart4.xml" ContentType="application/vnd.openxmlformats-officedocument.drawingml.chart+xml"/>
  <Override PartName="/docProps/core.xml" ContentType="application/vnd.openxmlformats-package.core-properties+xml"/>
  <Override PartName="/xl/activeX/activeX1.xml" ContentType="application/vnd.ms-office.activeX+xml"/>
  <Override PartName="/xl/calcChain.xml" ContentType="application/vnd.openxmlformats-officedocument.spreadsheetml.calcChain+xml"/>
  <Override PartName="/xl/activeX/activeX1.bin" ContentType="application/vnd.ms-office.activeX"/>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I:\+SCHOOL FINANCE UNIT\SFU SCHOOL-LEVEL EXPENDITURES\Lorene's work\2018-19 data\"/>
    </mc:Choice>
  </mc:AlternateContent>
  <bookViews>
    <workbookView xWindow="0" yWindow="0" windowWidth="26715" windowHeight="10035"/>
  </bookViews>
  <sheets>
    <sheet name="18-19 Charts" sheetId="4" r:id="rId1"/>
    <sheet name="18-19 Data" sheetId="3" r:id="rId2"/>
    <sheet name="Parameters" sheetId="6" r:id="rId3"/>
    <sheet name="Selected Data" sheetId="5" state="hidden" r:id="rId4"/>
  </sheets>
  <definedNames>
    <definedName name="_xlnm._FilterDatabase" localSheetId="1" hidden="1">'18-19 Data'!$A$1:$AV$1373</definedName>
    <definedName name="Data201819">'18-19 Data'!$A$2:$AV$1346</definedName>
    <definedName name="ESL_Range">IF('Selected Data'!$K$2=0,0,('Selected Data'!$K$2)-0.9)</definedName>
    <definedName name="ESLMarkerWidth">IF('Selected Data'!$K$2=0,0,0.8)</definedName>
    <definedName name="Institution">'18-19 Data'!$A$2:$A$1346</definedName>
    <definedName name="Poverty_Marker_Width">IF('Selected Data'!$M$2=0,0,0.8)</definedName>
    <definedName name="Poverty_range">IF('Selected Data'!$M$2=0,0,('Selected Data'!$M$2)-0.9)</definedName>
    <definedName name="SpEd_Range">IF('Selected Data'!$L$2=0,0,('Selected Data'!$L$2)-0.9)</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U2" i="5" l="1"/>
  <c r="B27" i="4" s="1"/>
  <c r="AV2" i="5"/>
  <c r="F27" i="4" s="1"/>
  <c r="AS2" i="5" l="1"/>
  <c r="B19" i="5" s="1"/>
  <c r="AT2" i="5"/>
  <c r="R10" i="5"/>
  <c r="Q10" i="5"/>
  <c r="P10" i="5"/>
  <c r="O10" i="5"/>
  <c r="N10" i="5"/>
  <c r="M10" i="5"/>
  <c r="L10" i="5"/>
  <c r="K10" i="5"/>
  <c r="J10" i="5"/>
  <c r="I10" i="5"/>
  <c r="H10" i="5"/>
  <c r="G10" i="5"/>
  <c r="F10" i="5"/>
  <c r="E10" i="5"/>
  <c r="D10" i="5"/>
  <c r="C10" i="5"/>
  <c r="B10" i="5"/>
  <c r="G7" i="5"/>
  <c r="F7" i="5"/>
  <c r="E7" i="5"/>
  <c r="D7" i="5"/>
  <c r="C7" i="5"/>
  <c r="B7" i="5"/>
  <c r="A8" i="5" l="1"/>
  <c r="AL2" i="5"/>
  <c r="C16" i="5" s="1"/>
  <c r="AM2" i="5"/>
  <c r="B16" i="5" s="1"/>
  <c r="AN2" i="5"/>
  <c r="C18" i="5" s="1"/>
  <c r="AO2" i="5"/>
  <c r="B18" i="5" s="1"/>
  <c r="AP2" i="5"/>
  <c r="C17" i="5" s="1"/>
  <c r="AQ2" i="5"/>
  <c r="B17" i="5" s="1"/>
  <c r="AR2" i="5"/>
  <c r="C19" i="5" s="1"/>
  <c r="T2" i="5"/>
  <c r="C11" i="5" s="1"/>
  <c r="U2" i="5"/>
  <c r="D11" i="5" s="1"/>
  <c r="V2" i="5"/>
  <c r="E12" i="5" s="1"/>
  <c r="W2" i="5"/>
  <c r="F12" i="5" s="1"/>
  <c r="X2" i="5"/>
  <c r="G12" i="5" s="1"/>
  <c r="Y2" i="5"/>
  <c r="H12" i="5" s="1"/>
  <c r="Z2" i="5"/>
  <c r="I12" i="5" s="1"/>
  <c r="AA2" i="5"/>
  <c r="J12" i="5" s="1"/>
  <c r="AB2" i="5"/>
  <c r="K12" i="5" s="1"/>
  <c r="AC2" i="5"/>
  <c r="L13" i="5" s="1"/>
  <c r="AD2" i="5"/>
  <c r="M13" i="5" s="1"/>
  <c r="AE2" i="5"/>
  <c r="N13" i="5" s="1"/>
  <c r="AF2" i="5"/>
  <c r="O13" i="5" s="1"/>
  <c r="AG2" i="5"/>
  <c r="P13" i="5" s="1"/>
  <c r="AH2" i="5"/>
  <c r="Q13" i="5" s="1"/>
  <c r="AI2" i="5"/>
  <c r="R13" i="5" s="1"/>
  <c r="AJ2" i="5"/>
  <c r="AK2" i="5"/>
  <c r="C2" i="5"/>
  <c r="D2" i="5"/>
  <c r="E2" i="5"/>
  <c r="F2" i="5"/>
  <c r="B3" i="4" s="1"/>
  <c r="G2" i="5"/>
  <c r="C6" i="4" s="1"/>
  <c r="H2" i="5"/>
  <c r="B5" i="4" s="1"/>
  <c r="I2" i="5"/>
  <c r="J2" i="5"/>
  <c r="B6" i="4" s="1"/>
  <c r="K2" i="5"/>
  <c r="L2" i="5"/>
  <c r="M2" i="5"/>
  <c r="N2" i="5"/>
  <c r="B8" i="5" s="1"/>
  <c r="O2" i="5"/>
  <c r="C8" i="5" s="1"/>
  <c r="P2" i="5"/>
  <c r="D8" i="5" s="1"/>
  <c r="Q2" i="5"/>
  <c r="E8" i="5" s="1"/>
  <c r="R2" i="5"/>
  <c r="F8" i="5" s="1"/>
  <c r="S2" i="5"/>
  <c r="B2" i="5"/>
  <c r="B11" i="5" l="1"/>
  <c r="G8" i="5"/>
  <c r="D19" i="5"/>
  <c r="D18" i="5"/>
  <c r="D17" i="5"/>
  <c r="D16" i="5"/>
  <c r="D15" i="5" s="1"/>
  <c r="B4" i="4"/>
</calcChain>
</file>

<file path=xl/sharedStrings.xml><?xml version="1.0" encoding="utf-8"?>
<sst xmlns="http://schemas.openxmlformats.org/spreadsheetml/2006/main" count="12594" uniqueCount="2981">
  <si>
    <t>Location</t>
  </si>
  <si>
    <t>District</t>
  </si>
  <si>
    <t>School</t>
  </si>
  <si>
    <t>Charter</t>
  </si>
  <si>
    <t>Direct Classroom Expenditures</t>
  </si>
  <si>
    <t>Classroom Support</t>
  </si>
  <si>
    <t>Building Support</t>
  </si>
  <si>
    <t>Central Support</t>
  </si>
  <si>
    <t>Other Expenditures</t>
  </si>
  <si>
    <t>School Expenditures</t>
  </si>
  <si>
    <t>District Expenditures</t>
  </si>
  <si>
    <t>All Expenditures</t>
  </si>
  <si>
    <t>Adel SD 21, Adel Elementary School</t>
  </si>
  <si>
    <t>Adel SD 21</t>
  </si>
  <si>
    <t>Adel Elementary School</t>
  </si>
  <si>
    <t>Adel SD 21, Adel SD 21</t>
  </si>
  <si>
    <t>Adrian SD 61, Adrian Elementary School</t>
  </si>
  <si>
    <t>Adrian SD 61</t>
  </si>
  <si>
    <t>Adrian Elementary School</t>
  </si>
  <si>
    <t>Adrian SD 61, Adrian High School</t>
  </si>
  <si>
    <t>Adrian High School</t>
  </si>
  <si>
    <t>Alsea SD 7J, Alsea Charter School</t>
  </si>
  <si>
    <t>Alsea SD 7J</t>
  </si>
  <si>
    <t>Alsea Charter School</t>
  </si>
  <si>
    <t>Amity SD 4J, Amity Elementary School</t>
  </si>
  <si>
    <t>Amity SD 4J</t>
  </si>
  <si>
    <t>Amity Elementary School</t>
  </si>
  <si>
    <t>Amity SD 4J, Amity High School</t>
  </si>
  <si>
    <t>Amity High School</t>
  </si>
  <si>
    <t>Amity SD 4J, Amity Middle School</t>
  </si>
  <si>
    <t>Amity Middle School</t>
  </si>
  <si>
    <t>Amity SD 4J, Amity SD 4J</t>
  </si>
  <si>
    <t>Amity SD 4J, Eola Hills Charter School</t>
  </si>
  <si>
    <t>Eola Hills Charter School</t>
  </si>
  <si>
    <t>Annex SD 29, Annex Charter School</t>
  </si>
  <si>
    <t>Annex SD 29</t>
  </si>
  <si>
    <t>Annex Charter School</t>
  </si>
  <si>
    <t>Annex SD 29, Annex SD 29</t>
  </si>
  <si>
    <t>Arlington SD 3, Arlington Community Charter School</t>
  </si>
  <si>
    <t>Arlington SD 3</t>
  </si>
  <si>
    <t>Arlington Community Charter School</t>
  </si>
  <si>
    <t>Arlington SD 3, Arlington SD 3</t>
  </si>
  <si>
    <t>Arock SD 81, W W Jones Elementary School</t>
  </si>
  <si>
    <t>Arock SD 81</t>
  </si>
  <si>
    <t>W W Jones Elementary School</t>
  </si>
  <si>
    <t>Ashland SD 5, Ashland High School</t>
  </si>
  <si>
    <t>Ashland SD 5</t>
  </si>
  <si>
    <t>Ashland High School</t>
  </si>
  <si>
    <t>Ashland SD 5, Ashland Middle School</t>
  </si>
  <si>
    <t>Ashland Middle School</t>
  </si>
  <si>
    <t>Ashland SD 5, Ashland SD 5</t>
  </si>
  <si>
    <t>Ashland SD 5, Bellview Elementary School</t>
  </si>
  <si>
    <t>Bellview Elementary School</t>
  </si>
  <si>
    <t>Ashland SD 5, Helman Elementary School</t>
  </si>
  <si>
    <t>Helman Elementary School</t>
  </si>
  <si>
    <t>Ashland SD 5, Walker Elementary School</t>
  </si>
  <si>
    <t>Walker Elementary School</t>
  </si>
  <si>
    <t>Ashwood SD 8, Ashwood Elementary School</t>
  </si>
  <si>
    <t>Ashwood SD 8</t>
  </si>
  <si>
    <t>Ashwood Elementary School</t>
  </si>
  <si>
    <t>Ashwood SD 8, Ashwood SD 8</t>
  </si>
  <si>
    <t>Astoria SD 1, Astor Elementary School</t>
  </si>
  <si>
    <t>Astoria SD 1</t>
  </si>
  <si>
    <t>Astor Elementary School</t>
  </si>
  <si>
    <t>Astoria SD 1, Astoria Middle School</t>
  </si>
  <si>
    <t>Astoria Middle School</t>
  </si>
  <si>
    <t>Astoria SD 1, Astoria SD 1</t>
  </si>
  <si>
    <t>Astoria SD 1, Astoria Senior High School</t>
  </si>
  <si>
    <t>Astoria Senior High School</t>
  </si>
  <si>
    <t>Astoria SD 1, Lewis &amp; Clark Elementary School</t>
  </si>
  <si>
    <t>Lewis &amp; Clark Elementary School</t>
  </si>
  <si>
    <t>Athena-Weston SD 29RJ, Athena Elementary School</t>
  </si>
  <si>
    <t>Athena-Weston SD 29RJ</t>
  </si>
  <si>
    <t>Athena Elementary School</t>
  </si>
  <si>
    <t>Athena-Weston SD 29RJ, Weston Middle School</t>
  </si>
  <si>
    <t>Weston Middle School</t>
  </si>
  <si>
    <t>Athena-Weston SD 29RJ, Weston-McEwen High School</t>
  </si>
  <si>
    <t>Weston-McEwen High School</t>
  </si>
  <si>
    <t>Baker SD 5J, Baker Early College</t>
  </si>
  <si>
    <t>Baker SD 5J</t>
  </si>
  <si>
    <t>Baker Early College</t>
  </si>
  <si>
    <t>Baker SD 5J, Baker High School</t>
  </si>
  <si>
    <t>Baker High School</t>
  </si>
  <si>
    <t>Baker SD 5J, Baker Middle School</t>
  </si>
  <si>
    <t>Baker Middle School</t>
  </si>
  <si>
    <t>Baker SD 5J, Baker SD 5J</t>
  </si>
  <si>
    <t>Baker SD 5J, Baker Web Academy</t>
  </si>
  <si>
    <t>Baker Web Academy</t>
  </si>
  <si>
    <t>Baker SD 5J, Brooklyn Primary School</t>
  </si>
  <si>
    <t>Brooklyn Primary School</t>
  </si>
  <si>
    <t>Baker SD 5J, EAGLE CAP Innovative HS</t>
  </si>
  <si>
    <t>EAGLE CAP Innovative HS</t>
  </si>
  <si>
    <t>Baker SD 5J, Haines Elementary School</t>
  </si>
  <si>
    <t>Haines Elementary School</t>
  </si>
  <si>
    <t>Baker SD 5J, Keating Elementary School</t>
  </si>
  <si>
    <t>Keating Elementary School</t>
  </si>
  <si>
    <t>Baker SD 5J, South Baker Intermediate School</t>
  </si>
  <si>
    <t>South Baker Intermediate School</t>
  </si>
  <si>
    <t>Bandon SD 54, Bandon Senior High School</t>
  </si>
  <si>
    <t>Bandon SD 54</t>
  </si>
  <si>
    <t>Bandon Senior High School</t>
  </si>
  <si>
    <t>Bandon SD 54, Harbor Lights Middle School</t>
  </si>
  <si>
    <t>Harbor Lights Middle School</t>
  </si>
  <si>
    <t>Bandon SD 54, Ocean Crest Elementary School</t>
  </si>
  <si>
    <t>Ocean Crest Elementary School</t>
  </si>
  <si>
    <t>Banks SD 13, Banks Elementary School</t>
  </si>
  <si>
    <t>Banks SD 13</t>
  </si>
  <si>
    <t>Banks Elementary School</t>
  </si>
  <si>
    <t>Banks SD 13, Banks High School</t>
  </si>
  <si>
    <t>Banks High School</t>
  </si>
  <si>
    <t>Banks SD 13, Banks Middle School</t>
  </si>
  <si>
    <t>Banks Middle School</t>
  </si>
  <si>
    <t>Banks SD 13, Banks SD 13</t>
  </si>
  <si>
    <t>Beaverton SD 48J, Aloha High School</t>
  </si>
  <si>
    <t>Beaverton SD 48J</t>
  </si>
  <si>
    <t>Aloha High School</t>
  </si>
  <si>
    <t>Beaverton SD 48J, Aloha-Huber Park School</t>
  </si>
  <si>
    <t>Aloha-Huber Park School</t>
  </si>
  <si>
    <t>Beaverton SD 48J, Arco Iris Spanish Immersion School</t>
  </si>
  <si>
    <t>Arco Iris Spanish Immersion School</t>
  </si>
  <si>
    <t>Beaverton SD 48J, Arts and Communication Magnet Academy</t>
  </si>
  <si>
    <t>Arts and Communication Magnet Academy</t>
  </si>
  <si>
    <t>Beaverton SD 48J, Barnes Elementary School</t>
  </si>
  <si>
    <t>Barnes Elementary School</t>
  </si>
  <si>
    <t>Beaverton SD 48J, Beaver Acres Elementary School</t>
  </si>
  <si>
    <t>Beaver Acres Elementary School</t>
  </si>
  <si>
    <t>Beaverton SD 48J, Beaverton High School</t>
  </si>
  <si>
    <t>Beaverton High School</t>
  </si>
  <si>
    <t>Beaverton SD 48J, Beaverton SD 48J</t>
  </si>
  <si>
    <t>Beaverton SD 48J, Bethany Elementary School</t>
  </si>
  <si>
    <t>Bethany Elementary School</t>
  </si>
  <si>
    <t>Beaverton SD 48J, Bonny Slope Elementary School</t>
  </si>
  <si>
    <t>Bonny Slope Elementary School</t>
  </si>
  <si>
    <t>Beaverton SD 48J, Cedar Mill Elementary School</t>
  </si>
  <si>
    <t>Cedar Mill Elementary School</t>
  </si>
  <si>
    <t>Beaverton SD 48J, Cedar Park Middle School</t>
  </si>
  <si>
    <t>Cedar Park Middle School</t>
  </si>
  <si>
    <t>Beaverton SD 48J, Chehalem Elementary School</t>
  </si>
  <si>
    <t>Chehalem Elementary School</t>
  </si>
  <si>
    <t>Beaverton SD 48J, Community School</t>
  </si>
  <si>
    <t>Community School</t>
  </si>
  <si>
    <t>Beaverton SD 48J, Conestoga Middle School</t>
  </si>
  <si>
    <t>Conestoga Middle School</t>
  </si>
  <si>
    <t>Beaverton SD 48J, Cooper Mountain Elementary School</t>
  </si>
  <si>
    <t>Cooper Mountain Elementary School</t>
  </si>
  <si>
    <t>Beaverton SD 48J, Elmonica Elementary School</t>
  </si>
  <si>
    <t>Elmonica Elementary School</t>
  </si>
  <si>
    <t>Beaverton SD 48J, Errol Hassell Elementary School</t>
  </si>
  <si>
    <t>Errol Hassell Elementary School</t>
  </si>
  <si>
    <t>Beaverton SD 48J, Findley Elementary</t>
  </si>
  <si>
    <t>Findley Elementary</t>
  </si>
  <si>
    <t>Beaverton SD 48J, Fir Grove Elementary School</t>
  </si>
  <si>
    <t>Fir Grove Elementary School</t>
  </si>
  <si>
    <t>Beaverton SD 48J, Five Oaks Middle School</t>
  </si>
  <si>
    <t>Five Oaks Middle School</t>
  </si>
  <si>
    <t>Beaverton SD 48J, Greenway Elementary School</t>
  </si>
  <si>
    <t>Greenway Elementary School</t>
  </si>
  <si>
    <t>Beaverton SD 48J, Hazeldale Elementary School</t>
  </si>
  <si>
    <t>Hazeldale Elementary School</t>
  </si>
  <si>
    <t>Beaverton SD 48J, Health &amp; Science School</t>
  </si>
  <si>
    <t>Health &amp; Science School</t>
  </si>
  <si>
    <t>Beaverton SD 48J, Highland Park Middle School</t>
  </si>
  <si>
    <t>Highland Park Middle School</t>
  </si>
  <si>
    <t>Beaverton SD 48J, Hiteon Elementary School</t>
  </si>
  <si>
    <t>Hiteon Elementary School</t>
  </si>
  <si>
    <t>Beaverton SD 48J, Hope Chinese Charter School</t>
  </si>
  <si>
    <t>Hope Chinese Charter School</t>
  </si>
  <si>
    <t>Beaverton SD 48J, International School of Beaverton</t>
  </si>
  <si>
    <t>International School of Beaverton</t>
  </si>
  <si>
    <t>Beaverton SD 48J, Jacob Wismer Elementary School</t>
  </si>
  <si>
    <t>Jacob Wismer Elementary School</t>
  </si>
  <si>
    <t>Beaverton SD 48J, Kinnaman Elementary School</t>
  </si>
  <si>
    <t>Kinnaman Elementary School</t>
  </si>
  <si>
    <t>Beaverton SD 48J, McKay Elementary School</t>
  </si>
  <si>
    <t>McKay Elementary School</t>
  </si>
  <si>
    <t>Beaverton SD 48J, McKinley Elementary School</t>
  </si>
  <si>
    <t>McKinley Elementary School</t>
  </si>
  <si>
    <t>Beaverton SD 48J, Meadow Park Middle School</t>
  </si>
  <si>
    <t>Meadow Park Middle School</t>
  </si>
  <si>
    <t>Beaverton SD 48J, Montclair Elementary School</t>
  </si>
  <si>
    <t>Montclair Elementary School</t>
  </si>
  <si>
    <t>Beaverton SD 48J, Mountain View Middle School</t>
  </si>
  <si>
    <t>Mountain View Middle School</t>
  </si>
  <si>
    <t>Beaverton SD 48J, Nancy Ryles Elementary School</t>
  </si>
  <si>
    <t>Nancy Ryles Elementary School</t>
  </si>
  <si>
    <t>Beaverton SD 48J, Oak Hills Elementary School</t>
  </si>
  <si>
    <t>Oak Hills Elementary School</t>
  </si>
  <si>
    <t>Beaverton SD 48J, Raleigh Hills Elementary School</t>
  </si>
  <si>
    <t>Raleigh Hills Elementary School</t>
  </si>
  <si>
    <t>Beaverton SD 48J, Raleigh Park Elementary School</t>
  </si>
  <si>
    <t>Raleigh Park Elementary School</t>
  </si>
  <si>
    <t>Beaverton SD 48J, Ridgewood Elementary School</t>
  </si>
  <si>
    <t>Ridgewood Elementary School</t>
  </si>
  <si>
    <t>Beaverton SD 48J, Rock Creek Elementary School</t>
  </si>
  <si>
    <t>Rock Creek Elementary School</t>
  </si>
  <si>
    <t>Beaverton SD 48J, Scholls Heights Elementary School</t>
  </si>
  <si>
    <t>Scholls Heights Elementary School</t>
  </si>
  <si>
    <t>Beaverton SD 48J, School of Science &amp; Technology</t>
  </si>
  <si>
    <t>School of Science &amp; Technology</t>
  </si>
  <si>
    <t>Beaverton SD 48J, Sexton Mountain Elementary School</t>
  </si>
  <si>
    <t>Sexton Mountain Elementary School</t>
  </si>
  <si>
    <t>Beaverton SD 48J, Southridge High School</t>
  </si>
  <si>
    <t>Southridge High School</t>
  </si>
  <si>
    <t>Beaverton SD 48J, Springville K-8 School</t>
  </si>
  <si>
    <t>Springville K-8 School</t>
  </si>
  <si>
    <t>Beaverton SD 48J, Stoller Middle School</t>
  </si>
  <si>
    <t>Stoller Middle School</t>
  </si>
  <si>
    <t>Beaverton SD 48J, Sunset High School</t>
  </si>
  <si>
    <t>Sunset High School</t>
  </si>
  <si>
    <t>Beaverton SD 48J, Terra Linda Elementary School</t>
  </si>
  <si>
    <t>Terra Linda Elementary School</t>
  </si>
  <si>
    <t>Beaverton SD 48J, Vose Elementary School</t>
  </si>
  <si>
    <t>Vose Elementary School</t>
  </si>
  <si>
    <t>Beaverton SD 48J, West Tualatin View Elementary School</t>
  </si>
  <si>
    <t>West Tualatin View Elementary School</t>
  </si>
  <si>
    <t>Beaverton SD 48J, Westview High School</t>
  </si>
  <si>
    <t>Westview High School</t>
  </si>
  <si>
    <t>Beaverton SD 48J, Whitford Middle School</t>
  </si>
  <si>
    <t>Whitford Middle School</t>
  </si>
  <si>
    <t>Beaverton SD 48J, William Walker Elementary School</t>
  </si>
  <si>
    <t>William Walker Elementary School</t>
  </si>
  <si>
    <t>Bend-LaPine Administrative SD 1, Amity Creek Elementary School</t>
  </si>
  <si>
    <t>Bend-LaPine Administrative SD 1</t>
  </si>
  <si>
    <t>Amity Creek Elementary School</t>
  </si>
  <si>
    <t>Bend-LaPine Administrative SD 1, Bear Creek Elementary School</t>
  </si>
  <si>
    <t>Bear Creek Elementary School</t>
  </si>
  <si>
    <t>Bend-LaPine Administrative SD 1, Bend International School</t>
  </si>
  <si>
    <t>Bend International School</t>
  </si>
  <si>
    <t>Bend-LaPine Administrative SD 1, Bend Senior High School</t>
  </si>
  <si>
    <t>Bend Senior High School</t>
  </si>
  <si>
    <t>Bend-LaPine Administrative SD 1, Bend-LaPine Administrative SD 1</t>
  </si>
  <si>
    <t>Bend-LaPine Administrative SD 1, Buckingham Elementary School</t>
  </si>
  <si>
    <t>Buckingham Elementary School</t>
  </si>
  <si>
    <t>Bend-LaPine Administrative SD 1, Cascade Middle School</t>
  </si>
  <si>
    <t>Cascade Middle School</t>
  </si>
  <si>
    <t>Bend-LaPine Administrative SD 1, Elk Meadow Elementary School</t>
  </si>
  <si>
    <t>Elk Meadow Elementary School</t>
  </si>
  <si>
    <t>Bend-LaPine Administrative SD 1, Ensworth Elementary School</t>
  </si>
  <si>
    <t>Ensworth Elementary School</t>
  </si>
  <si>
    <t>Bend-LaPine Administrative SD 1, High Desert Middle School</t>
  </si>
  <si>
    <t>High Desert Middle School</t>
  </si>
  <si>
    <t>Bend-LaPine Administrative SD 1, High Lakes Elementary School</t>
  </si>
  <si>
    <t>High Lakes Elementary School</t>
  </si>
  <si>
    <t>Bend-LaPine Administrative SD 1, Highland School at Kenwood Elementary School</t>
  </si>
  <si>
    <t>Highland School at Kenwood Elementary School</t>
  </si>
  <si>
    <t>Bend-LaPine Administrative SD 1, Juniper Elementary School</t>
  </si>
  <si>
    <t>Juniper Elementary School</t>
  </si>
  <si>
    <t>Bend-LaPine Administrative SD 1, LaPine Elementary School</t>
  </si>
  <si>
    <t>LaPine Elementary School</t>
  </si>
  <si>
    <t>Bend-LaPine Administrative SD 1, LaPine Middle School</t>
  </si>
  <si>
    <t>LaPine Middle School</t>
  </si>
  <si>
    <t>Bend-LaPine Administrative SD 1, LaPine Senior High School</t>
  </si>
  <si>
    <t>LaPine Senior High School</t>
  </si>
  <si>
    <t>Bend-LaPine Administrative SD 1, Lava Ridge Elementary School</t>
  </si>
  <si>
    <t>Lava Ridge Elementary School</t>
  </si>
  <si>
    <t>Bend-LaPine Administrative SD 1, Marshall High School</t>
  </si>
  <si>
    <t>Marshall High School</t>
  </si>
  <si>
    <t>Bend-LaPine Administrative SD 1, Mountain View Senior High School</t>
  </si>
  <si>
    <t>Mountain View Senior High School</t>
  </si>
  <si>
    <t>Bend-LaPine Administrative SD 1, Pacific Crest Middle School</t>
  </si>
  <si>
    <t>Pacific Crest Middle School</t>
  </si>
  <si>
    <t>Bend-LaPine Administrative SD 1, Pilot Butte Middle School</t>
  </si>
  <si>
    <t>Pilot Butte Middle School</t>
  </si>
  <si>
    <t>Bend-LaPine Administrative SD 1, Pine Ridge Elementary</t>
  </si>
  <si>
    <t>Pine Ridge Elementary</t>
  </si>
  <si>
    <t>Bend-LaPine Administrative SD 1, Ponderosa Elementary</t>
  </si>
  <si>
    <t>Ponderosa Elementary</t>
  </si>
  <si>
    <t>Bend-LaPine Administrative SD 1, R E Jewell Elementary School</t>
  </si>
  <si>
    <t>R E Jewell Elementary School</t>
  </si>
  <si>
    <t>Bend-LaPine Administrative SD 1, Realms Middle School</t>
  </si>
  <si>
    <t>Realms Middle School</t>
  </si>
  <si>
    <t>Bend-LaPine Administrative SD 1, Rosland Elementary</t>
  </si>
  <si>
    <t>Rosland Elementary</t>
  </si>
  <si>
    <t>Bend-LaPine Administrative SD 1, Silver Rail Elementary School</t>
  </si>
  <si>
    <t>Silver Rail Elementary School</t>
  </si>
  <si>
    <t>Bend-LaPine Administrative SD 1, Sky View Middle School</t>
  </si>
  <si>
    <t>Sky View Middle School</t>
  </si>
  <si>
    <t>Bend-LaPine Administrative SD 1, Summit High School</t>
  </si>
  <si>
    <t>Summit High School</t>
  </si>
  <si>
    <t>Bend-LaPine Administrative SD 1, Three Rivers Elementary School</t>
  </si>
  <si>
    <t>Three Rivers Elementary School</t>
  </si>
  <si>
    <t>Bend-LaPine Administrative SD 1, Westside Village Magnet School at Kingston Elementary School</t>
  </si>
  <si>
    <t>Westside Village Magnet School at Kingston Elementary School</t>
  </si>
  <si>
    <t>Bend-LaPine Administrative SD 1, William E Miller Elementary</t>
  </si>
  <si>
    <t>William E Miller Elementary</t>
  </si>
  <si>
    <t>Bethel SD 52, Bethel SD 52</t>
  </si>
  <si>
    <t>Bethel SD 52</t>
  </si>
  <si>
    <t>Bethel SD 52, Cascade Middle School</t>
  </si>
  <si>
    <t>Bethel SD 52, Clear Lake Elementary School</t>
  </si>
  <si>
    <t>Clear Lake Elementary School</t>
  </si>
  <si>
    <t>Bethel SD 52, Danebo Elementary School</t>
  </si>
  <si>
    <t>Danebo Elementary School</t>
  </si>
  <si>
    <t>Bethel SD 52, Fairfield Elementary School</t>
  </si>
  <si>
    <t>Fairfield Elementary School</t>
  </si>
  <si>
    <t>Bethel SD 52, Irving Elementary School</t>
  </si>
  <si>
    <t>Irving Elementary School</t>
  </si>
  <si>
    <t>Bethel SD 52, Kalapuya High School</t>
  </si>
  <si>
    <t>Kalapuya High School</t>
  </si>
  <si>
    <t>Bethel SD 52, Malabon Elementary School</t>
  </si>
  <si>
    <t>Malabon Elementary School</t>
  </si>
  <si>
    <t>Bethel SD 52, Meadow View School</t>
  </si>
  <si>
    <t>Meadow View School</t>
  </si>
  <si>
    <t>Bethel SD 52, Prairie Mountain School</t>
  </si>
  <si>
    <t>Prairie Mountain School</t>
  </si>
  <si>
    <t>Bethel SD 52, Shasta Middle School</t>
  </si>
  <si>
    <t>Shasta Middle School</t>
  </si>
  <si>
    <t>Bethel SD 52, Willamette High School</t>
  </si>
  <si>
    <t>Willamette High School</t>
  </si>
  <si>
    <t>Blachly SD 90, Blachly SD 90</t>
  </si>
  <si>
    <t>Blachly SD 90</t>
  </si>
  <si>
    <t>Blachly SD 90, Triangle Lake Charter School</t>
  </si>
  <si>
    <t>Triangle Lake Charter School</t>
  </si>
  <si>
    <t>Black Butte SD 41, Black Butte Elementary School</t>
  </si>
  <si>
    <t>Black Butte SD 41</t>
  </si>
  <si>
    <t>Black Butte Elementary School</t>
  </si>
  <si>
    <t>Black Butte SD 41, Black Butte SD 41</t>
  </si>
  <si>
    <t>Brookings-Harbor SD 17C, Azalea Middle School</t>
  </si>
  <si>
    <t>Brookings-Harbor SD 17C</t>
  </si>
  <si>
    <t>Azalea Middle School</t>
  </si>
  <si>
    <t>Brookings-Harbor SD 17C, Brookings-Harbor High School</t>
  </si>
  <si>
    <t>Brookings-Harbor High School</t>
  </si>
  <si>
    <t>Brookings-Harbor SD 17C, Kalmiopsis Elementary School</t>
  </si>
  <si>
    <t>Kalmiopsis Elementary School</t>
  </si>
  <si>
    <t>Burnt River SD 30J, Burnt River School</t>
  </si>
  <si>
    <t>Burnt River SD 30J</t>
  </si>
  <si>
    <t>Burnt River School</t>
  </si>
  <si>
    <t>Butte Falls SD 91, Butte Falls Charter School</t>
  </si>
  <si>
    <t>Butte Falls SD 91</t>
  </si>
  <si>
    <t>Butte Falls Charter School</t>
  </si>
  <si>
    <t>Camas Valley SD 21J, Camas Valley School</t>
  </si>
  <si>
    <t>Camas Valley SD 21J</t>
  </si>
  <si>
    <t>Camas Valley School</t>
  </si>
  <si>
    <t>Canby SD 86, Baker Prairie Middle School</t>
  </si>
  <si>
    <t>Canby SD 86</t>
  </si>
  <si>
    <t>Baker Prairie Middle School</t>
  </si>
  <si>
    <t>Canby SD 86, Canby High School</t>
  </si>
  <si>
    <t>Canby High School</t>
  </si>
  <si>
    <t>Canby SD 86, Canby SD 86</t>
  </si>
  <si>
    <t>Canby SD 86, Carus School</t>
  </si>
  <si>
    <t>Carus School</t>
  </si>
  <si>
    <t>Canby SD 86, Cecile Trost Elementary School</t>
  </si>
  <si>
    <t>Cecile Trost Elementary School</t>
  </si>
  <si>
    <t>Canby SD 86, Howard Eccles Elementary School</t>
  </si>
  <si>
    <t>Howard Eccles Elementary School</t>
  </si>
  <si>
    <t>Canby SD 86, Ninety-One School</t>
  </si>
  <si>
    <t>Ninety-One School</t>
  </si>
  <si>
    <t>Canby SD 86, Philander Lee Elementary School</t>
  </si>
  <si>
    <t>Philander Lee Elementary School</t>
  </si>
  <si>
    <t>Canby SD 86, William Knight Elementary School</t>
  </si>
  <si>
    <t>William Knight Elementary School</t>
  </si>
  <si>
    <t>Cascade SD 5, Aumsville Elementary School</t>
  </si>
  <si>
    <t>Cascade SD 5</t>
  </si>
  <si>
    <t>Aumsville Elementary School</t>
  </si>
  <si>
    <t>Cascade SD 5, Cascade Junior High School</t>
  </si>
  <si>
    <t>Cascade Junior High School</t>
  </si>
  <si>
    <t>Cascade SD 5, Cascade SD 5</t>
  </si>
  <si>
    <t>Cascade SD 5, Cascade Senior High School</t>
  </si>
  <si>
    <t>Cascade Senior High School</t>
  </si>
  <si>
    <t>Cascade SD 5, Cloverdale Elementary School</t>
  </si>
  <si>
    <t>Cloverdale Elementary School</t>
  </si>
  <si>
    <t>Cascade SD 5, Turner Elementary School</t>
  </si>
  <si>
    <t>Turner Elementary School</t>
  </si>
  <si>
    <t>Centennial SD 28J, Butler Creek Elementary School</t>
  </si>
  <si>
    <t>Centennial SD 28J</t>
  </si>
  <si>
    <t>Butler Creek Elementary School</t>
  </si>
  <si>
    <t>Centennial SD 28J, Centennial High School</t>
  </si>
  <si>
    <t>Centennial High School</t>
  </si>
  <si>
    <t>Centennial SD 28J, Centennial Middle School</t>
  </si>
  <si>
    <t>Centennial Middle School</t>
  </si>
  <si>
    <t>Centennial SD 28J, Centennial Park School</t>
  </si>
  <si>
    <t>Centennial Park School</t>
  </si>
  <si>
    <t>Centennial SD 28J, Centennial SD 28J</t>
  </si>
  <si>
    <t>Centennial SD 28J, Meadows Elementary</t>
  </si>
  <si>
    <t>Meadows Elementary</t>
  </si>
  <si>
    <t>Centennial SD 28J, Oliver Elementary School</t>
  </si>
  <si>
    <t>Oliver Elementary School</t>
  </si>
  <si>
    <t>Centennial SD 28J, Parklane Elementary School</t>
  </si>
  <si>
    <t>Parklane Elementary School</t>
  </si>
  <si>
    <t>Centennial SD 28J, Patrick Lynch Elementary</t>
  </si>
  <si>
    <t>Patrick Lynch Elementary</t>
  </si>
  <si>
    <t>Centennial SD 28J, Pleasant Valley Elementary School</t>
  </si>
  <si>
    <t>Pleasant Valley Elementary School</t>
  </si>
  <si>
    <t>Centennial SD 28J, Powell Butte Elementary School</t>
  </si>
  <si>
    <t>Powell Butte Elementary School</t>
  </si>
  <si>
    <t>Central Curry SD 1, Gold Beach High School</t>
  </si>
  <si>
    <t>Central Curry SD 1</t>
  </si>
  <si>
    <t>Gold Beach High School</t>
  </si>
  <si>
    <t>Central Curry SD 1, Riley Creek Elementary School</t>
  </si>
  <si>
    <t>Riley Creek Elementary School</t>
  </si>
  <si>
    <t>Central Linn SD 552, Central Linn Elementary School</t>
  </si>
  <si>
    <t>Central Linn SD 552</t>
  </si>
  <si>
    <t>Central Linn Elementary School</t>
  </si>
  <si>
    <t>Central Linn SD 552, Central Linn High School</t>
  </si>
  <si>
    <t>Central Linn High School</t>
  </si>
  <si>
    <t>Central Point SD 6, Central Point Elementary School</t>
  </si>
  <si>
    <t>Central Point SD 6</t>
  </si>
  <si>
    <t>Central Point Elementary School</t>
  </si>
  <si>
    <t>Central Point SD 6, Central Point SD 6</t>
  </si>
  <si>
    <t>Central Point SD 6, Crater Academy of Health and Public Services</t>
  </si>
  <si>
    <t>Crater Academy of Health and Public Services</t>
  </si>
  <si>
    <t>Central Point SD 6, Crater Renaissance Academy</t>
  </si>
  <si>
    <t>Crater Renaissance Academy</t>
  </si>
  <si>
    <t>Central Point SD 6, Crater School of Business Innovation and Science</t>
  </si>
  <si>
    <t>Crater School of Business Innovation and Science</t>
  </si>
  <si>
    <t>Central Point SD 6, Hanby Middle School</t>
  </si>
  <si>
    <t>Hanby Middle School</t>
  </si>
  <si>
    <t>Central Point SD 6, Jewett Elementary School</t>
  </si>
  <si>
    <t>Jewett Elementary School</t>
  </si>
  <si>
    <t>Central Point SD 6, Patrick Elementary School</t>
  </si>
  <si>
    <t>Patrick Elementary School</t>
  </si>
  <si>
    <t>Central Point SD 6, Richardson Elementary School</t>
  </si>
  <si>
    <t>Richardson Elementary School</t>
  </si>
  <si>
    <t>Central Point SD 6, Sams Valley Elementary School</t>
  </si>
  <si>
    <t>Sams Valley Elementary School</t>
  </si>
  <si>
    <t>Central Point SD 6, Scenic Middle School</t>
  </si>
  <si>
    <t>Scenic Middle School</t>
  </si>
  <si>
    <t>Central SD 13J, Ash Creek Elementary School</t>
  </si>
  <si>
    <t>Central SD 13J</t>
  </si>
  <si>
    <t>Ash Creek Elementary School</t>
  </si>
  <si>
    <t>Central SD 13J, Central High School</t>
  </si>
  <si>
    <t>Central High School</t>
  </si>
  <si>
    <t>Central SD 13J, Central SD 13J</t>
  </si>
  <si>
    <t>Central SD 13J, Independence Elementary School</t>
  </si>
  <si>
    <t>Independence Elementary School</t>
  </si>
  <si>
    <t>Central SD 13J, Monmouth Elementary School</t>
  </si>
  <si>
    <t>Monmouth Elementary School</t>
  </si>
  <si>
    <t>Central SD 13J, Talmadge Middle School</t>
  </si>
  <si>
    <t>Talmadge Middle School</t>
  </si>
  <si>
    <t>Clackamas ESD, Clackamas ESD</t>
  </si>
  <si>
    <t>Clackamas ESD</t>
  </si>
  <si>
    <t>Clatskanie SD 6J, Clatskanie Elementary School</t>
  </si>
  <si>
    <t>Clatskanie SD 6J</t>
  </si>
  <si>
    <t>Clatskanie Elementary School</t>
  </si>
  <si>
    <t>Clatskanie SD 6J, Clatskanie Middle/High School</t>
  </si>
  <si>
    <t>Clatskanie Middle/High School</t>
  </si>
  <si>
    <t>Colton SD 53, Colton Elementary School</t>
  </si>
  <si>
    <t>Colton SD 53</t>
  </si>
  <si>
    <t>Colton Elementary School</t>
  </si>
  <si>
    <t>Colton SD 53, Colton High School</t>
  </si>
  <si>
    <t>Colton High School</t>
  </si>
  <si>
    <t>Colton SD 53, Colton Middle School</t>
  </si>
  <si>
    <t>Colton Middle School</t>
  </si>
  <si>
    <t>Colton SD 53, Colton SD 53</t>
  </si>
  <si>
    <t>Columbia Gorge ESD, Columbia Gorge ESD</t>
  </si>
  <si>
    <t>Columbia Gorge ESD</t>
  </si>
  <si>
    <t>Condon SD 25J, Condon Elementary School</t>
  </si>
  <si>
    <t>Condon SD 25J</t>
  </si>
  <si>
    <t>Condon Elementary School</t>
  </si>
  <si>
    <t>Condon SD 25J, Condon High School</t>
  </si>
  <si>
    <t>Condon High School</t>
  </si>
  <si>
    <t>Coos Bay SD 9, Blossom Gulch Elementary School</t>
  </si>
  <si>
    <t>Coos Bay SD 9</t>
  </si>
  <si>
    <t>Blossom Gulch Elementary School</t>
  </si>
  <si>
    <t>Coos Bay SD 9, Coos Bay SD 9</t>
  </si>
  <si>
    <t>Coos Bay SD 9, Destinations Academy</t>
  </si>
  <si>
    <t>Destinations Academy</t>
  </si>
  <si>
    <t>Coos Bay SD 9, Madison Elementary School</t>
  </si>
  <si>
    <t>Madison Elementary School</t>
  </si>
  <si>
    <t>Coos Bay SD 9, Marshfield Senior High School</t>
  </si>
  <si>
    <t>Marshfield Senior High School</t>
  </si>
  <si>
    <t>Coos Bay SD 9, Millicoma School</t>
  </si>
  <si>
    <t>Millicoma School</t>
  </si>
  <si>
    <t>Coos Bay SD 9, Resource Link Charter School</t>
  </si>
  <si>
    <t>Resource Link Charter School</t>
  </si>
  <si>
    <t>Coos Bay SD 9, Sunset School</t>
  </si>
  <si>
    <t>Sunset School</t>
  </si>
  <si>
    <t>Coquille SD 8, Coquille Junior Senior High</t>
  </si>
  <si>
    <t>Coquille SD 8</t>
  </si>
  <si>
    <t>Coquille Junior Senior High</t>
  </si>
  <si>
    <t>Coquille SD 8, Coquille SD 8</t>
  </si>
  <si>
    <t>Coquille SD 8, Coquille Valley Elementary</t>
  </si>
  <si>
    <t>Coquille Valley Elementary</t>
  </si>
  <si>
    <t>Coquille SD 8, Lincoln School of Early Learning</t>
  </si>
  <si>
    <t>Lincoln School of Early Learning</t>
  </si>
  <si>
    <t>Coquille SD 8, Winter Lakes School</t>
  </si>
  <si>
    <t>Winter Lakes School</t>
  </si>
  <si>
    <t>Corbett SD 39, Corbett School</t>
  </si>
  <si>
    <t>Corbett SD 39</t>
  </si>
  <si>
    <t>Corbett School</t>
  </si>
  <si>
    <t>Corbett SD 39, Corbett SD 39</t>
  </si>
  <si>
    <t>Corvallis SD 509J, Adams Elementary School</t>
  </si>
  <si>
    <t>Corvallis SD 509J</t>
  </si>
  <si>
    <t>Adams Elementary School</t>
  </si>
  <si>
    <t>Corvallis SD 509J, Cheldelin Middle School</t>
  </si>
  <si>
    <t>Cheldelin Middle School</t>
  </si>
  <si>
    <t>Corvallis SD 509J, Corvallis High School</t>
  </si>
  <si>
    <t>Corvallis High School</t>
  </si>
  <si>
    <t>Corvallis SD 509J, Corvallis SD 509J</t>
  </si>
  <si>
    <t>Corvallis SD 509J, Crescent Valley High School</t>
  </si>
  <si>
    <t>Crescent Valley High School</t>
  </si>
  <si>
    <t>Corvallis SD 509J, Franklin School</t>
  </si>
  <si>
    <t>Franklin School</t>
  </si>
  <si>
    <t>Corvallis SD 509J, Garfield Elementary School</t>
  </si>
  <si>
    <t>Garfield Elementary School</t>
  </si>
  <si>
    <t>Corvallis SD 509J, Hoover Elementary School</t>
  </si>
  <si>
    <t>Hoover Elementary School</t>
  </si>
  <si>
    <t xml:space="preserve">Corvallis SD 509J, Inavale Community Partners dba Muddy Creek Charter School </t>
  </si>
  <si>
    <t xml:space="preserve">Inavale Community Partners dba Muddy Creek Charter School </t>
  </si>
  <si>
    <t>Corvallis SD 509J, Jefferson Elementary School</t>
  </si>
  <si>
    <t>Jefferson Elementary School</t>
  </si>
  <si>
    <t>Corvallis SD 509J, Lincoln Elementary School</t>
  </si>
  <si>
    <t>Lincoln Elementary School</t>
  </si>
  <si>
    <t>Corvallis SD 509J, Linus Pauling Middle School</t>
  </si>
  <si>
    <t>Linus Pauling Middle School</t>
  </si>
  <si>
    <t>Corvallis SD 509J, Mt View Elementary School</t>
  </si>
  <si>
    <t>Mt View Elementary School</t>
  </si>
  <si>
    <t>Corvallis SD 509J, Wilson Elementary School</t>
  </si>
  <si>
    <t>Wilson Elementary School</t>
  </si>
  <si>
    <t>Cove SD 15, Cove Charter School</t>
  </si>
  <si>
    <t>Cove SD 15</t>
  </si>
  <si>
    <t>Cove Charter School</t>
  </si>
  <si>
    <t>Creswell SD 40, Creslane Elementary School</t>
  </si>
  <si>
    <t>Creswell SD 40</t>
  </si>
  <si>
    <t>Creslane Elementary School</t>
  </si>
  <si>
    <t>Creswell SD 40, Creswell High School</t>
  </si>
  <si>
    <t>Creswell High School</t>
  </si>
  <si>
    <t>Creswell SD 40, Creswell Middle School</t>
  </si>
  <si>
    <t>Creswell Middle School</t>
  </si>
  <si>
    <t>Creswell SD 40, Creswell SD 40</t>
  </si>
  <si>
    <t>Crook County SD, Barnes Butte Elementary</t>
  </si>
  <si>
    <t>Crook County SD</t>
  </si>
  <si>
    <t>Barnes Butte Elementary</t>
  </si>
  <si>
    <t>Crook County SD, Brothers Elementary School</t>
  </si>
  <si>
    <t>Brothers Elementary School</t>
  </si>
  <si>
    <t>Crook County SD, Crook County High School</t>
  </si>
  <si>
    <t>Crook County High School</t>
  </si>
  <si>
    <t>Crook County SD, Crook County Middle School</t>
  </si>
  <si>
    <t>Crook County Middle School</t>
  </si>
  <si>
    <t>Crook County SD, Crook County SD</t>
  </si>
  <si>
    <t>Crook County SD, Crooked River Elementary School</t>
  </si>
  <si>
    <t>Crooked River Elementary School</t>
  </si>
  <si>
    <t>Insight School of Oregon Painted Hills</t>
  </si>
  <si>
    <t>Crook County SD, Paulina School</t>
  </si>
  <si>
    <t>Paulina School</t>
  </si>
  <si>
    <t>Crook County SD, Pioneer Secondary Alternative High School</t>
  </si>
  <si>
    <t>Pioneer Secondary Alternative High School</t>
  </si>
  <si>
    <t>Crook County SD, Powell Butte Community Charter School</t>
  </si>
  <si>
    <t>Powell Butte Community Charter School</t>
  </si>
  <si>
    <t>Crow-Applegate-Lorane SD 66, Applegate Elementary School</t>
  </si>
  <si>
    <t>Crow-Applegate-Lorane SD 66</t>
  </si>
  <si>
    <t>Applegate Elementary School</t>
  </si>
  <si>
    <t>Crow-Applegate-Lorane SD 66, Crow Middle/High School</t>
  </si>
  <si>
    <t>Crow Middle/High School</t>
  </si>
  <si>
    <t>Crow-Applegate-Lorane SD 66, Crow-Applegate-Lorane SD 66</t>
  </si>
  <si>
    <t>Culver SD 4, Culver Elementary School</t>
  </si>
  <si>
    <t>Culver SD 4</t>
  </si>
  <si>
    <t>Culver Elementary School</t>
  </si>
  <si>
    <t>Culver SD 4, Culver High School</t>
  </si>
  <si>
    <t>Culver High School</t>
  </si>
  <si>
    <t>Culver SD 4, Culver Middle School</t>
  </si>
  <si>
    <t>Culver Middle School</t>
  </si>
  <si>
    <t>Dallas SD 2, Dallas Community Charter</t>
  </si>
  <si>
    <t>Dallas SD 2</t>
  </si>
  <si>
    <t>Dallas Community Charter</t>
  </si>
  <si>
    <t>Dallas SD 2, Dallas High School</t>
  </si>
  <si>
    <t>Dallas High School</t>
  </si>
  <si>
    <t>Dallas SD 2, Dallas SD 2</t>
  </si>
  <si>
    <t>Dallas SD 2, LaCreole Middle School</t>
  </si>
  <si>
    <t>LaCreole Middle School</t>
  </si>
  <si>
    <t>Dallas SD 2, Luckiamute Valley Charter School</t>
  </si>
  <si>
    <t>Luckiamute Valley Charter School</t>
  </si>
  <si>
    <t>Dallas SD 2, Lyle Elementary School</t>
  </si>
  <si>
    <t>Lyle Elementary School</t>
  </si>
  <si>
    <t>Dallas SD 2, Oakdale Heights Elementary School</t>
  </si>
  <si>
    <t>Oakdale Heights Elementary School</t>
  </si>
  <si>
    <t>Dallas SD 2, Whitworth Elementary School</t>
  </si>
  <si>
    <t>Whitworth Elementary School</t>
  </si>
  <si>
    <t>David Douglas SD 40, Alice Ott Middle School</t>
  </si>
  <si>
    <t>David Douglas SD 40</t>
  </si>
  <si>
    <t>Alice Ott Middle School</t>
  </si>
  <si>
    <t>David Douglas SD 40, Arthur Academy</t>
  </si>
  <si>
    <t>Arthur Academy</t>
  </si>
  <si>
    <t>David Douglas SD 40, Cherry Park Elementary School</t>
  </si>
  <si>
    <t>Cherry Park Elementary School</t>
  </si>
  <si>
    <t>David Douglas SD 40, David Douglas High School</t>
  </si>
  <si>
    <t>David Douglas High School</t>
  </si>
  <si>
    <t>David Douglas SD 40, David Douglas SD 40</t>
  </si>
  <si>
    <t>David Douglas SD 40, Earl Boyles Elementary</t>
  </si>
  <si>
    <t>Earl Boyles Elementary</t>
  </si>
  <si>
    <t>David Douglas SD 40, Floyd Light Middle School</t>
  </si>
  <si>
    <t>Floyd Light Middle School</t>
  </si>
  <si>
    <t>David Douglas SD 40, Gilbert Heights Elementary School</t>
  </si>
  <si>
    <t>Gilbert Heights Elementary School</t>
  </si>
  <si>
    <t>David Douglas SD 40, Gilbert Park Elementary School</t>
  </si>
  <si>
    <t>Gilbert Park Elementary School</t>
  </si>
  <si>
    <t>David Douglas SD 40, Lincoln Park Elementary School</t>
  </si>
  <si>
    <t>Lincoln Park Elementary School</t>
  </si>
  <si>
    <t>David Douglas SD 40, Menlo Park Elementary School</t>
  </si>
  <si>
    <t>Menlo Park Elementary School</t>
  </si>
  <si>
    <t>David Douglas SD 40, Mill Park Elementary School</t>
  </si>
  <si>
    <t>Mill Park Elementary School</t>
  </si>
  <si>
    <t>David Douglas SD 40, Ron Russell Middle School</t>
  </si>
  <si>
    <t>Ron Russell Middle School</t>
  </si>
  <si>
    <t>David Douglas SD 40, Ventura Park Elementary School</t>
  </si>
  <si>
    <t>Ventura Park Elementary School</t>
  </si>
  <si>
    <t>David Douglas SD 40, West Powellhurst Elementary School</t>
  </si>
  <si>
    <t>West Powellhurst Elementary School</t>
  </si>
  <si>
    <t>Dayton SD 8, Dayton Grade School</t>
  </si>
  <si>
    <t>Dayton SD 8</t>
  </si>
  <si>
    <t>Dayton Grade School</t>
  </si>
  <si>
    <t>Dayton SD 8, Dayton High School</t>
  </si>
  <si>
    <t>Dayton High School</t>
  </si>
  <si>
    <t>Dayton SD 8, Dayton Jr High School</t>
  </si>
  <si>
    <t>Dayton Jr High School</t>
  </si>
  <si>
    <t>Dayton SD 8, Dayton SD 8</t>
  </si>
  <si>
    <t>Dayville SD 16J, Dayville School</t>
  </si>
  <si>
    <t>Dayville SD 16J</t>
  </si>
  <si>
    <t>Dayville School</t>
  </si>
  <si>
    <t>Diamond SD 7, Diamond Elementary School</t>
  </si>
  <si>
    <t>Diamond SD 7</t>
  </si>
  <si>
    <t>Diamond Elementary School</t>
  </si>
  <si>
    <t>Double O SD 28, Double O Elementary School</t>
  </si>
  <si>
    <t>Double O SD 28</t>
  </si>
  <si>
    <t>Double O Elementary School</t>
  </si>
  <si>
    <t>Douglas County SD 15, Days Creek Charter School</t>
  </si>
  <si>
    <t>Douglas County SD 15</t>
  </si>
  <si>
    <t>Days Creek Charter School</t>
  </si>
  <si>
    <t>Douglas County SD 4, Douglas County SD 4</t>
  </si>
  <si>
    <t>Douglas County SD 4</t>
  </si>
  <si>
    <t>Douglas County SD 4, Eastwood Elementary School</t>
  </si>
  <si>
    <t>Eastwood Elementary School</t>
  </si>
  <si>
    <t>Douglas County SD 4, Fir Grove Elementary School</t>
  </si>
  <si>
    <t>Douglas County SD 4, Fullerton IV Elementary School</t>
  </si>
  <si>
    <t>Fullerton IV Elementary School</t>
  </si>
  <si>
    <t>Douglas County SD 4, Green Elementary School</t>
  </si>
  <si>
    <t>Green Elementary School</t>
  </si>
  <si>
    <t>Douglas County SD 4, Hucrest Elementary School</t>
  </si>
  <si>
    <t>Hucrest Elementary School</t>
  </si>
  <si>
    <t>Douglas County SD 4, John C Fremont Middle School</t>
  </si>
  <si>
    <t>John C Fremont Middle School</t>
  </si>
  <si>
    <t>Douglas County SD 4, Joseph Lane Middle School</t>
  </si>
  <si>
    <t>Joseph Lane Middle School</t>
  </si>
  <si>
    <t>Douglas County SD 4, Melrose Elementary School</t>
  </si>
  <si>
    <t>Melrose Elementary School</t>
  </si>
  <si>
    <t>Douglas County SD 4, Phoenix School</t>
  </si>
  <si>
    <t>Phoenix School</t>
  </si>
  <si>
    <t>Douglas County SD 4, Roseburg High School</t>
  </si>
  <si>
    <t>Roseburg High School</t>
  </si>
  <si>
    <t>Douglas County SD 4, Sunnyslope Elementary School</t>
  </si>
  <si>
    <t>Sunnyslope Elementary School</t>
  </si>
  <si>
    <t>Douglas County SD 4, Winchester Elementary</t>
  </si>
  <si>
    <t>Winchester Elementary</t>
  </si>
  <si>
    <t>Douglas ESD, Douglas ESD</t>
  </si>
  <si>
    <t>Douglas ESD</t>
  </si>
  <si>
    <t>Drewsey SD 13, Drewsey Elementary School</t>
  </si>
  <si>
    <t>Drewsey SD 13</t>
  </si>
  <si>
    <t>Drewsey Elementary School</t>
  </si>
  <si>
    <t>Dufur SD 29, Dufur School</t>
  </si>
  <si>
    <t>Dufur SD 29</t>
  </si>
  <si>
    <t>Dufur School</t>
  </si>
  <si>
    <t>Eagle Point SD 9, Crater Lake Charter Academy</t>
  </si>
  <si>
    <t>Eagle Point SD 9</t>
  </si>
  <si>
    <t>Crater Lake Charter Academy</t>
  </si>
  <si>
    <t>Eagle Point SD 9, Eagle Point High School</t>
  </si>
  <si>
    <t>Eagle Point High School</t>
  </si>
  <si>
    <t>Eagle Point SD 9, Eagle Point Middle School</t>
  </si>
  <si>
    <t>Eagle Point Middle School</t>
  </si>
  <si>
    <t>Eagle Point SD 9, Eagle Point SD 9</t>
  </si>
  <si>
    <t>Eagle Point SD 9, Eagle Rock Elementary School</t>
  </si>
  <si>
    <t>Eagle Rock Elementary School</t>
  </si>
  <si>
    <t>Eagle Point SD 9, Hillside Elementary</t>
  </si>
  <si>
    <t>Hillside Elementary</t>
  </si>
  <si>
    <t>Eagle Point SD 9, Lake Creek Learning Center</t>
  </si>
  <si>
    <t>Lake Creek Learning Center</t>
  </si>
  <si>
    <t>Eagle Point SD 9, Shady Cove School</t>
  </si>
  <si>
    <t>Shady Cove School</t>
  </si>
  <si>
    <t>Eagle Point SD 9, Table Rock Elementary</t>
  </si>
  <si>
    <t>Table Rock Elementary</t>
  </si>
  <si>
    <t>Eagle Point SD 9, URCEO-Upper Rogue Center for Educational Opportunities</t>
  </si>
  <si>
    <t>URCEO-Upper Rogue Center for Educational Opportunities</t>
  </si>
  <si>
    <t>Eagle Point SD 9, White Mountain Middle School</t>
  </si>
  <si>
    <t>White Mountain Middle School</t>
  </si>
  <si>
    <t>Echo SD 5, Echo School</t>
  </si>
  <si>
    <t>Echo SD 5</t>
  </si>
  <si>
    <t>Echo School</t>
  </si>
  <si>
    <t>Elgin SD 23, Elgin High School</t>
  </si>
  <si>
    <t>Elgin SD 23</t>
  </si>
  <si>
    <t>Elgin High School</t>
  </si>
  <si>
    <t>Elgin SD 23, Stella Mayfield Elementary School</t>
  </si>
  <si>
    <t>Stella Mayfield Elementary School</t>
  </si>
  <si>
    <t>Elkton SD 34, Elkton Charter School</t>
  </si>
  <si>
    <t>Elkton SD 34</t>
  </si>
  <si>
    <t>Elkton Charter School</t>
  </si>
  <si>
    <t>Enterprise SD 21, Enterprise Elementary School</t>
  </si>
  <si>
    <t>Enterprise SD 21</t>
  </si>
  <si>
    <t>Enterprise Elementary School</t>
  </si>
  <si>
    <t>Enterprise SD 21, Enterprise High School</t>
  </si>
  <si>
    <t>Enterprise High School</t>
  </si>
  <si>
    <t>Estacada SD 108, Clackamas River Elementary School</t>
  </si>
  <si>
    <t>Estacada SD 108</t>
  </si>
  <si>
    <t>Clackamas River Elementary School</t>
  </si>
  <si>
    <t>Estacada SD 108, Estacada High School</t>
  </si>
  <si>
    <t>Estacada High School</t>
  </si>
  <si>
    <t>Estacada SD 108, Estacada Middle School</t>
  </si>
  <si>
    <t>Estacada Middle School</t>
  </si>
  <si>
    <t>Estacada SD 108, Estacada SD 108</t>
  </si>
  <si>
    <t>Estacada SD 108, River Mill Elementary School</t>
  </si>
  <si>
    <t>River Mill Elementary School</t>
  </si>
  <si>
    <t>Estacada SD 108, Summit Community College High School</t>
  </si>
  <si>
    <t>Summit Community College High School</t>
  </si>
  <si>
    <t>Estacada SD 108, Summit Learning Charter</t>
  </si>
  <si>
    <t>Summit Learning Charter</t>
  </si>
  <si>
    <t>Eugene SD 4J, Adams Elementary School</t>
  </si>
  <si>
    <t>Eugene SD 4J</t>
  </si>
  <si>
    <t>Eugene SD 4J, Arts and Technology Academy at Jefferson</t>
  </si>
  <si>
    <t>Arts and Technology Academy at Jefferson</t>
  </si>
  <si>
    <t>Eugene SD 4J, Awbrey Park Elementary School</t>
  </si>
  <si>
    <t>Awbrey Park Elementary School</t>
  </si>
  <si>
    <t>Eugene SD 4J, Buena Vista Elementary School</t>
  </si>
  <si>
    <t>Buena Vista Elementary School</t>
  </si>
  <si>
    <t>Eugene SD 4J, Cal Young Middle School</t>
  </si>
  <si>
    <t>Cal Young Middle School</t>
  </si>
  <si>
    <t xml:space="preserve">Eugene SD 4J, Camas Ridge Community Elementary </t>
  </si>
  <si>
    <t xml:space="preserve">Camas Ridge Community Elementary </t>
  </si>
  <si>
    <t>Eugene SD 4J, Cesar Chavez Elementary School</t>
  </si>
  <si>
    <t>Cesar Chavez Elementary School</t>
  </si>
  <si>
    <t>Eugene SD 4J, Charlemagne French Immersion Elementary School</t>
  </si>
  <si>
    <t>Charlemagne French Immersion Elementary School</t>
  </si>
  <si>
    <t>Eugene SD 4J, Churchill High School</t>
  </si>
  <si>
    <t>Churchill High School</t>
  </si>
  <si>
    <t>Eugene SD 4J, Coburg Community Charter School</t>
  </si>
  <si>
    <t>Coburg Community Charter School</t>
  </si>
  <si>
    <t>Eugene SD 4J, Corridor Elementary School</t>
  </si>
  <si>
    <t>Corridor Elementary School</t>
  </si>
  <si>
    <t>Eugene SD 4J, Edgewood Community Elementary School</t>
  </si>
  <si>
    <t>Edgewood Community Elementary School</t>
  </si>
  <si>
    <t>Eugene SD 4J, Edison Elementary School</t>
  </si>
  <si>
    <t>Edison Elementary School</t>
  </si>
  <si>
    <t>Eugene SD 4J, Eugene Education Options</t>
  </si>
  <si>
    <t>Eugene Education Options</t>
  </si>
  <si>
    <t>Eugene SD 4J, Eugene SD 4J</t>
  </si>
  <si>
    <t>Eugene SD 4J, Family School</t>
  </si>
  <si>
    <t>Family School</t>
  </si>
  <si>
    <t>Eugene SD 4J, Gilham Elementary School</t>
  </si>
  <si>
    <t>Gilham Elementary School</t>
  </si>
  <si>
    <t>Eugene SD 4J, Holt Elementary School</t>
  </si>
  <si>
    <t>Holt Elementary School</t>
  </si>
  <si>
    <t>Eugene SD 4J, Howard Elementary School</t>
  </si>
  <si>
    <t>Howard Elementary School</t>
  </si>
  <si>
    <t>Eugene SD 4J, Kelly Middle School</t>
  </si>
  <si>
    <t>Kelly Middle School</t>
  </si>
  <si>
    <t>Eugene SD 4J, Kennedy Middle School</t>
  </si>
  <si>
    <t>Kennedy Middle School</t>
  </si>
  <si>
    <t>Eugene SD 4J, Madison Middle School</t>
  </si>
  <si>
    <t>Madison Middle School</t>
  </si>
  <si>
    <t>Eugene SD 4J, McCornack Elementary School</t>
  </si>
  <si>
    <t>McCornack Elementary School</t>
  </si>
  <si>
    <t>Eugene SD 4J, Monroe Middle School</t>
  </si>
  <si>
    <t>Monroe Middle School</t>
  </si>
  <si>
    <t>Eugene SD 4J, Network Charter School</t>
  </si>
  <si>
    <t>Network Charter School</t>
  </si>
  <si>
    <t>Eugene SD 4J, North Eugene High School</t>
  </si>
  <si>
    <t>North Eugene High School</t>
  </si>
  <si>
    <t>Eugene SD 4J, Ridgeline Montessori</t>
  </si>
  <si>
    <t>Ridgeline Montessori</t>
  </si>
  <si>
    <t>Eugene SD 4J, River Road/El Camino del Rio Elementary School</t>
  </si>
  <si>
    <t>River Road/El Camino del Rio Elementary School</t>
  </si>
  <si>
    <t>Eugene SD 4J, Roosevelt Middle School</t>
  </si>
  <si>
    <t>Roosevelt Middle School</t>
  </si>
  <si>
    <t>Eugene SD 4J, Sheldon High School</t>
  </si>
  <si>
    <t>Sheldon High School</t>
  </si>
  <si>
    <t>Eugene SD 4J, South Eugene High School</t>
  </si>
  <si>
    <t>South Eugene High School</t>
  </si>
  <si>
    <t>Eugene SD 4J, Spencer Butte Middle School</t>
  </si>
  <si>
    <t>Spencer Butte Middle School</t>
  </si>
  <si>
    <t>Eugene SD 4J, Spring Creek Elementary School</t>
  </si>
  <si>
    <t>Spring Creek Elementary School</t>
  </si>
  <si>
    <t>Eugene SD 4J, Twin Oaks Elementary School</t>
  </si>
  <si>
    <t>Twin Oaks Elementary School</t>
  </si>
  <si>
    <t>Eugene SD 4J, Village School</t>
  </si>
  <si>
    <t>Village School</t>
  </si>
  <si>
    <t>Eugene SD 4J, Willagillespie Elementary School</t>
  </si>
  <si>
    <t>Willagillespie Elementary School</t>
  </si>
  <si>
    <t>Eugene SD 4J, Yujin Gakuen Elementary School</t>
  </si>
  <si>
    <t>Yujin Gakuen Elementary School</t>
  </si>
  <si>
    <t>Falls City SD 57, Falls City Elementary School</t>
  </si>
  <si>
    <t>Falls City SD 57</t>
  </si>
  <si>
    <t>Falls City Elementary School</t>
  </si>
  <si>
    <t>Falls City SD 57, Falls City High School</t>
  </si>
  <si>
    <t>Falls City High School</t>
  </si>
  <si>
    <t>Fern Ridge SD 28J, Elmira Elementary School</t>
  </si>
  <si>
    <t>Fern Ridge SD 28J</t>
  </si>
  <si>
    <t>Elmira Elementary School</t>
  </si>
  <si>
    <t>Fern Ridge SD 28J, Elmira High School</t>
  </si>
  <si>
    <t>Elmira High School</t>
  </si>
  <si>
    <t>Fern Ridge SD 28J, Fern Ridge Middle School</t>
  </si>
  <si>
    <t>Fern Ridge Middle School</t>
  </si>
  <si>
    <t>Fern Ridge SD 28J, Fern Ridge SD 28J</t>
  </si>
  <si>
    <t>Fern Ridge SD 28J, Veneta Elementary School</t>
  </si>
  <si>
    <t>Veneta Elementary School</t>
  </si>
  <si>
    <t>Fern Ridge SD 28J, West Lane Technology Learning Center</t>
  </si>
  <si>
    <t>West Lane Technology Learning Center</t>
  </si>
  <si>
    <t>Forest Grove SD 15, Cornelius Elementary School</t>
  </si>
  <si>
    <t>Forest Grove SD 15</t>
  </si>
  <si>
    <t>Cornelius Elementary School</t>
  </si>
  <si>
    <t>Forest Grove SD 15, Dilley Elementary School</t>
  </si>
  <si>
    <t>Dilley Elementary School</t>
  </si>
  <si>
    <t>Forest Grove SD 15, Echo Shaw Elementary School</t>
  </si>
  <si>
    <t>Echo Shaw Elementary School</t>
  </si>
  <si>
    <t>Forest Grove SD 15, Fern Hill Elementary School</t>
  </si>
  <si>
    <t>Fern Hill Elementary School</t>
  </si>
  <si>
    <t>Forest Grove SD 15, Forest Grove Community School</t>
  </si>
  <si>
    <t>Forest Grove Community School</t>
  </si>
  <si>
    <t>Forest Grove SD 15, Forest Grove High School</t>
  </si>
  <si>
    <t>Forest Grove High School</t>
  </si>
  <si>
    <t>Forest Grove SD 15, Forest Grove SD 15</t>
  </si>
  <si>
    <t>Forest Grove SD 15, Harvey Clarke Elementary School</t>
  </si>
  <si>
    <t>Harvey Clarke Elementary School</t>
  </si>
  <si>
    <t>Forest Grove SD 15, Joseph Gale Elementary School</t>
  </si>
  <si>
    <t>Joseph Gale Elementary School</t>
  </si>
  <si>
    <t>Forest Grove SD 15, Neil Armstrong Middle School</t>
  </si>
  <si>
    <t>Neil Armstrong Middle School</t>
  </si>
  <si>
    <t>Forest Grove SD 15, Tom McCall Upper Elementary</t>
  </si>
  <si>
    <t>Tom McCall Upper Elementary</t>
  </si>
  <si>
    <t>Fossil SD 21J, Fossil Charter School</t>
  </si>
  <si>
    <t>Fossil SD 21J</t>
  </si>
  <si>
    <t>Fossil Charter School</t>
  </si>
  <si>
    <t>Frenchglen SD 16, Frenchglen Elementary School</t>
  </si>
  <si>
    <t>Frenchglen SD 16</t>
  </si>
  <si>
    <t>Frenchglen Elementary School</t>
  </si>
  <si>
    <t>Frenchglen SD 16, Silvies River Charter School</t>
  </si>
  <si>
    <t>Silvies River Charter School</t>
  </si>
  <si>
    <t>Gaston SD 511J, Gaston Elementary School</t>
  </si>
  <si>
    <t>Gaston SD 511J</t>
  </si>
  <si>
    <t>Gaston Elementary School</t>
  </si>
  <si>
    <t>Gaston SD 511J, Gaston Jr/Sr High School</t>
  </si>
  <si>
    <t>Gaston Jr/Sr High School</t>
  </si>
  <si>
    <t>Gaston SD 511J, Gaston SD 511J</t>
  </si>
  <si>
    <t>Oregon Virtual Education</t>
  </si>
  <si>
    <t>Gervais SD 1, Gervais Elementary School</t>
  </si>
  <si>
    <t>Gervais SD 1</t>
  </si>
  <si>
    <t>Gervais Elementary School</t>
  </si>
  <si>
    <t>Gervais SD 1, Gervais High School</t>
  </si>
  <si>
    <t>Gervais High School</t>
  </si>
  <si>
    <t>Gervais SD 1, Gervais Middle School</t>
  </si>
  <si>
    <t>Gervais Middle School</t>
  </si>
  <si>
    <t>Gervais SD 1, Samuel Brown Academy</t>
  </si>
  <si>
    <t>Samuel Brown Academy</t>
  </si>
  <si>
    <t>Gladstone SD 115, Gladstone Center for Children and Families</t>
  </si>
  <si>
    <t>Gladstone SD 115</t>
  </si>
  <si>
    <t>Gladstone Center for Children and Families</t>
  </si>
  <si>
    <t>Gladstone SD 115, Gladstone High School</t>
  </si>
  <si>
    <t>Gladstone High School</t>
  </si>
  <si>
    <t>Gladstone SD 115, Gladstone SD 115</t>
  </si>
  <si>
    <t>Gladstone SD 115, John Wetten Elementary School</t>
  </si>
  <si>
    <t>John Wetten Elementary School</t>
  </si>
  <si>
    <t>Gladstone SD 115, Walter L Kraxberger Middle School</t>
  </si>
  <si>
    <t>Walter L Kraxberger Middle School</t>
  </si>
  <si>
    <t>Glendale SD 77, Glendale Community Charter School</t>
  </si>
  <si>
    <t>Glendale SD 77</t>
  </si>
  <si>
    <t>Glendale Community Charter School</t>
  </si>
  <si>
    <t>Glendale SD 77, Glendale Elementary School</t>
  </si>
  <si>
    <t>Glendale Elementary School</t>
  </si>
  <si>
    <t>Glide SD 12, Glide Elementary School</t>
  </si>
  <si>
    <t>Glide SD 12</t>
  </si>
  <si>
    <t>Glide Elementary School</t>
  </si>
  <si>
    <t>Glide SD 12, Glide High School</t>
  </si>
  <si>
    <t>Glide High School</t>
  </si>
  <si>
    <t>Glide SD 12, Glide Middle School</t>
  </si>
  <si>
    <t>Glide Middle School</t>
  </si>
  <si>
    <t>Grant ESD, Grant ESD</t>
  </si>
  <si>
    <t>Grant ESD</t>
  </si>
  <si>
    <t>Grants Pass SD 7, Allen Dale Elementary School</t>
  </si>
  <si>
    <t>Grants Pass SD 7</t>
  </si>
  <si>
    <t>Allen Dale Elementary School</t>
  </si>
  <si>
    <t>Grants Pass SD 7, Grants Pass High School</t>
  </si>
  <si>
    <t>Grants Pass High School</t>
  </si>
  <si>
    <t>Grants Pass SD 7, Grants Pass SD 7</t>
  </si>
  <si>
    <t>Grants Pass SD 7, Highland Elementary School</t>
  </si>
  <si>
    <t>Highland Elementary School</t>
  </si>
  <si>
    <t>Grants Pass SD 7, Lincoln Elementary School</t>
  </si>
  <si>
    <t>Grants Pass SD 7, North Middle School</t>
  </si>
  <si>
    <t>North Middle School</t>
  </si>
  <si>
    <t>Grants Pass SD 7, Parkside Elementary</t>
  </si>
  <si>
    <t>Parkside Elementary</t>
  </si>
  <si>
    <t>Grants Pass SD 7, Redwood Elementary School</t>
  </si>
  <si>
    <t>Redwood Elementary School</t>
  </si>
  <si>
    <t>Grants Pass SD 7, Riverside Elementary School</t>
  </si>
  <si>
    <t>Riverside Elementary School</t>
  </si>
  <si>
    <t>Grants Pass SD 7, South Middle School</t>
  </si>
  <si>
    <t>South Middle School</t>
  </si>
  <si>
    <t>Greater Albany Public SD 8J, Albany Options School</t>
  </si>
  <si>
    <t>Greater Albany Public SD 8J</t>
  </si>
  <si>
    <t>Albany Options School</t>
  </si>
  <si>
    <t>Greater Albany Public SD 8J, Calapooia Middle School</t>
  </si>
  <si>
    <t>Calapooia Middle School</t>
  </si>
  <si>
    <t>Greater Albany Public SD 8J, Central Elementary School</t>
  </si>
  <si>
    <t>Central Elementary School</t>
  </si>
  <si>
    <t>Greater Albany Public SD 8J, Clover Ridge Elementary School</t>
  </si>
  <si>
    <t>Clover Ridge Elementary School</t>
  </si>
  <si>
    <t>Greater Albany Public SD 8J, Fir Grove Primary School</t>
  </si>
  <si>
    <t>Fir Grove Primary School</t>
  </si>
  <si>
    <t>Greater Albany Public SD 8J, Greater Albany Public SD 8J</t>
  </si>
  <si>
    <t>Greater Albany Public SD 8J, Lafayette Elementary School</t>
  </si>
  <si>
    <t>Lafayette Elementary School</t>
  </si>
  <si>
    <t>Greater Albany Public SD 8J, Liberty Elementary School</t>
  </si>
  <si>
    <t>Liberty Elementary School</t>
  </si>
  <si>
    <t>Greater Albany Public SD 8J, Memorial Middle School</t>
  </si>
  <si>
    <t>Memorial Middle School</t>
  </si>
  <si>
    <t>Greater Albany Public SD 8J, North Albany Elementary School</t>
  </si>
  <si>
    <t>North Albany Elementary School</t>
  </si>
  <si>
    <t>Greater Albany Public SD 8J, North Albany Middle School</t>
  </si>
  <si>
    <t>North Albany Middle School</t>
  </si>
  <si>
    <t>Greater Albany Public SD 8J, Oak Elementary School</t>
  </si>
  <si>
    <t>Oak Elementary School</t>
  </si>
  <si>
    <t>Greater Albany Public SD 8J, Oak Grove Elementary School</t>
  </si>
  <si>
    <t>Oak Grove Elementary School</t>
  </si>
  <si>
    <t>Greater Albany Public SD 8J, Periwinkle Elementary School</t>
  </si>
  <si>
    <t>Periwinkle Elementary School</t>
  </si>
  <si>
    <t>Greater Albany Public SD 8J, South Albany High School</t>
  </si>
  <si>
    <t>South Albany High School</t>
  </si>
  <si>
    <t>Greater Albany Public SD 8J, South Shore Elementary School</t>
  </si>
  <si>
    <t>South Shore Elementary School</t>
  </si>
  <si>
    <t>Greater Albany Public SD 8J, Sunrise Elementary School</t>
  </si>
  <si>
    <t>Sunrise Elementary School</t>
  </si>
  <si>
    <t>Greater Albany Public SD 8J, Takena Elementary School</t>
  </si>
  <si>
    <t>Takena Elementary School</t>
  </si>
  <si>
    <t>Greater Albany Public SD 8J, Tangent Elementary School</t>
  </si>
  <si>
    <t>Tangent Elementary School</t>
  </si>
  <si>
    <t>Greater Albany Public SD 8J, Timber Ridge School</t>
  </si>
  <si>
    <t>Timber Ridge School</t>
  </si>
  <si>
    <t>Greater Albany Public SD 8J, Waverly Elementary School</t>
  </si>
  <si>
    <t>Waverly Elementary School</t>
  </si>
  <si>
    <t>Greater Albany Public SD 8J, West Albany High School</t>
  </si>
  <si>
    <t>West Albany High School</t>
  </si>
  <si>
    <t>Gresham-Barlow SD 10J</t>
  </si>
  <si>
    <t>Gresham-Barlow SD 10J, Clear Creek Middle School</t>
  </si>
  <si>
    <t>Clear Creek Middle School</t>
  </si>
  <si>
    <t>Gresham-Barlow SD 10J, Deep Creek – Damascus K-8 School</t>
  </si>
  <si>
    <t>Deep Creek – Damascus K-8 School</t>
  </si>
  <si>
    <t>Gresham-Barlow SD 10J, Dexter McCarty Middle School</t>
  </si>
  <si>
    <t>Dexter McCarty Middle School</t>
  </si>
  <si>
    <t>Gresham-Barlow SD 10J, East Gresham Elementary School</t>
  </si>
  <si>
    <t>East Gresham Elementary School</t>
  </si>
  <si>
    <t>Gresham-Barlow SD 10J, East Orient Elementary School</t>
  </si>
  <si>
    <t>East Orient Elementary School</t>
  </si>
  <si>
    <t>Gresham-Barlow SD 10J, Gordon Russell Middle School</t>
  </si>
  <si>
    <t>Gordon Russell Middle School</t>
  </si>
  <si>
    <t>Gresham-Barlow SD 10J, Gresham Arthur Academy</t>
  </si>
  <si>
    <t>Gresham Arthur Academy</t>
  </si>
  <si>
    <t>Gresham-Barlow SD 10J, Gresham High School</t>
  </si>
  <si>
    <t>Gresham High School</t>
  </si>
  <si>
    <t>Gresham-Barlow SD 10J, Gresham-Barlow SD 10J</t>
  </si>
  <si>
    <t>Gresham-Barlow SD 10J, Hall Elementary School</t>
  </si>
  <si>
    <t>Hall Elementary School</t>
  </si>
  <si>
    <t>Gresham-Barlow SD 10J, Highland Elementary School</t>
  </si>
  <si>
    <t>Gresham-Barlow SD 10J, Hogan Cedars Elementary School</t>
  </si>
  <si>
    <t>Hogan Cedars Elementary School</t>
  </si>
  <si>
    <t>Gresham-Barlow SD 10J, Hollydale Elementary School</t>
  </si>
  <si>
    <t>Hollydale Elementary School</t>
  </si>
  <si>
    <t>Gresham-Barlow SD 10J, Kelly Creek Elementary School</t>
  </si>
  <si>
    <t>Kelly Creek Elementary School</t>
  </si>
  <si>
    <t>Gresham-Barlow SD 10J, Lewis and Clark Montessori Charter School</t>
  </si>
  <si>
    <t>Lewis and Clark Montessori Charter School</t>
  </si>
  <si>
    <t>Gresham-Barlow SD 10J, Metro East Web Academy</t>
  </si>
  <si>
    <t>Metro East Web Academy</t>
  </si>
  <si>
    <t>Gresham-Barlow SD 10J, North Gresham Elementary School</t>
  </si>
  <si>
    <t>North Gresham Elementary School</t>
  </si>
  <si>
    <t>Gresham-Barlow SD 10J, Powell Valley Elementary School</t>
  </si>
  <si>
    <t>Powell Valley Elementary School</t>
  </si>
  <si>
    <t>Gresham-Barlow SD 10J, Sam Barlow High School</t>
  </si>
  <si>
    <t>Sam Barlow High School</t>
  </si>
  <si>
    <t>Gresham-Barlow SD 10J, Springwater Trail High School</t>
  </si>
  <si>
    <t>Springwater Trail High School</t>
  </si>
  <si>
    <t>Gresham-Barlow SD 10J, West Gresham Elementary School</t>
  </si>
  <si>
    <t>West Gresham Elementary School</t>
  </si>
  <si>
    <t>Gresham-Barlow SD 10J, West Orient Middle School</t>
  </si>
  <si>
    <t>West Orient Middle School</t>
  </si>
  <si>
    <t>Harney County SD 3, Burns Alternative School</t>
  </si>
  <si>
    <t>Harney County SD 3</t>
  </si>
  <si>
    <t>Burns Alternative School</t>
  </si>
  <si>
    <t>Harney County SD 3, Burns High School</t>
  </si>
  <si>
    <t>Burns High School</t>
  </si>
  <si>
    <t>Harney County SD 3, Henry L Slater Elementary School</t>
  </si>
  <si>
    <t>Henry L Slater Elementary School</t>
  </si>
  <si>
    <t>Harney County SD 3, Hines Middle School</t>
  </si>
  <si>
    <t>Hines Middle School</t>
  </si>
  <si>
    <t>Harney County SD 4, Crane Elementary School</t>
  </si>
  <si>
    <t>Harney County SD 4</t>
  </si>
  <si>
    <t>Crane Elementary School</t>
  </si>
  <si>
    <t>Harney County Union High SD 1J, Crane Union High School</t>
  </si>
  <si>
    <t>Harney County Union High SD 1J</t>
  </si>
  <si>
    <t>Crane Union High School</t>
  </si>
  <si>
    <t>Harney ESD Region XVII, Harney ESD Region XVII</t>
  </si>
  <si>
    <t>Harney ESD Region XVII</t>
  </si>
  <si>
    <t>Harper SD 66, Harper Charter School</t>
  </si>
  <si>
    <t>Harper SD 66</t>
  </si>
  <si>
    <t>Harper Charter School</t>
  </si>
  <si>
    <t>Harrisburg SD 7J, Harrisburg Elementary School</t>
  </si>
  <si>
    <t>Harrisburg SD 7J</t>
  </si>
  <si>
    <t>Harrisburg Elementary School</t>
  </si>
  <si>
    <t>Harrisburg SD 7J, Harrisburg High School</t>
  </si>
  <si>
    <t>Harrisburg High School</t>
  </si>
  <si>
    <t>Harrisburg SD 7J, Harrisburg Middle School</t>
  </si>
  <si>
    <t>Harrisburg Middle School</t>
  </si>
  <si>
    <t>Helix SD 1, Helix School</t>
  </si>
  <si>
    <t>Helix SD 1</t>
  </si>
  <si>
    <t>Helix School</t>
  </si>
  <si>
    <t>Hermiston SD 8, Armand Larive Middle School</t>
  </si>
  <si>
    <t>Hermiston SD 8</t>
  </si>
  <si>
    <t>Armand Larive Middle School</t>
  </si>
  <si>
    <t>Hermiston SD 8, Desert View Elementary School</t>
  </si>
  <si>
    <t>Desert View Elementary School</t>
  </si>
  <si>
    <t>Hermiston SD 8, Hermiston High School</t>
  </si>
  <si>
    <t>Hermiston High School</t>
  </si>
  <si>
    <t>Hermiston SD 8, Highland Hills Elementary School</t>
  </si>
  <si>
    <t>Highland Hills Elementary School</t>
  </si>
  <si>
    <t>Hermiston SD 8, Rocky Heights Elementary School</t>
  </si>
  <si>
    <t>Rocky Heights Elementary School</t>
  </si>
  <si>
    <t>Hermiston SD 8, Sandstone Middle School</t>
  </si>
  <si>
    <t>Sandstone Middle School</t>
  </si>
  <si>
    <t>Hermiston SD 8, Sunset Elementary School</t>
  </si>
  <si>
    <t>Sunset Elementary School</t>
  </si>
  <si>
    <t>Hermiston SD 8, West Park Elementary School</t>
  </si>
  <si>
    <t>West Park Elementary School</t>
  </si>
  <si>
    <t>High Desert ESD, High Desert ESD</t>
  </si>
  <si>
    <t>High Desert ESD</t>
  </si>
  <si>
    <t>Hillsboro SD 1J, Brookwood Elementary School</t>
  </si>
  <si>
    <t>Hillsboro SD 1J</t>
  </si>
  <si>
    <t>Brookwood Elementary School</t>
  </si>
  <si>
    <t>Hillsboro SD 1J, Butternut Creek Elementary School</t>
  </si>
  <si>
    <t>Butternut Creek Elementary School</t>
  </si>
  <si>
    <t>Hillsboro SD 1J, Century High School</t>
  </si>
  <si>
    <t>Century High School</t>
  </si>
  <si>
    <t>Hillsboro SD 1J, City View Charter School</t>
  </si>
  <si>
    <t>City View Charter School</t>
  </si>
  <si>
    <t>Hillsboro SD 1J, Eastwood Elementary School</t>
  </si>
  <si>
    <t>Hillsboro SD 1J, Evergreen Jr High School</t>
  </si>
  <si>
    <t>Evergreen Jr High School</t>
  </si>
  <si>
    <t>Hillsboro SD 1J, Farmington View Elementary School</t>
  </si>
  <si>
    <t>Farmington View Elementary School</t>
  </si>
  <si>
    <t>Hillsboro SD 1J, Free Orchards Elementary School</t>
  </si>
  <si>
    <t>Free Orchards Elementary School</t>
  </si>
  <si>
    <t>Hillsboro SD 1J, Glencoe High School</t>
  </si>
  <si>
    <t>Glencoe High School</t>
  </si>
  <si>
    <t>Hillsboro SD 1J, Groner K-8</t>
  </si>
  <si>
    <t>Groner K-8</t>
  </si>
  <si>
    <t>Hillsboro SD 1J, Hillsboro High School</t>
  </si>
  <si>
    <t>Hillsboro High School</t>
  </si>
  <si>
    <t>Hillsboro SD 1J, Hillsboro Online Academy</t>
  </si>
  <si>
    <t>Hillsboro Online Academy</t>
  </si>
  <si>
    <t>Hillsboro SD 1J, Hillsboro SD 1J</t>
  </si>
  <si>
    <t>Hillsboro SD 1J, Imlay Elementary School</t>
  </si>
  <si>
    <t>Imlay Elementary School</t>
  </si>
  <si>
    <t>Hillsboro SD 1J, Indian Hills Elementary School</t>
  </si>
  <si>
    <t>Indian Hills Elementary School</t>
  </si>
  <si>
    <t>Hillsboro SD 1J, J W Poynter Middle School</t>
  </si>
  <si>
    <t>J W Poynter Middle School</t>
  </si>
  <si>
    <t>Hillsboro SD 1J, Jackson Elementary School</t>
  </si>
  <si>
    <t>Jackson Elementary School</t>
  </si>
  <si>
    <t>Hillsboro SD 1J, Ladd Acres Elementary School</t>
  </si>
  <si>
    <t>Ladd Acres Elementary School</t>
  </si>
  <si>
    <t>Hillsboro SD 1J, Lenox Elementary School</t>
  </si>
  <si>
    <t>Lenox Elementary School</t>
  </si>
  <si>
    <t>Hillsboro SD 1J, Liberty High School</t>
  </si>
  <si>
    <t>Liberty High School</t>
  </si>
  <si>
    <t>Hillsboro SD 1J, Lincoln Street Elementary School</t>
  </si>
  <si>
    <t>Lincoln Street Elementary School</t>
  </si>
  <si>
    <t>Hillsboro SD 1J, Minter Bridge Elementary School</t>
  </si>
  <si>
    <t>Minter Bridge Elementary School</t>
  </si>
  <si>
    <t>Hillsboro SD 1J, Mooberry Elementary School</t>
  </si>
  <si>
    <t>Mooberry Elementary School</t>
  </si>
  <si>
    <t>Hillsboro SD 1J, North Plains Elementary School</t>
  </si>
  <si>
    <t>North Plains Elementary School</t>
  </si>
  <si>
    <t>Hillsboro SD 1J, Orenco Elementary School</t>
  </si>
  <si>
    <t>Orenco Elementary School</t>
  </si>
  <si>
    <t>Hillsboro SD 1J, Paul L Patterson Elementary School</t>
  </si>
  <si>
    <t>Paul L Patterson Elementary School</t>
  </si>
  <si>
    <t>Hillsboro SD 1J, Quatama Elementary School</t>
  </si>
  <si>
    <t>Quatama Elementary School</t>
  </si>
  <si>
    <t>Hillsboro SD 1J, R A Brown Middle School</t>
  </si>
  <si>
    <t>R A Brown Middle School</t>
  </si>
  <si>
    <t>Hillsboro SD 1J, Reedville Elementary School</t>
  </si>
  <si>
    <t>Reedville Elementary School</t>
  </si>
  <si>
    <t>Hillsboro SD 1J, Rosedale Elementary School</t>
  </si>
  <si>
    <t>Rosedale Elementary School</t>
  </si>
  <si>
    <t>Hillsboro SD 1J, South Meadows Middle School</t>
  </si>
  <si>
    <t>South Meadows Middle School</t>
  </si>
  <si>
    <t>Hillsboro SD 1J, Tobias Elementary School</t>
  </si>
  <si>
    <t>Tobias Elementary School</t>
  </si>
  <si>
    <t>Hillsboro SD 1J, W L Henry Elementary School</t>
  </si>
  <si>
    <t>W L Henry Elementary School</t>
  </si>
  <si>
    <t>Hillsboro SD 1J, W Verne McKinney Elementary School</t>
  </si>
  <si>
    <t>W Verne McKinney Elementary School</t>
  </si>
  <si>
    <t>Hillsboro SD 1J, West Union Elementary School</t>
  </si>
  <si>
    <t>West Union Elementary School</t>
  </si>
  <si>
    <t>Hillsboro SD 1J, Witch Hazel Elementary School</t>
  </si>
  <si>
    <t>Witch Hazel Elementary School</t>
  </si>
  <si>
    <t>Hood River County SD, Cascade Locks School</t>
  </si>
  <si>
    <t>Hood River County SD</t>
  </si>
  <si>
    <t>Cascade Locks School</t>
  </si>
  <si>
    <t>Hood River County SD, Hood River County SD</t>
  </si>
  <si>
    <t>Hood River County SD, Hood River Middle School</t>
  </si>
  <si>
    <t>Hood River Middle School</t>
  </si>
  <si>
    <t>Hood River County SD, Hood River Valley High School</t>
  </si>
  <si>
    <t>Hood River Valley High School</t>
  </si>
  <si>
    <t>Hood River County SD, May Street Elementary School</t>
  </si>
  <si>
    <t>May Street Elementary School</t>
  </si>
  <si>
    <t>Hood River County SD, Mid Valley Elementary School</t>
  </si>
  <si>
    <t>Mid Valley Elementary School</t>
  </si>
  <si>
    <t>Hood River County SD, Parkdale Elementary School</t>
  </si>
  <si>
    <t>Parkdale Elementary School</t>
  </si>
  <si>
    <t>Hood River County SD, Westside Elementary School</t>
  </si>
  <si>
    <t>Westside Elementary School</t>
  </si>
  <si>
    <t>Hood River County SD, WyEast Middle School</t>
  </si>
  <si>
    <t>WyEast Middle School</t>
  </si>
  <si>
    <t>Huntington SD 16J, Huntington School</t>
  </si>
  <si>
    <t>Huntington SD 16J</t>
  </si>
  <si>
    <t>Huntington School</t>
  </si>
  <si>
    <t>Imbler SD 11, Imbler Charter School</t>
  </si>
  <si>
    <t>Imbler SD 11</t>
  </si>
  <si>
    <t>Imbler Charter School</t>
  </si>
  <si>
    <t>InterMountain ESD, InterMountain ESD</t>
  </si>
  <si>
    <t>InterMountain ESD</t>
  </si>
  <si>
    <t>Ione SD R2, Ione Community Charter School</t>
  </si>
  <si>
    <t>Ione SD R2</t>
  </si>
  <si>
    <t>Ione Community Charter School</t>
  </si>
  <si>
    <t>Jefferson County SD 509J, Big Muddy Elementary</t>
  </si>
  <si>
    <t>Jefferson County SD 509J</t>
  </si>
  <si>
    <t>Big Muddy Elementary</t>
  </si>
  <si>
    <t>Jefferson County SD 509J, Buff Elementary School</t>
  </si>
  <si>
    <t>Buff Elementary School</t>
  </si>
  <si>
    <t>Jefferson County SD 509J, Jefferson County Middle School</t>
  </si>
  <si>
    <t>Jefferson County Middle School</t>
  </si>
  <si>
    <t>Jefferson County SD 509J, Jefferson County SD 509J</t>
  </si>
  <si>
    <t>Jefferson County SD 509J, Madras Elementary School</t>
  </si>
  <si>
    <t>Madras Elementary School</t>
  </si>
  <si>
    <t>Jefferson County SD 509J, Madras High School</t>
  </si>
  <si>
    <t>Madras High School</t>
  </si>
  <si>
    <t>Jefferson County SD 509J, Metolius Elementary School</t>
  </si>
  <si>
    <t>Metolius Elementary School</t>
  </si>
  <si>
    <t>Jefferson County SD 509J, Warm Springs K-8 Academy</t>
  </si>
  <si>
    <t>Warm Springs K-8 Academy</t>
  </si>
  <si>
    <t>Jefferson ESD, Jefferson ESD</t>
  </si>
  <si>
    <t>Jefferson ESD</t>
  </si>
  <si>
    <t>Jefferson SD 14J, Jefferson Elementary School</t>
  </si>
  <si>
    <t>Jefferson SD 14J</t>
  </si>
  <si>
    <t>Jefferson SD 14J, Jefferson High School</t>
  </si>
  <si>
    <t>Jefferson High School</t>
  </si>
  <si>
    <t>Jefferson SD 14J, Jefferson Middle School</t>
  </si>
  <si>
    <t>Jefferson Middle School</t>
  </si>
  <si>
    <t>Jewell SD 8, Jewell School</t>
  </si>
  <si>
    <t>Jewell SD 8</t>
  </si>
  <si>
    <t>Jewell School</t>
  </si>
  <si>
    <t>John Day SD 3, Grant Union Junior/Senior High School</t>
  </si>
  <si>
    <t>John Day SD 3</t>
  </si>
  <si>
    <t>Grant Union Junior/Senior High School</t>
  </si>
  <si>
    <t>John Day SD 3, Humbolt Elementary School</t>
  </si>
  <si>
    <t>Humbolt Elementary School</t>
  </si>
  <si>
    <t>John Day SD 3, Seneca Elementary School</t>
  </si>
  <si>
    <t>Seneca Elementary School</t>
  </si>
  <si>
    <t>Jordan Valley SD 3, Jordan Valley Elementary School</t>
  </si>
  <si>
    <t>Jordan Valley SD 3</t>
  </si>
  <si>
    <t>Jordan Valley Elementary School</t>
  </si>
  <si>
    <t>Jordan Valley SD 3, Jordan Valley High School</t>
  </si>
  <si>
    <t>Jordan Valley High School</t>
  </si>
  <si>
    <t>Jordan Valley SD 3, Rockville Elementary School</t>
  </si>
  <si>
    <t>Rockville Elementary School</t>
  </si>
  <si>
    <t>Joseph SD 6, Imnaha Elementary School</t>
  </si>
  <si>
    <t>Joseph SD 6</t>
  </si>
  <si>
    <t>Imnaha Elementary School</t>
  </si>
  <si>
    <t>Joseph SD 6, Joseph Charter School</t>
  </si>
  <si>
    <t>Joseph Charter School</t>
  </si>
  <si>
    <t>Junction City SD 69, Junction City High School</t>
  </si>
  <si>
    <t>Junction City SD 69</t>
  </si>
  <si>
    <t>Junction City High School</t>
  </si>
  <si>
    <t>Junction City SD 69, Junction City SD 69</t>
  </si>
  <si>
    <t>Junction City SD 69, Laurel Elementary School</t>
  </si>
  <si>
    <t>Laurel Elementary School</t>
  </si>
  <si>
    <t>Junction City SD 69, Oaklea Middle School</t>
  </si>
  <si>
    <t>Oaklea Middle School</t>
  </si>
  <si>
    <t>Junction City SD 69, Territorial Elementary School</t>
  </si>
  <si>
    <t>Territorial Elementary School</t>
  </si>
  <si>
    <t>Juntura SD 12, Juntura Elementary School</t>
  </si>
  <si>
    <t>Juntura SD 12</t>
  </si>
  <si>
    <t>Juntura Elementary School</t>
  </si>
  <si>
    <t>Klamath County SD, Bonanza Elementary School</t>
  </si>
  <si>
    <t>Klamath County SD</t>
  </si>
  <si>
    <t>Bonanza Elementary School</t>
  </si>
  <si>
    <t>Klamath County SD, Bonanza Junior/Senior High School</t>
  </si>
  <si>
    <t>Bonanza Junior/Senior High School</t>
  </si>
  <si>
    <t>Klamath County SD, Brixner Junior High School</t>
  </si>
  <si>
    <t>Brixner Junior High School</t>
  </si>
  <si>
    <t>Klamath County SD, Chiloquin Elementary School</t>
  </si>
  <si>
    <t>Chiloquin Elementary School</t>
  </si>
  <si>
    <t>Klamath County SD, Chiloquin High School</t>
  </si>
  <si>
    <t>Chiloquin High School</t>
  </si>
  <si>
    <t>Klamath County SD, Falcon Heights</t>
  </si>
  <si>
    <t>Falcon Heights</t>
  </si>
  <si>
    <t>Klamath County SD, Ferguson Elementary School</t>
  </si>
  <si>
    <t>Ferguson Elementary School</t>
  </si>
  <si>
    <t>Klamath County SD, Gearhart Elementary School</t>
  </si>
  <si>
    <t>Gearhart Elementary School</t>
  </si>
  <si>
    <t>Klamath County SD, Gilchrist Elementary School</t>
  </si>
  <si>
    <t>Gilchrist Elementary School</t>
  </si>
  <si>
    <t>Klamath County SD, Gilchrist Junior/Senior High School</t>
  </si>
  <si>
    <t>Gilchrist Junior/Senior High School</t>
  </si>
  <si>
    <t>Klamath County SD, Henley Elementary School</t>
  </si>
  <si>
    <t>Henley Elementary School</t>
  </si>
  <si>
    <t>Klamath County SD, Henley High School</t>
  </si>
  <si>
    <t>Henley High School</t>
  </si>
  <si>
    <t>Klamath County SD, Henley Middle School</t>
  </si>
  <si>
    <t>Henley Middle School</t>
  </si>
  <si>
    <t>Klamath County SD, Keno Elementary School</t>
  </si>
  <si>
    <t>Keno Elementary School</t>
  </si>
  <si>
    <t>Klamath County SD, Klamath County SD</t>
  </si>
  <si>
    <t>Klamath County SD, Lost River High School</t>
  </si>
  <si>
    <t>Lost River High School</t>
  </si>
  <si>
    <t>Klamath County SD, Malin Elementary School</t>
  </si>
  <si>
    <t>Malin Elementary School</t>
  </si>
  <si>
    <t>Klamath County SD, Mazama High School</t>
  </si>
  <si>
    <t>Mazama High School</t>
  </si>
  <si>
    <t>Klamath County SD, Merrill Elementary School</t>
  </si>
  <si>
    <t>Merrill Elementary School</t>
  </si>
  <si>
    <t>Klamath County SD, Peterson Elementary School</t>
  </si>
  <si>
    <t>Peterson Elementary School</t>
  </si>
  <si>
    <t>Klamath County SD, Sage Community School</t>
  </si>
  <si>
    <t>Sage Community School</t>
  </si>
  <si>
    <t>Klamath County SD, Shasta Elementary School</t>
  </si>
  <si>
    <t>Shasta Elementary School</t>
  </si>
  <si>
    <t>Klamath County SD, Stearns Elementary School</t>
  </si>
  <si>
    <t>Stearns Elementary School</t>
  </si>
  <si>
    <t>Klamath Falls City Schools, EagleRidge High School</t>
  </si>
  <si>
    <t>Klamath Falls City Schools</t>
  </si>
  <si>
    <t>EagleRidge High School</t>
  </si>
  <si>
    <t>Klamath Falls City Schools, Joseph Conger Elementary School</t>
  </si>
  <si>
    <t>Joseph Conger Elementary School</t>
  </si>
  <si>
    <t>Klamath Falls City Schools, Klamath Falls City Schools</t>
  </si>
  <si>
    <t>Klamath Falls City Schools, Klamath Union High School</t>
  </si>
  <si>
    <t>Klamath Union High School</t>
  </si>
  <si>
    <t>Klamath Falls City Schools, Mills Elementary School</t>
  </si>
  <si>
    <t>Mills Elementary School</t>
  </si>
  <si>
    <t>Klamath Falls City Schools, Pelican Elementary School</t>
  </si>
  <si>
    <t>Pelican Elementary School</t>
  </si>
  <si>
    <t>Klamath Falls City Schools, Ponderosa Middle School</t>
  </si>
  <si>
    <t>Ponderosa Middle School</t>
  </si>
  <si>
    <t>Klamath Falls City Schools, Roosevelt Elementary School</t>
  </si>
  <si>
    <t>Roosevelt Elementary School</t>
  </si>
  <si>
    <t>Knappa SD 4, Hilda Lahti Elementary School</t>
  </si>
  <si>
    <t>Knappa SD 4</t>
  </si>
  <si>
    <t>Hilda Lahti Elementary School</t>
  </si>
  <si>
    <t>Knappa SD 4, Knappa High School</t>
  </si>
  <si>
    <t>Knappa High School</t>
  </si>
  <si>
    <t>Knappa SD 4, Knappa SD 4</t>
  </si>
  <si>
    <t>La Grande SD 1, Central Elementary School</t>
  </si>
  <si>
    <t>La Grande SD 1</t>
  </si>
  <si>
    <t>La Grande SD 1, Greenwood Elementary School</t>
  </si>
  <si>
    <t>Greenwood Elementary School</t>
  </si>
  <si>
    <t>La Grande SD 1, Island City Elementary School</t>
  </si>
  <si>
    <t>Island City Elementary School</t>
  </si>
  <si>
    <t>La Grande SD 1, La Grande High School</t>
  </si>
  <si>
    <t>La Grande High School</t>
  </si>
  <si>
    <t>La Grande SD 1, La Grande Middle School</t>
  </si>
  <si>
    <t>La Grande Middle School</t>
  </si>
  <si>
    <t>Lake County SD 7, Daly Middle School</t>
  </si>
  <si>
    <t>Lake County SD 7</t>
  </si>
  <si>
    <t>Daly Middle School</t>
  </si>
  <si>
    <t>Lake County SD 7, Fremont/Hay Elementary School</t>
  </si>
  <si>
    <t>Fremont/Hay Elementary School</t>
  </si>
  <si>
    <t>Lake County SD 7, Lakeview Senior High School</t>
  </si>
  <si>
    <t>Lakeview Senior High School</t>
  </si>
  <si>
    <t>Lake County SD 7, Union Elementary School</t>
  </si>
  <si>
    <t>Union Elementary School</t>
  </si>
  <si>
    <t>Lake ESD, Lake ESD</t>
  </si>
  <si>
    <t>Lake ESD</t>
  </si>
  <si>
    <t>Lake Oswego SD 7J, Forest Hills Elementary School</t>
  </si>
  <si>
    <t>Lake Oswego SD 7J</t>
  </si>
  <si>
    <t>Forest Hills Elementary School</t>
  </si>
  <si>
    <t>Lake Oswego SD 7J, Hallinan Elementary School</t>
  </si>
  <si>
    <t>Hallinan Elementary School</t>
  </si>
  <si>
    <t>Lake Oswego SD 7J, Lake Grove Elementary School</t>
  </si>
  <si>
    <t>Lake Grove Elementary School</t>
  </si>
  <si>
    <t>Lake Oswego SD 7J, Lake Oswego Middle School</t>
  </si>
  <si>
    <t>Lake Oswego Middle School</t>
  </si>
  <si>
    <t>Lake Oswego SD 7J, Lake Oswego SD 7J</t>
  </si>
  <si>
    <t>Lake Oswego SD 7J, Lake Oswego Senior High School</t>
  </si>
  <si>
    <t>Lake Oswego Senior High School</t>
  </si>
  <si>
    <t>Lake Oswego SD 7J, Lakeridge High School</t>
  </si>
  <si>
    <t>Lakeridge High School</t>
  </si>
  <si>
    <t>Lake Oswego SD 7J, Lakeridge Middle School</t>
  </si>
  <si>
    <t>Lakeridge Middle School</t>
  </si>
  <si>
    <t>Lake Oswego SD 7J, Oak Creek Elementary School</t>
  </si>
  <si>
    <t>Oak Creek Elementary School</t>
  </si>
  <si>
    <t>Lake Oswego SD 7J, River Grove Elementary School</t>
  </si>
  <si>
    <t>River Grove Elementary School</t>
  </si>
  <si>
    <t>Lake Oswego SD 7J, Westridge Elementary School</t>
  </si>
  <si>
    <t>Westridge Elementary School</t>
  </si>
  <si>
    <t>Lane ESD, Lane ESD</t>
  </si>
  <si>
    <t>Lane ESD</t>
  </si>
  <si>
    <t>Lebanon Community SD 9, Cascades School</t>
  </si>
  <si>
    <t>Lebanon Community SD 9</t>
  </si>
  <si>
    <t>Cascades School</t>
  </si>
  <si>
    <t>Lebanon Community SD 9, Green Acres School</t>
  </si>
  <si>
    <t>Green Acres School</t>
  </si>
  <si>
    <t>Lebanon Community SD 9, Hamilton Creek School</t>
  </si>
  <si>
    <t>Hamilton Creek School</t>
  </si>
  <si>
    <t>Lebanon Community SD 9, Lacomb School</t>
  </si>
  <si>
    <t>Lacomb School</t>
  </si>
  <si>
    <t>Lebanon Community SD 9, Lebanon Community SD 9</t>
  </si>
  <si>
    <t>Lebanon Community SD 9, Lebanon High School</t>
  </si>
  <si>
    <t>Lebanon High School</t>
  </si>
  <si>
    <t>Lebanon Community SD 9, Pioneer School</t>
  </si>
  <si>
    <t>Pioneer School</t>
  </si>
  <si>
    <t>Lebanon Community SD 9, Riverview School</t>
  </si>
  <si>
    <t>Riverview School</t>
  </si>
  <si>
    <t>Lebanon Community SD 9, Sand Ridge Charter School</t>
  </si>
  <si>
    <t>Sand Ridge Charter School</t>
  </si>
  <si>
    <t>Lebanon Community SD 9, Seven Oak Middle School</t>
  </si>
  <si>
    <t>Seven Oak Middle School</t>
  </si>
  <si>
    <t>Lincoln County SD, Crestview Heights School</t>
  </si>
  <si>
    <t>Lincoln County SD</t>
  </si>
  <si>
    <t>Crestview Heights School</t>
  </si>
  <si>
    <t>Lincoln County SD, Eddyville Charter School</t>
  </si>
  <si>
    <t>Eddyville Charter School</t>
  </si>
  <si>
    <t>Lincoln County SD, Lincoln City Career Technical High School</t>
  </si>
  <si>
    <t>Lincoln City Career Technical High School</t>
  </si>
  <si>
    <t>Lincoln County SD, Lincoln County SD</t>
  </si>
  <si>
    <t>Lincoln County SD, Newport High School</t>
  </si>
  <si>
    <t>Newport High School</t>
  </si>
  <si>
    <t>Lincoln County SD, Newport Middle School</t>
  </si>
  <si>
    <t>Newport Middle School</t>
  </si>
  <si>
    <t>Lincoln County SD, Oceanlake Elementary School</t>
  </si>
  <si>
    <t>Oceanlake Elementary School</t>
  </si>
  <si>
    <t>Lincoln County SD, Sam Case Elementary</t>
  </si>
  <si>
    <t>Sam Case Elementary</t>
  </si>
  <si>
    <t>Lincoln County SD, Siletz Valley Early College Academy</t>
  </si>
  <si>
    <t>Siletz Valley Early College Academy</t>
  </si>
  <si>
    <t>Lincoln County SD, Siletz Valley Schools</t>
  </si>
  <si>
    <t>Siletz Valley Schools</t>
  </si>
  <si>
    <t>Lincoln County SD, Taft Elementary School</t>
  </si>
  <si>
    <t>Taft Elementary School</t>
  </si>
  <si>
    <t>Lincoln County SD, Taft High School</t>
  </si>
  <si>
    <t>Taft High School</t>
  </si>
  <si>
    <t>Lincoln County SD, Toledo Elementary School</t>
  </si>
  <si>
    <t>Toledo Elementary School</t>
  </si>
  <si>
    <t>Lincoln County SD, Toledo Senior High School</t>
  </si>
  <si>
    <t>Toledo Senior High School</t>
  </si>
  <si>
    <t>Lincoln County SD, Waldport High School</t>
  </si>
  <si>
    <t>Waldport High School</t>
  </si>
  <si>
    <t>Lincoln County SD, Yaquina View Elementary</t>
  </si>
  <si>
    <t>Yaquina View Elementary</t>
  </si>
  <si>
    <t>Linn Benton Lincoln ESD, Linn Benton Lincoln ESD</t>
  </si>
  <si>
    <t>Linn Benton Lincoln ESD</t>
  </si>
  <si>
    <t>Long Creek SD 17, Long Creek School</t>
  </si>
  <si>
    <t>Long Creek SD 17</t>
  </si>
  <si>
    <t>Long Creek School</t>
  </si>
  <si>
    <t>Lowell SD 71, Lowell Junior/Senior High School</t>
  </si>
  <si>
    <t>Lowell SD 71</t>
  </si>
  <si>
    <t>Lowell Junior/Senior High School</t>
  </si>
  <si>
    <t>Lowell SD 71, Lowell SD 71</t>
  </si>
  <si>
    <t>Lowell SD 71, Lundy Elementary School</t>
  </si>
  <si>
    <t>Lundy Elementary School</t>
  </si>
  <si>
    <t>Lowell SD 71, Mountain View Academy</t>
  </si>
  <si>
    <t>Mountain View Academy</t>
  </si>
  <si>
    <t>Malheur County SD 51, Malheur County SD 51</t>
  </si>
  <si>
    <t>Malheur County SD 51</t>
  </si>
  <si>
    <t>Malheur ESD Region 14, Malheur ESD Region 14</t>
  </si>
  <si>
    <t>Malheur ESD Region 14</t>
  </si>
  <si>
    <t>Mapleton SD 32, Mapleton Elementary School</t>
  </si>
  <si>
    <t>Mapleton SD 32</t>
  </si>
  <si>
    <t>Mapleton Elementary School</t>
  </si>
  <si>
    <t>Mapleton SD 32, Mapleton Jr/Sr High School</t>
  </si>
  <si>
    <t>Mapleton Jr/Sr High School</t>
  </si>
  <si>
    <t>Marcola SD 79J, Marcola Elementary School</t>
  </si>
  <si>
    <t>Marcola SD 79J</t>
  </si>
  <si>
    <t>Marcola Elementary School</t>
  </si>
  <si>
    <t>Marcola SD 79J, Mohawk High School</t>
  </si>
  <si>
    <t>Mohawk High School</t>
  </si>
  <si>
    <t>McKenzie SD 68</t>
  </si>
  <si>
    <t>McKenzie SD 68, McKenzie River Community School</t>
  </si>
  <si>
    <t>McKenzie River Community School</t>
  </si>
  <si>
    <t>McMinnville SD 40, Columbus Elementary School</t>
  </si>
  <si>
    <t>McMinnville SD 40</t>
  </si>
  <si>
    <t>Columbus Elementary School</t>
  </si>
  <si>
    <t>McMinnville SD 40, Duniway Middle School</t>
  </si>
  <si>
    <t>Duniway Middle School</t>
  </si>
  <si>
    <t>McMinnville SD 40, Grandhaven Elementary School</t>
  </si>
  <si>
    <t>Grandhaven Elementary School</t>
  </si>
  <si>
    <t>McMinnville SD 40, McMinnville High School</t>
  </si>
  <si>
    <t>McMinnville High School</t>
  </si>
  <si>
    <t>McMinnville SD 40, McMinnville SD 40</t>
  </si>
  <si>
    <t>McMinnville SD 40, Memorial Elementary School</t>
  </si>
  <si>
    <t>Memorial Elementary School</t>
  </si>
  <si>
    <t>McMinnville SD 40, Newby Elementary School</t>
  </si>
  <si>
    <t>Newby Elementary School</t>
  </si>
  <si>
    <t>McMinnville SD 40, Patton Middle School</t>
  </si>
  <si>
    <t>Patton Middle School</t>
  </si>
  <si>
    <t>McMinnville SD 40, Sue Buel Elementary</t>
  </si>
  <si>
    <t>Sue Buel Elementary</t>
  </si>
  <si>
    <t>McMinnville SD 40, Wascher Elementary School</t>
  </si>
  <si>
    <t>Wascher Elementary School</t>
  </si>
  <si>
    <t>Medford SD 549C, Abraham Lincoln Elementary</t>
  </si>
  <si>
    <t>Medford SD 549C</t>
  </si>
  <si>
    <t>Abraham Lincoln Elementary</t>
  </si>
  <si>
    <t>Medford SD 549C, Central Medford High School</t>
  </si>
  <si>
    <t>Central Medford High School</t>
  </si>
  <si>
    <t>Medford SD 549C, Griffin Creek Elementary School</t>
  </si>
  <si>
    <t>Griffin Creek Elementary School</t>
  </si>
  <si>
    <t>Medford SD 549C, Hedrick Middle School</t>
  </si>
  <si>
    <t>Hedrick Middle School</t>
  </si>
  <si>
    <t>Medford SD 549C, Hoover Elementary School</t>
  </si>
  <si>
    <t>Medford SD 549C, Howard Elementary School</t>
  </si>
  <si>
    <t>Medford SD 549C, Jackson Elementary School</t>
  </si>
  <si>
    <t>Medford SD 549C, Jacksonville Elementary School</t>
  </si>
  <si>
    <t>Jacksonville Elementary School</t>
  </si>
  <si>
    <t>Medford SD 549C, Jefferson Elementary School</t>
  </si>
  <si>
    <t>Medford SD 549C, Kennedy Elementary School</t>
  </si>
  <si>
    <t>Kennedy Elementary School</t>
  </si>
  <si>
    <t>Medford SD 549C, Kids Unlimited Academy</t>
  </si>
  <si>
    <t>Kids Unlimited Academy</t>
  </si>
  <si>
    <t>Medford SD 549C, Logos Public Charter School</t>
  </si>
  <si>
    <t>Logos Public Charter School</t>
  </si>
  <si>
    <t>Medford SD 549C, Lone Pine Elementary School</t>
  </si>
  <si>
    <t>Lone Pine Elementary School</t>
  </si>
  <si>
    <t>Medford SD 549C, Madrone Trail Public Charter School</t>
  </si>
  <si>
    <t>Madrone Trail Public Charter School</t>
  </si>
  <si>
    <t>Medford SD 549C, McLoughlin Middle School</t>
  </si>
  <si>
    <t>McLoughlin Middle School</t>
  </si>
  <si>
    <t>Medford SD 549C, Medford SD 549C</t>
  </si>
  <si>
    <t>Medford SD 549C, North Medford High School</t>
  </si>
  <si>
    <t>North Medford High School</t>
  </si>
  <si>
    <t>Medford SD 549C, Oak Grove Elementary School</t>
  </si>
  <si>
    <t>Medford SD 549C, Roosevelt Elementary School</t>
  </si>
  <si>
    <t>Medford SD 549C, South Medford High School</t>
  </si>
  <si>
    <t>South Medford High School</t>
  </si>
  <si>
    <t>Medford SD 549C, The Valley School of Southern Oregon</t>
  </si>
  <si>
    <t>The Valley School of Southern Oregon</t>
  </si>
  <si>
    <t>Medford SD 549C, Washington Elementary School</t>
  </si>
  <si>
    <t>Washington Elementary School</t>
  </si>
  <si>
    <t>Medford SD 549C, Wilson Elementary School</t>
  </si>
  <si>
    <t>Milton-Freewater Unified SD 7, Central Middle School</t>
  </si>
  <si>
    <t>Milton-Freewater Unified SD 7</t>
  </si>
  <si>
    <t>Central Middle School</t>
  </si>
  <si>
    <t>Milton-Freewater Unified SD 7, Ferndale Elementary School</t>
  </si>
  <si>
    <t>Ferndale Elementary School</t>
  </si>
  <si>
    <t>Milton-Freewater Unified SD 7, McLoughlin High School</t>
  </si>
  <si>
    <t>McLoughlin High School</t>
  </si>
  <si>
    <t>Mitchell SD 55, Insight School of Oregon Painted Hills</t>
  </si>
  <si>
    <t>Mitchell SD 55</t>
  </si>
  <si>
    <t>Mitchell SD 55, Mitchell School</t>
  </si>
  <si>
    <t>Mitchell School</t>
  </si>
  <si>
    <t>Molalla River SD 35, Clarkes Elementary School</t>
  </si>
  <si>
    <t>Molalla River SD 35</t>
  </si>
  <si>
    <t>Clarkes Elementary School</t>
  </si>
  <si>
    <t>Molalla River SD 35, Molalla Elementary School</t>
  </si>
  <si>
    <t>Molalla Elementary School</t>
  </si>
  <si>
    <t>Molalla River SD 35, Molalla High School</t>
  </si>
  <si>
    <t>Molalla High School</t>
  </si>
  <si>
    <t>Molalla River SD 35, Molalla River Academy</t>
  </si>
  <si>
    <t>Molalla River Academy</t>
  </si>
  <si>
    <t>Molalla River SD 35, Molalla River Middle School</t>
  </si>
  <si>
    <t>Molalla River Middle School</t>
  </si>
  <si>
    <t>Molalla River SD 35, Molalla River SD 35</t>
  </si>
  <si>
    <t>Molalla River SD 35, Mulino Elementary School</t>
  </si>
  <si>
    <t>Mulino Elementary School</t>
  </si>
  <si>
    <t>Molalla River SD 35, Renaissance Public Academy</t>
  </si>
  <si>
    <t>Renaissance Public Academy</t>
  </si>
  <si>
    <t>Molalla River SD 35, Rural Dell Elementary School</t>
  </si>
  <si>
    <t>Rural Dell Elementary School</t>
  </si>
  <si>
    <t>Monroe SD 1J, Monroe Grade School</t>
  </si>
  <si>
    <t>Monroe SD 1J</t>
  </si>
  <si>
    <t>Monroe Grade School</t>
  </si>
  <si>
    <t>Monroe SD 1J, Monroe High School</t>
  </si>
  <si>
    <t>Monroe High School</t>
  </si>
  <si>
    <t>Monument SD 8, Monument School</t>
  </si>
  <si>
    <t>Monument SD 8</t>
  </si>
  <si>
    <t>Monument School</t>
  </si>
  <si>
    <t>Morrow SD 1, A C Houghton Elementary School</t>
  </si>
  <si>
    <t>Morrow SD 1</t>
  </si>
  <si>
    <t>A C Houghton Elementary School</t>
  </si>
  <si>
    <t>Morrow SD 1, Heppner Elementary School</t>
  </si>
  <si>
    <t>Heppner Elementary School</t>
  </si>
  <si>
    <t>Morrow SD 1, Heppner Junior/Senior High School</t>
  </si>
  <si>
    <t>Heppner Junior/Senior High School</t>
  </si>
  <si>
    <t>Morrow SD 1, Irrigon Elementary School</t>
  </si>
  <si>
    <t>Irrigon Elementary School</t>
  </si>
  <si>
    <t>Morrow SD 1, Irrigon Junior/Senior High School</t>
  </si>
  <si>
    <t>Irrigon Junior/Senior High School</t>
  </si>
  <si>
    <t>Morrow SD 1, Morrow SD 1</t>
  </si>
  <si>
    <t>Morrow SD 1, Riverside Junior/Senior High School</t>
  </si>
  <si>
    <t>Riverside Junior/Senior High School</t>
  </si>
  <si>
    <t>Morrow SD 1, Sam Boardman Elementary School</t>
  </si>
  <si>
    <t>Sam Boardman Elementary School</t>
  </si>
  <si>
    <t>Morrow SD 1, Windy River Elementary School</t>
  </si>
  <si>
    <t>Windy River Elementary School</t>
  </si>
  <si>
    <t>Mt Angel SD 91, John F Kennedy High School</t>
  </si>
  <si>
    <t>Mt Angel SD 91</t>
  </si>
  <si>
    <t>John F Kennedy High School</t>
  </si>
  <si>
    <t>Mt Angel SD 91, Mt Angel Middle School</t>
  </si>
  <si>
    <t>Mt Angel Middle School</t>
  </si>
  <si>
    <t>Mt Angel SD 91, St Marys Public School</t>
  </si>
  <si>
    <t>St Marys Public School</t>
  </si>
  <si>
    <t>Multnomah ESD, Helensview High School</t>
  </si>
  <si>
    <t>Multnomah ESD</t>
  </si>
  <si>
    <t>Helensview High School</t>
  </si>
  <si>
    <t>Multnomah ESD, Multnomah ESD</t>
  </si>
  <si>
    <t>Multnomah ESD, The Creeks</t>
  </si>
  <si>
    <t>The Creeks</t>
  </si>
  <si>
    <t>Myrtle Point SD 41, Myrtle Crest School</t>
  </si>
  <si>
    <t>Myrtle Point SD 41</t>
  </si>
  <si>
    <t>Myrtle Crest School</t>
  </si>
  <si>
    <t>Myrtle Point SD 41, Myrtle Point High School</t>
  </si>
  <si>
    <t>Myrtle Point High School</t>
  </si>
  <si>
    <t>Neah-Kah-Nie SD 56, Garibaldi Elementary School</t>
  </si>
  <si>
    <t>Neah-Kah-Nie SD 56</t>
  </si>
  <si>
    <t>Garibaldi Elementary School</t>
  </si>
  <si>
    <t>Neah-Kah-Nie SD 56, Neah-Kah-Nie High School</t>
  </si>
  <si>
    <t>Neah-Kah-Nie High School</t>
  </si>
  <si>
    <t>Neah-Kah-Nie SD 56, Neah-Kah-Nie Middle School</t>
  </si>
  <si>
    <t>Neah-Kah-Nie Middle School</t>
  </si>
  <si>
    <t>Neah-Kah-Nie SD 56, Nehalem Elementary School</t>
  </si>
  <si>
    <t>Nehalem Elementary School</t>
  </si>
  <si>
    <t>Nestucca Valley SD 101J, Nestucca High School</t>
  </si>
  <si>
    <t>Nestucca Valley SD 101J</t>
  </si>
  <si>
    <t>Nestucca High School</t>
  </si>
  <si>
    <t>Nestucca Valley SD 101J, Nestucca Valley Elementary</t>
  </si>
  <si>
    <t>Nestucca Valley Elementary</t>
  </si>
  <si>
    <t>Nestucca Valley SD 101J, Nestucca Valley SD 101J</t>
  </si>
  <si>
    <t>Newberg SD 29J, Antonia Crater Elementary School</t>
  </si>
  <si>
    <t>Newberg SD 29J</t>
  </si>
  <si>
    <t>Antonia Crater Elementary School</t>
  </si>
  <si>
    <t>Newberg SD 29J, Chehalem Valley Middle School</t>
  </si>
  <si>
    <t>Chehalem Valley Middle School</t>
  </si>
  <si>
    <t>Newberg SD 29J, Dundee Elementary School</t>
  </si>
  <si>
    <t>Dundee Elementary School</t>
  </si>
  <si>
    <t>Newberg SD 29J, Edwards Elementary School</t>
  </si>
  <si>
    <t>Edwards Elementary School</t>
  </si>
  <si>
    <t>Newberg SD 29J, Ewing Young Elementary School</t>
  </si>
  <si>
    <t>Ewing Young Elementary School</t>
  </si>
  <si>
    <t>Newberg SD 29J, Joan Austin Elementary School</t>
  </si>
  <si>
    <t>Joan Austin Elementary School</t>
  </si>
  <si>
    <t>Newberg SD 29J, Mabel Rush Elementary School</t>
  </si>
  <si>
    <t>Mabel Rush Elementary School</t>
  </si>
  <si>
    <t>Newberg SD 29J, Mountain View Middle School</t>
  </si>
  <si>
    <t>Newberg SD 29J, Newberg SD 29J</t>
  </si>
  <si>
    <t>Newberg SD 29J, Newberg Senior High School</t>
  </si>
  <si>
    <t>Newberg Senior High School</t>
  </si>
  <si>
    <t>North Bend SD 13, Hillcrest Elementary School</t>
  </si>
  <si>
    <t>North Bend SD 13</t>
  </si>
  <si>
    <t>Hillcrest Elementary School</t>
  </si>
  <si>
    <t>North Bend SD 13, Kairos - Coastline</t>
  </si>
  <si>
    <t>Kairos - Coastline</t>
  </si>
  <si>
    <t>Lighthouse Charter School</t>
  </si>
  <si>
    <t>North Bend SD 13, North Bay Elementary School</t>
  </si>
  <si>
    <t>North Bay Elementary School</t>
  </si>
  <si>
    <t>North Bend SD 13, North Bend Middle School</t>
  </si>
  <si>
    <t>North Bend Middle School</t>
  </si>
  <si>
    <t>North Bend SD 13, North Bend SD 13</t>
  </si>
  <si>
    <t>North Bend SD 13, North Bend Senior High School</t>
  </si>
  <si>
    <t>North Bend Senior High School</t>
  </si>
  <si>
    <t>North Bend SD 13, Oregon Virtual Academy</t>
  </si>
  <si>
    <t>Oregon Virtual Academy</t>
  </si>
  <si>
    <t>North Central ESD, North Central ESD</t>
  </si>
  <si>
    <t>North Central ESD</t>
  </si>
  <si>
    <t>North Clackamas SD 12, Alder Creek Middle School</t>
  </si>
  <si>
    <t>North Clackamas SD 12</t>
  </si>
  <si>
    <t>Alder Creek Middle School</t>
  </si>
  <si>
    <t>North Clackamas SD 12, Ardenwald Elementary School</t>
  </si>
  <si>
    <t>Ardenwald Elementary School</t>
  </si>
  <si>
    <t>North Clackamas SD 12, Bilquist Elementary School</t>
  </si>
  <si>
    <t>Bilquist Elementary School</t>
  </si>
  <si>
    <t>North Clackamas SD 12, Cascade Heights Public Charter School</t>
  </si>
  <si>
    <t>Cascade Heights Public Charter School</t>
  </si>
  <si>
    <t>North Clackamas SD 12, Clackamas High School</t>
  </si>
  <si>
    <t>Clackamas High School</t>
  </si>
  <si>
    <t>North Clackamas SD 12, Clackamas Middle College</t>
  </si>
  <si>
    <t>Clackamas Middle College</t>
  </si>
  <si>
    <t>North Clackamas SD 12, Clackamas Web Academy</t>
  </si>
  <si>
    <t>Clackamas Web Academy</t>
  </si>
  <si>
    <t>North Clackamas SD 12, El Puente</t>
  </si>
  <si>
    <t>El Puente</t>
  </si>
  <si>
    <t>North Clackamas SD 12, Happy Valley Elementary School</t>
  </si>
  <si>
    <t>Happy Valley Elementary School</t>
  </si>
  <si>
    <t>North Clackamas SD 12, Happy Valley Middle School</t>
  </si>
  <si>
    <t>Happy Valley Middle School</t>
  </si>
  <si>
    <t>North Clackamas SD 12, Lewelling Elementary School</t>
  </si>
  <si>
    <t>Lewelling Elementary School</t>
  </si>
  <si>
    <t>North Clackamas SD 12, Linwood Elementary School</t>
  </si>
  <si>
    <t>Linwood Elementary School</t>
  </si>
  <si>
    <t>North Clackamas SD 12, Milwaukie Academy of the Arts</t>
  </si>
  <si>
    <t>Milwaukie Academy of the Arts</t>
  </si>
  <si>
    <t>North Clackamas SD 12, Milwaukie Elementary School</t>
  </si>
  <si>
    <t>Milwaukie Elementary School</t>
  </si>
  <si>
    <t>North Clackamas SD 12, Milwaukie High School</t>
  </si>
  <si>
    <t>Milwaukie High School</t>
  </si>
  <si>
    <t>North Clackamas SD 12, Mount Scott Elementary School</t>
  </si>
  <si>
    <t>Mount Scott Elementary School</t>
  </si>
  <si>
    <t>North Clackamas SD 12, New Urban High School</t>
  </si>
  <si>
    <t>New Urban High School</t>
  </si>
  <si>
    <t>North Clackamas SD 12, North Clackamas SD 12</t>
  </si>
  <si>
    <t>North Clackamas SD 12, Oak Grove Elementary</t>
  </si>
  <si>
    <t>Oak Grove Elementary</t>
  </si>
  <si>
    <t>North Clackamas SD 12, Oregon Trail Elementary School</t>
  </si>
  <si>
    <t>Oregon Trail Elementary School</t>
  </si>
  <si>
    <t>North Clackamas SD 12, Putnam High School</t>
  </si>
  <si>
    <t>Putnam High School</t>
  </si>
  <si>
    <t>North Clackamas SD 12, Riverside Elementary School</t>
  </si>
  <si>
    <t>North Clackamas SD 12, Rock Creek Middle School</t>
  </si>
  <si>
    <t>Rock Creek Middle School</t>
  </si>
  <si>
    <t>North Clackamas SD 12, Rowe Middle School</t>
  </si>
  <si>
    <t>Rowe Middle School</t>
  </si>
  <si>
    <t>North Clackamas SD 12, Sabin-Schellenberg Professional-Technical Center</t>
  </si>
  <si>
    <t>Sabin-Schellenberg Professional-Technical Center</t>
  </si>
  <si>
    <t>North Clackamas SD 12, Scouters Mountain Elementary</t>
  </si>
  <si>
    <t>Scouters Mountain Elementary</t>
  </si>
  <si>
    <t>North Clackamas SD 12, Sojourner School</t>
  </si>
  <si>
    <t>Sojourner School</t>
  </si>
  <si>
    <t>North Clackamas SD 12, Spring Mountain Elementary School</t>
  </si>
  <si>
    <t>Spring Mountain Elementary School</t>
  </si>
  <si>
    <t>North Clackamas SD 12, Sunnyside Elementary School</t>
  </si>
  <si>
    <t>Sunnyside Elementary School</t>
  </si>
  <si>
    <t>North Clackamas SD 12, Verne A Duncan Elementary School</t>
  </si>
  <si>
    <t>Verne A Duncan Elementary School</t>
  </si>
  <si>
    <t>North Clackamas SD 12, View Acres Elementary School</t>
  </si>
  <si>
    <t>View Acres Elementary School</t>
  </si>
  <si>
    <t>North Clackamas SD 12, Whitcomb Elementary School</t>
  </si>
  <si>
    <t>Whitcomb Elementary School</t>
  </si>
  <si>
    <t>North Douglas SD 22, North Douglas Elementary School</t>
  </si>
  <si>
    <t>North Douglas SD 22</t>
  </si>
  <si>
    <t>North Douglas Elementary School</t>
  </si>
  <si>
    <t>North Douglas SD 22, North Douglas High School</t>
  </si>
  <si>
    <t>North Douglas High School</t>
  </si>
  <si>
    <t>North Lake SD 14, North Lake School</t>
  </si>
  <si>
    <t>North Lake SD 14</t>
  </si>
  <si>
    <t>North Lake School</t>
  </si>
  <si>
    <t>North Marion SD 15, North Marion High School</t>
  </si>
  <si>
    <t>North Marion SD 15</t>
  </si>
  <si>
    <t>North Marion High School</t>
  </si>
  <si>
    <t>North Marion SD 15, North Marion Intermediate School</t>
  </si>
  <si>
    <t>North Marion Intermediate School</t>
  </si>
  <si>
    <t>North Marion SD 15, North Marion Middle School</t>
  </si>
  <si>
    <t>North Marion Middle School</t>
  </si>
  <si>
    <t>North Marion SD 15, North Marion Primary School</t>
  </si>
  <si>
    <t>North Marion Primary School</t>
  </si>
  <si>
    <t>North Marion SD 15, North Marion SD 15</t>
  </si>
  <si>
    <t>North Powder SD 8J, North Powder Charter School</t>
  </si>
  <si>
    <t>North Powder SD 8J</t>
  </si>
  <si>
    <t>North Powder Charter School</t>
  </si>
  <si>
    <t>North Santiam SD 29J, Mari-Linn Elementary School</t>
  </si>
  <si>
    <t>North Santiam SD 29J</t>
  </si>
  <si>
    <t>Mari-Linn Elementary School</t>
  </si>
  <si>
    <t>North Santiam SD 29J, Stayton Elementary School</t>
  </si>
  <si>
    <t>Stayton Elementary School</t>
  </si>
  <si>
    <t>North Santiam SD 29J, Stayton High School</t>
  </si>
  <si>
    <t>Stayton High School</t>
  </si>
  <si>
    <t>North Santiam SD 29J, Stayton Middle School</t>
  </si>
  <si>
    <t>Stayton Middle School</t>
  </si>
  <si>
    <t>North Santiam SD 29J, Sublimity Elementary School</t>
  </si>
  <si>
    <t>Sublimity Elementary School</t>
  </si>
  <si>
    <t>North Wasco County SD 21, Chenowith Elementary School</t>
  </si>
  <si>
    <t>North Wasco County SD 21</t>
  </si>
  <si>
    <t>Chenowith Elementary School</t>
  </si>
  <si>
    <t>North Wasco County SD 21, Colonel Wright Elementary School</t>
  </si>
  <si>
    <t>Colonel Wright Elementary School</t>
  </si>
  <si>
    <t>North Wasco County SD 21, Dry Hollow Elementary School</t>
  </si>
  <si>
    <t>Dry Hollow Elementary School</t>
  </si>
  <si>
    <t>North Wasco County SD 21, Mosier Community School</t>
  </si>
  <si>
    <t>Mosier Community School</t>
  </si>
  <si>
    <t>North Wasco County SD 21, North Wasco County SD 21</t>
  </si>
  <si>
    <t>North Wasco County SD 21, The Dalles High School</t>
  </si>
  <si>
    <t>The Dalles High School</t>
  </si>
  <si>
    <t>North Wasco County SD 21, The Dalles Middle School</t>
  </si>
  <si>
    <t>The Dalles Middle School</t>
  </si>
  <si>
    <t>North Wasco County SD 21, Wahtonka Community School</t>
  </si>
  <si>
    <t>Wahtonka Community School</t>
  </si>
  <si>
    <t>Northwest Regional ESD, Northwest Regional ESD</t>
  </si>
  <si>
    <t>Northwest Regional ESD</t>
  </si>
  <si>
    <t>Nyssa SD 26, Nyssa Elementary School</t>
  </si>
  <si>
    <t>Nyssa SD 26</t>
  </si>
  <si>
    <t>Nyssa Elementary School</t>
  </si>
  <si>
    <t>Nyssa SD 26, Nyssa High School</t>
  </si>
  <si>
    <t>Nyssa High School</t>
  </si>
  <si>
    <t>Nyssa SD 26, Nyssa Middle School</t>
  </si>
  <si>
    <t>Nyssa Middle School</t>
  </si>
  <si>
    <t>Oakland SD 1, Lincoln Middle School</t>
  </si>
  <si>
    <t>Oakland SD 1</t>
  </si>
  <si>
    <t>Lincoln Middle School</t>
  </si>
  <si>
    <t>Oakland SD 1, Oakland Elementary School</t>
  </si>
  <si>
    <t>Oakland Elementary School</t>
  </si>
  <si>
    <t>Oakland SD 1, Oakland High School</t>
  </si>
  <si>
    <t>Oakland High School</t>
  </si>
  <si>
    <t>Oakridge SD 76, Oakridge Elementary School</t>
  </si>
  <si>
    <t>Oakridge SD 76</t>
  </si>
  <si>
    <t>Oakridge Elementary School</t>
  </si>
  <si>
    <t>Oakridge SD 76, Oakridge High School</t>
  </si>
  <si>
    <t>Oakridge High School</t>
  </si>
  <si>
    <t>Oakridge SD 76, Oakridge Junior High School</t>
  </si>
  <si>
    <t>Oakridge Junior High School</t>
  </si>
  <si>
    <t>New Bridge High School</t>
  </si>
  <si>
    <t>Ontario SD 8C, Aiken Elementary School</t>
  </si>
  <si>
    <t>Ontario SD 8C</t>
  </si>
  <si>
    <t>Aiken Elementary School</t>
  </si>
  <si>
    <t>Ontario SD 8C, Alameda Elementary School</t>
  </si>
  <si>
    <t>Alameda Elementary School</t>
  </si>
  <si>
    <t>Ontario SD 8C, Cairo Elementary School</t>
  </si>
  <si>
    <t>Cairo Elementary School</t>
  </si>
  <si>
    <t>Ontario SD 8C, May Roberts Elementary School</t>
  </si>
  <si>
    <t>May Roberts Elementary School</t>
  </si>
  <si>
    <t>Ontario SD 8C, Ontario High School</t>
  </si>
  <si>
    <t>Ontario High School</t>
  </si>
  <si>
    <t>Ontario SD 8C, Ontario Middle School</t>
  </si>
  <si>
    <t>Ontario Middle School</t>
  </si>
  <si>
    <t>Ontario SD 8C, Ontario SD 8C</t>
  </si>
  <si>
    <t>Ontario SD 8C, Pioneer Elementary School</t>
  </si>
  <si>
    <t>Pioneer Elementary School</t>
  </si>
  <si>
    <t>Oregon City SD 62, Alliance Charter Academy</t>
  </si>
  <si>
    <t>Oregon City SD 62</t>
  </si>
  <si>
    <t>Alliance Charter Academy</t>
  </si>
  <si>
    <t>Oregon City SD 62, Beavercreek Elementary School</t>
  </si>
  <si>
    <t>Beavercreek Elementary School</t>
  </si>
  <si>
    <t>Oregon City SD 62, Candy Lane Elementary School</t>
  </si>
  <si>
    <t>Candy Lane Elementary School</t>
  </si>
  <si>
    <t>Oregon City SD 62, Clackamas Academy of Industrial Sciences</t>
  </si>
  <si>
    <t>Clackamas Academy of Industrial Sciences</t>
  </si>
  <si>
    <t>Oregon City SD 62, Gaffney Lane Elementary School</t>
  </si>
  <si>
    <t>Gaffney Lane Elementary School</t>
  </si>
  <si>
    <t>Oregon City SD 62, Gardiner Middle School</t>
  </si>
  <si>
    <t>Gardiner Middle School</t>
  </si>
  <si>
    <t>Oregon City SD 62, Holcomb Elementary School</t>
  </si>
  <si>
    <t>Holcomb Elementary School</t>
  </si>
  <si>
    <t>Oregon City SD 62, Jennings Lodge Elementary School</t>
  </si>
  <si>
    <t>Jennings Lodge Elementary School</t>
  </si>
  <si>
    <t>Oregon City SD 62, John McLoughlin Elementary School</t>
  </si>
  <si>
    <t>John McLoughlin Elementary School</t>
  </si>
  <si>
    <t>Oregon City SD 62, Ogden Middle School</t>
  </si>
  <si>
    <t>Ogden Middle School</t>
  </si>
  <si>
    <t>Oregon City SD 62, Oregon City SD 62</t>
  </si>
  <si>
    <t>Oregon City SD 62, Oregon City Senior High School</t>
  </si>
  <si>
    <t>Oregon City Senior High School</t>
  </si>
  <si>
    <t>Oregon City SD 62, Oregon City Service Learning Academy</t>
  </si>
  <si>
    <t>Oregon City Service Learning Academy</t>
  </si>
  <si>
    <t>Oregon City SD 62, Redland Elementary School</t>
  </si>
  <si>
    <t>Redland Elementary School</t>
  </si>
  <si>
    <t>Oregon City SD 62, Springwater Environmental Sciences School</t>
  </si>
  <si>
    <t>Springwater Environmental Sciences School</t>
  </si>
  <si>
    <t>Oregon Trail SD 46, Boring Middle School</t>
  </si>
  <si>
    <t>Oregon Trail SD 46</t>
  </si>
  <si>
    <t>Boring Middle School</t>
  </si>
  <si>
    <t>Oregon Trail SD 46, Cedar Ridge Middle School</t>
  </si>
  <si>
    <t>Cedar Ridge Middle School</t>
  </si>
  <si>
    <t>Oregon Trail SD 46, Firwood Elementary School</t>
  </si>
  <si>
    <t>Firwood Elementary School</t>
  </si>
  <si>
    <t>Oregon Trail SD 46, Kelso Elementary School</t>
  </si>
  <si>
    <t>Kelso Elementary School</t>
  </si>
  <si>
    <t>Oregon Trail SD 46, Naas Elementary School</t>
  </si>
  <si>
    <t>Naas Elementary School</t>
  </si>
  <si>
    <t>Oregon Trail SD 46, Oregon Trail  Academy</t>
  </si>
  <si>
    <t>Oregon Trail  Academy</t>
  </si>
  <si>
    <t>Oregon Trail SD 46, Oregon Trail SD 46</t>
  </si>
  <si>
    <t>Oregon Trail SD 46, Sandy Grade School</t>
  </si>
  <si>
    <t>Sandy Grade School</t>
  </si>
  <si>
    <t>Oregon Trail SD 46, Sandy High School</t>
  </si>
  <si>
    <t>Sandy High School</t>
  </si>
  <si>
    <t>Oregon Trail SD 46, Welches Elementary School</t>
  </si>
  <si>
    <t>Welches Elementary School</t>
  </si>
  <si>
    <t>Oregon Trail SD 46, Welches Middle School</t>
  </si>
  <si>
    <t>Welches Middle School</t>
  </si>
  <si>
    <t>Paisley SD 11, Paisley School</t>
  </si>
  <si>
    <t>Paisley SD 11</t>
  </si>
  <si>
    <t>Paisley School</t>
  </si>
  <si>
    <t>Parkrose SD 3, Parkrose High School</t>
  </si>
  <si>
    <t>Parkrose SD 3</t>
  </si>
  <si>
    <t>Parkrose High School</t>
  </si>
  <si>
    <t>Parkrose SD 3, Parkrose Middle School</t>
  </si>
  <si>
    <t>Parkrose Middle School</t>
  </si>
  <si>
    <t>Parkrose SD 3, Parkrose SD 3</t>
  </si>
  <si>
    <t>Parkrose SD 3, Prescott Elementary School</t>
  </si>
  <si>
    <t>Prescott Elementary School</t>
  </si>
  <si>
    <t>Parkrose SD 3, Russell Elementary</t>
  </si>
  <si>
    <t>Russell Elementary</t>
  </si>
  <si>
    <t>Parkrose SD 3, Sacramento Elementary School</t>
  </si>
  <si>
    <t>Sacramento Elementary School</t>
  </si>
  <si>
    <t>Parkrose SD 3, Shaver Elementary School</t>
  </si>
  <si>
    <t>Shaver Elementary School</t>
  </si>
  <si>
    <t>Pendleton SD 16</t>
  </si>
  <si>
    <t>Pendleton SD 16, McKay Creek Elementary School</t>
  </si>
  <si>
    <t>McKay Creek Elementary School</t>
  </si>
  <si>
    <t>Pendleton SD 16, Nixyaawii Community School</t>
  </si>
  <si>
    <t>Nixyaawii Community School</t>
  </si>
  <si>
    <t>Pendleton SD 16, Pendleton Early Learning Center</t>
  </si>
  <si>
    <t>Pendleton Early Learning Center</t>
  </si>
  <si>
    <t>Pendleton SD 16, Pendleton High School</t>
  </si>
  <si>
    <t>Pendleton High School</t>
  </si>
  <si>
    <t>Pendleton SD 16, Sherwood Heights Elementary School</t>
  </si>
  <si>
    <t>Sherwood Heights Elementary School</t>
  </si>
  <si>
    <t>Pendleton SD 16, Sunridge Middle School</t>
  </si>
  <si>
    <t>Sunridge Middle School</t>
  </si>
  <si>
    <t>Pendleton SD 16, Washington Elementary School</t>
  </si>
  <si>
    <t>Perrydale SD 21, Perrydale School</t>
  </si>
  <si>
    <t>Perrydale SD 21</t>
  </si>
  <si>
    <t>Perrydale School</t>
  </si>
  <si>
    <t>Philomath SD 17J, Blodgett Elementary School</t>
  </si>
  <si>
    <t>Philomath SD 17J</t>
  </si>
  <si>
    <t>Blodgett Elementary School</t>
  </si>
  <si>
    <t>Philomath SD 17J, Clemens Primary School</t>
  </si>
  <si>
    <t>Clemens Primary School</t>
  </si>
  <si>
    <t>Philomath SD 17J, Kings Valley Charter School</t>
  </si>
  <si>
    <t>Kings Valley Charter School</t>
  </si>
  <si>
    <t>Philomath SD 17J, Philomath Elementary School</t>
  </si>
  <si>
    <t>Philomath Elementary School</t>
  </si>
  <si>
    <t>Philomath SD 17J, Philomath High School</t>
  </si>
  <si>
    <t>Philomath High School</t>
  </si>
  <si>
    <t>Philomath SD 17J, Philomath Middle School</t>
  </si>
  <si>
    <t>Philomath Middle School</t>
  </si>
  <si>
    <t>Phoenix-Talent SD 4, Armadillo Technical Institute</t>
  </si>
  <si>
    <t>Phoenix-Talent SD 4</t>
  </si>
  <si>
    <t>Armadillo Technical Institute</t>
  </si>
  <si>
    <t>Phoenix-Talent SD 4, Orchard Hill Elementary School</t>
  </si>
  <si>
    <t>Orchard Hill Elementary School</t>
  </si>
  <si>
    <t>Phoenix-Talent SD 4, Phoenix Elementary School</t>
  </si>
  <si>
    <t>Phoenix Elementary School</t>
  </si>
  <si>
    <t>Phoenix-Talent SD 4, Phoenix High School</t>
  </si>
  <si>
    <t>Phoenix High School</t>
  </si>
  <si>
    <t>Phoenix-Talent SD 4, Phoenix-Talent SD 4</t>
  </si>
  <si>
    <t>Phoenix-Talent SD 4, Talent Elementary School</t>
  </si>
  <si>
    <t>Talent Elementary School</t>
  </si>
  <si>
    <t>Phoenix-Talent SD 4, Talent Middle School</t>
  </si>
  <si>
    <t>Talent Middle School</t>
  </si>
  <si>
    <t>Pilot Rock SD 2, Pilot Rock Elementary School</t>
  </si>
  <si>
    <t>Pilot Rock SD 2</t>
  </si>
  <si>
    <t>Pilot Rock Elementary School</t>
  </si>
  <si>
    <t>Pilot Rock SD 2, Pilot Rock High School</t>
  </si>
  <si>
    <t>Pilot Rock High School</t>
  </si>
  <si>
    <t>Pine Creek SD 5, Pine Creek Elementary School</t>
  </si>
  <si>
    <t>Pine Creek SD 5</t>
  </si>
  <si>
    <t>Pine Creek Elementary School</t>
  </si>
  <si>
    <t>Pine Eagle SD 61, Pine Eagle Charter School</t>
  </si>
  <si>
    <t>Pine Eagle SD 61</t>
  </si>
  <si>
    <t>Pine Eagle Charter School</t>
  </si>
  <si>
    <t>Pinehurst SD 94, Pinehurst Elementary School</t>
  </si>
  <si>
    <t>Pinehurst SD 94</t>
  </si>
  <si>
    <t>Pinehurst Elementary School</t>
  </si>
  <si>
    <t>Pinehurst SD 94, Pinehurst SD 94</t>
  </si>
  <si>
    <t>Pleasant Hill SD 1, Pleasant Hill Elementary School</t>
  </si>
  <si>
    <t>Pleasant Hill SD 1</t>
  </si>
  <si>
    <t>Pleasant Hill Elementary School</t>
  </si>
  <si>
    <t>Pleasant Hill SD 1, Pleasant Hill High School</t>
  </si>
  <si>
    <t>Pleasant Hill High School</t>
  </si>
  <si>
    <t>Pleasant Hill SD 1, Pleasant Hill SD 1</t>
  </si>
  <si>
    <t>Plush SD 18, Plush Elementary School</t>
  </si>
  <si>
    <t>Plush SD 18</t>
  </si>
  <si>
    <t>Plush Elementary School</t>
  </si>
  <si>
    <t>Plush SD 18, Plush SD 18</t>
  </si>
  <si>
    <t>Port Orford-Langlois SD 2CJ, Driftwood Elementary School</t>
  </si>
  <si>
    <t>Port Orford-Langlois SD 2CJ</t>
  </si>
  <si>
    <t>Driftwood Elementary School</t>
  </si>
  <si>
    <t>Port Orford-Langlois SD 2CJ, Pacific High School</t>
  </si>
  <si>
    <t>Pacific High School</t>
  </si>
  <si>
    <t>Portland SD 1J, Abernethy Elementary School</t>
  </si>
  <si>
    <t>Portland SD 1J</t>
  </si>
  <si>
    <t>Abernethy Elementary School</t>
  </si>
  <si>
    <t>Portland SD 1J, Ainsworth Elementary School</t>
  </si>
  <si>
    <t>Ainsworth Elementary School</t>
  </si>
  <si>
    <t>Portland SD 1J, Alameda Elementary School</t>
  </si>
  <si>
    <t>Portland SD 1J, Alliance High School</t>
  </si>
  <si>
    <t>Alliance High School</t>
  </si>
  <si>
    <t>Portland SD 1J, Arleta Elementary School</t>
  </si>
  <si>
    <t>Arleta Elementary School</t>
  </si>
  <si>
    <t>Portland SD 1J, Astor Elementary School</t>
  </si>
  <si>
    <t>Portland SD 1J, Atkinson Elementary School</t>
  </si>
  <si>
    <t>Atkinson Elementary School</t>
  </si>
  <si>
    <t>Portland SD 1J, Beach Elementary School</t>
  </si>
  <si>
    <t>Beach Elementary School</t>
  </si>
  <si>
    <t>Portland SD 1J, Beaumont Middle School</t>
  </si>
  <si>
    <t>Beaumont Middle School</t>
  </si>
  <si>
    <t>Portland SD 1J, Benson Polytechnic High School</t>
  </si>
  <si>
    <t>Benson Polytechnic High School</t>
  </si>
  <si>
    <t xml:space="preserve">Portland SD 1J, Beverly Cleary School </t>
  </si>
  <si>
    <t xml:space="preserve">Beverly Cleary School </t>
  </si>
  <si>
    <t>Portland SD 1J, Boise-Eliot Elementary School</t>
  </si>
  <si>
    <t>Boise-Eliot Elementary School</t>
  </si>
  <si>
    <t>Portland SD 1J, Bridger Elementary School</t>
  </si>
  <si>
    <t>Bridger Elementary School</t>
  </si>
  <si>
    <t>Portland SD 1J, Bridlemile Elementary School</t>
  </si>
  <si>
    <t>Bridlemile Elementary School</t>
  </si>
  <si>
    <t>Portland SD 1J, Buckman Elementary School</t>
  </si>
  <si>
    <t>Buckman Elementary School</t>
  </si>
  <si>
    <t>Portland SD 1J, Capitol Hill Elementary School</t>
  </si>
  <si>
    <t>Capitol Hill Elementary School</t>
  </si>
  <si>
    <t>Portland SD 1J, Cesar Chavez K-8 School</t>
  </si>
  <si>
    <t>Cesar Chavez K-8 School</t>
  </si>
  <si>
    <t>Portland SD 1J, Chapman Elementary School</t>
  </si>
  <si>
    <t>Chapman Elementary School</t>
  </si>
  <si>
    <t>Portland SD 1J, Cleveland High School</t>
  </si>
  <si>
    <t>Cleveland High School</t>
  </si>
  <si>
    <t>Portland SD 1J, Creative Science School</t>
  </si>
  <si>
    <t>Creative Science School</t>
  </si>
  <si>
    <t>Portland SD 1J, Creston Elementary School</t>
  </si>
  <si>
    <t>Creston Elementary School</t>
  </si>
  <si>
    <t>Portland SD 1J, da Vinci Middle School</t>
  </si>
  <si>
    <t>da Vinci Middle School</t>
  </si>
  <si>
    <t>Portland SD 1J, Duniway Elementary School</t>
  </si>
  <si>
    <t>Duniway Elementary School</t>
  </si>
  <si>
    <t>Portland SD 1J, Emerson School</t>
  </si>
  <si>
    <t>Emerson School</t>
  </si>
  <si>
    <t>Portland SD 1J, Faubion Elementary School</t>
  </si>
  <si>
    <t>Faubion Elementary School</t>
  </si>
  <si>
    <t>Portland SD 1J, Forest Park Elementary School</t>
  </si>
  <si>
    <t>Forest Park Elementary School</t>
  </si>
  <si>
    <t>Portland SD 1J, Franklin High School</t>
  </si>
  <si>
    <t>Franklin High School</t>
  </si>
  <si>
    <t>Portland SD 1J, George Middle School</t>
  </si>
  <si>
    <t>George Middle School</t>
  </si>
  <si>
    <t>Portland SD 1J, Glencoe Elementary School</t>
  </si>
  <si>
    <t>Glencoe Elementary School</t>
  </si>
  <si>
    <t>Portland SD 1J, Grant High School</t>
  </si>
  <si>
    <t>Grant High School</t>
  </si>
  <si>
    <t>Portland SD 1J, Gray Middle School</t>
  </si>
  <si>
    <t>Gray Middle School</t>
  </si>
  <si>
    <t>Portland SD 1J, Grout Elementary School</t>
  </si>
  <si>
    <t>Grout Elementary School</t>
  </si>
  <si>
    <t>Portland SD 1J, Harrison Park School</t>
  </si>
  <si>
    <t>Harrison Park School</t>
  </si>
  <si>
    <t>Portland SD 1J, Hayhurst Elementary School</t>
  </si>
  <si>
    <t>Hayhurst Elementary School</t>
  </si>
  <si>
    <t>Portland SD 1J, Hosford Middle School</t>
  </si>
  <si>
    <t>Hosford Middle School</t>
  </si>
  <si>
    <t>Portland SD 1J, Irvington Elementary School</t>
  </si>
  <si>
    <t>Irvington Elementary School</t>
  </si>
  <si>
    <t>Portland SD 1J, Jackson Middle School</t>
  </si>
  <si>
    <t>Jackson Middle School</t>
  </si>
  <si>
    <t>Portland SD 1J, James John Elementary School</t>
  </si>
  <si>
    <t>James John Elementary School</t>
  </si>
  <si>
    <t>Portland SD 1J, Jefferson High School</t>
  </si>
  <si>
    <t>Portland SD 1J, Kairos PDX</t>
  </si>
  <si>
    <t>Kairos PDX</t>
  </si>
  <si>
    <t>Portland SD 1J, Kelly Elementary School</t>
  </si>
  <si>
    <t>Kelly Elementary School</t>
  </si>
  <si>
    <t>Portland SD 1J, Lane Middle School</t>
  </si>
  <si>
    <t>Lane Middle School</t>
  </si>
  <si>
    <t>Portland SD 1J, Laurelhurst Elementary School</t>
  </si>
  <si>
    <t>Laurelhurst Elementary School</t>
  </si>
  <si>
    <t>Portland SD 1J, Le Monde French Immersion Public Charter School</t>
  </si>
  <si>
    <t>Le Monde French Immersion Public Charter School</t>
  </si>
  <si>
    <t>Portland SD 1J, Lee Elementary School</t>
  </si>
  <si>
    <t>Lee Elementary School</t>
  </si>
  <si>
    <t>Portland SD 1J, Lent Elementary School</t>
  </si>
  <si>
    <t>Lent Elementary School</t>
  </si>
  <si>
    <t>Portland SD 1J, Lewis Elementary School</t>
  </si>
  <si>
    <t>Lewis Elementary School</t>
  </si>
  <si>
    <t>Portland SD 1J, Lincoln High School</t>
  </si>
  <si>
    <t>Lincoln High School</t>
  </si>
  <si>
    <t>Portland SD 1J, Llewellyn Elementary School</t>
  </si>
  <si>
    <t>Llewellyn Elementary School</t>
  </si>
  <si>
    <t>Portland SD 1J, Madison High School</t>
  </si>
  <si>
    <t>Madison High School</t>
  </si>
  <si>
    <t>Portland SD 1J, Maplewood Elementary School</t>
  </si>
  <si>
    <t>Maplewood Elementary School</t>
  </si>
  <si>
    <t>Portland SD 1J, Markham Elementary School</t>
  </si>
  <si>
    <t>Markham Elementary School</t>
  </si>
  <si>
    <t>Portland SD 1J, Marysville Elementary School</t>
  </si>
  <si>
    <t>Marysville Elementary School</t>
  </si>
  <si>
    <t>Portland SD 1J, Metropolitan Learning Center</t>
  </si>
  <si>
    <t>Metropolitan Learning Center</t>
  </si>
  <si>
    <t>Portland SD 1J, Mt Tabor Middle School</t>
  </si>
  <si>
    <t>Mt Tabor Middle School</t>
  </si>
  <si>
    <t>Portland SD 1J, Ockley Green Middle School</t>
  </si>
  <si>
    <t>Ockley Green Middle School</t>
  </si>
  <si>
    <t>Portland SD 1J, Opal School of the Portland Children's Museum</t>
  </si>
  <si>
    <t>Opal School of the Portland Children's Museum</t>
  </si>
  <si>
    <t>Portland SD 1J, Peninsula Elementary School</t>
  </si>
  <si>
    <t>Peninsula Elementary School</t>
  </si>
  <si>
    <t>Portland SD 1J, Portland Arthur Academy Charter School</t>
  </si>
  <si>
    <t>Portland Arthur Academy Charter School</t>
  </si>
  <si>
    <t>Portland SD 1J, Portland SD 1J</t>
  </si>
  <si>
    <t>Portland SD 1J, Portland Village School</t>
  </si>
  <si>
    <t>Portland Village School</t>
  </si>
  <si>
    <t>Portland SD 1J, Richmond Elementary School</t>
  </si>
  <si>
    <t>Richmond Elementary School</t>
  </si>
  <si>
    <t>Portland SD 1J, Rieke Elementary School</t>
  </si>
  <si>
    <t>Rieke Elementary School</t>
  </si>
  <si>
    <t>Portland SD 1J, Rigler Elementary School</t>
  </si>
  <si>
    <t>Rigler Elementary School</t>
  </si>
  <si>
    <t>Portland SD 1J, Roosevelt High School</t>
  </si>
  <si>
    <t>Roosevelt High School</t>
  </si>
  <si>
    <t>Portland SD 1J, Rosa Parks Elementary School</t>
  </si>
  <si>
    <t>Rosa Parks Elementary School</t>
  </si>
  <si>
    <t>Portland SD 1J, Roseway Heights School</t>
  </si>
  <si>
    <t>Roseway Heights School</t>
  </si>
  <si>
    <t>Portland SD 1J, Sabin Elementary School</t>
  </si>
  <si>
    <t>Sabin Elementary School</t>
  </si>
  <si>
    <t>Portland SD 1J, Scott Elementary School</t>
  </si>
  <si>
    <t>Scott Elementary School</t>
  </si>
  <si>
    <t>Portland SD 1J, Sellwood Middle School</t>
  </si>
  <si>
    <t>Sellwood Middle School</t>
  </si>
  <si>
    <t>Portland SD 1J, Sitton Elementary School</t>
  </si>
  <si>
    <t>Sitton Elementary School</t>
  </si>
  <si>
    <t>Portland SD 1J, Skyline Elementary School</t>
  </si>
  <si>
    <t>Skyline Elementary School</t>
  </si>
  <si>
    <t>Portland SD 1J, Stephenson Elementary School</t>
  </si>
  <si>
    <t>Stephenson Elementary School</t>
  </si>
  <si>
    <t>Portland SD 1J, Sunnyside Environmental School</t>
  </si>
  <si>
    <t>Sunnyside Environmental School</t>
  </si>
  <si>
    <t xml:space="preserve">Portland SD 1J, Trillium </t>
  </si>
  <si>
    <t xml:space="preserve">Trillium </t>
  </si>
  <si>
    <t>Portland SD 1J, Vernon Elementary School</t>
  </si>
  <si>
    <t>Vernon Elementary School</t>
  </si>
  <si>
    <t>Portland SD 1J, Vestal Elementary School</t>
  </si>
  <si>
    <t>Vestal Elementary School</t>
  </si>
  <si>
    <t>Portland SD 1J, West Sylvan Middle School</t>
  </si>
  <si>
    <t>West Sylvan Middle School</t>
  </si>
  <si>
    <t>Portland SD 1J, Whitman Elementary School</t>
  </si>
  <si>
    <t>Whitman Elementary School</t>
  </si>
  <si>
    <t>Portland SD 1J, Wilson High School</t>
  </si>
  <si>
    <t>Wilson High School</t>
  </si>
  <si>
    <t>Portland SD 1J, Winterhaven School</t>
  </si>
  <si>
    <t>Winterhaven School</t>
  </si>
  <si>
    <t>Portland SD 1J, Woodlawn Elementary School</t>
  </si>
  <si>
    <t>Woodlawn Elementary School</t>
  </si>
  <si>
    <t>Portland SD 1J, Woodmere Elementary School</t>
  </si>
  <si>
    <t>Woodmere Elementary School</t>
  </si>
  <si>
    <t>Portland SD 1J, Woodstock Elementary School</t>
  </si>
  <si>
    <t>Woodstock Elementary School</t>
  </si>
  <si>
    <t>Powers SD 31, Powers Elementary School</t>
  </si>
  <si>
    <t>Powers SD 31</t>
  </si>
  <si>
    <t>Powers Elementary School</t>
  </si>
  <si>
    <t>Powers SD 31, Powers High School</t>
  </si>
  <si>
    <t>Powers High School</t>
  </si>
  <si>
    <t>Prairie City SD 4, Prairie City School</t>
  </si>
  <si>
    <t>Prairie City SD 4</t>
  </si>
  <si>
    <t>Prairie City School</t>
  </si>
  <si>
    <t>Prospect SD 59, Prospect Charter School</t>
  </si>
  <si>
    <t>Prospect SD 59</t>
  </si>
  <si>
    <t>Prospect Charter School</t>
  </si>
  <si>
    <t>Rainier SD 13, Hudson Park Elementary School</t>
  </si>
  <si>
    <t>Rainier SD 13</t>
  </si>
  <si>
    <t>Hudson Park Elementary School</t>
  </si>
  <si>
    <t>Rainier SD 13, North Columbia Academy</t>
  </si>
  <si>
    <t>North Columbia Academy</t>
  </si>
  <si>
    <t>Rainier SD 13, Rainier Jr/Sr High School</t>
  </si>
  <si>
    <t>Rainier Jr/Sr High School</t>
  </si>
  <si>
    <t>Redmond SD 2J, Elton Gregory Middle School</t>
  </si>
  <si>
    <t>Redmond SD 2J</t>
  </si>
  <si>
    <t>Elton Gregory Middle School</t>
  </si>
  <si>
    <t>Redmond SD 2J, John Tuck Elementary School</t>
  </si>
  <si>
    <t>John Tuck Elementary School</t>
  </si>
  <si>
    <t>Redmond SD 2J, M A Lynch Elementary School</t>
  </si>
  <si>
    <t>M A Lynch Elementary School</t>
  </si>
  <si>
    <t>Redmond SD 2J, Obsidian Middle School</t>
  </si>
  <si>
    <t>Obsidian Middle School</t>
  </si>
  <si>
    <t>Redmond SD 2J, Redmond High School</t>
  </si>
  <si>
    <t>Redmond High School</t>
  </si>
  <si>
    <t>Redmond SD 2J, Redmond Proficiency Academy</t>
  </si>
  <si>
    <t>Redmond Proficiency Academy</t>
  </si>
  <si>
    <t>Redmond SD 2J, Redmond SD 2J</t>
  </si>
  <si>
    <t>Redmond SD 2J, Ridgeview High School</t>
  </si>
  <si>
    <t>Ridgeview High School</t>
  </si>
  <si>
    <t>Redmond SD 2J, Sage Elementary School</t>
  </si>
  <si>
    <t>Sage Elementary School</t>
  </si>
  <si>
    <t>Redmond SD 2J, Terrebonne Community School</t>
  </si>
  <si>
    <t>Terrebonne Community School</t>
  </si>
  <si>
    <t>Redmond SD 2J, Tom McCall Elementary School</t>
  </si>
  <si>
    <t>Tom McCall Elementary School</t>
  </si>
  <si>
    <t>Redmond SD 2J, Tumalo Community School</t>
  </si>
  <si>
    <t>Tumalo Community School</t>
  </si>
  <si>
    <t>Redmond SD 2J, Vern Patrick Elementary School</t>
  </si>
  <si>
    <t>Vern Patrick Elementary School</t>
  </si>
  <si>
    <t>Reedsport SD 105, Highland Elementary School</t>
  </si>
  <si>
    <t>Reedsport SD 105</t>
  </si>
  <si>
    <t>Reedsport SD 105, Reedsport Community Charter School</t>
  </si>
  <si>
    <t>Reedsport Community Charter School</t>
  </si>
  <si>
    <t>Region 18 ESD, Region 18 ESD</t>
  </si>
  <si>
    <t>Region 18 ESD</t>
  </si>
  <si>
    <t>Reynolds SD 7, Alder Elementary School</t>
  </si>
  <si>
    <t>Reynolds SD 7</t>
  </si>
  <si>
    <t>Alder Elementary School</t>
  </si>
  <si>
    <t>Reynolds SD 7, Davis Elementary School</t>
  </si>
  <si>
    <t>Davis Elementary School</t>
  </si>
  <si>
    <t>Reynolds SD 7, Fairview Elementary School</t>
  </si>
  <si>
    <t>Fairview Elementary School</t>
  </si>
  <si>
    <t>Reynolds SD 7, Glenfair Elementary School</t>
  </si>
  <si>
    <t>Glenfair Elementary School</t>
  </si>
  <si>
    <t>Reynolds SD 7, Hartley Elementary School</t>
  </si>
  <si>
    <t>Hartley Elementary School</t>
  </si>
  <si>
    <t>Reynolds SD 7, Hauton B Lee Middle School</t>
  </si>
  <si>
    <t>Hauton B Lee Middle School</t>
  </si>
  <si>
    <t>Reynolds SD 7, Margaret Scott Elementary School</t>
  </si>
  <si>
    <t>Margaret Scott Elementary School</t>
  </si>
  <si>
    <t>Reynolds SD 7, Multnomah Learning Academy</t>
  </si>
  <si>
    <t>Multnomah Learning Academy</t>
  </si>
  <si>
    <t>Reynolds SD 7, Reynolds Arthur Academy</t>
  </si>
  <si>
    <t>Reynolds Arthur Academy</t>
  </si>
  <si>
    <t>Reynolds SD 7, Reynolds High School</t>
  </si>
  <si>
    <t>Reynolds High School</t>
  </si>
  <si>
    <t>Reynolds SD 7, Reynolds Learning Academy</t>
  </si>
  <si>
    <t>Reynolds Learning Academy</t>
  </si>
  <si>
    <t>Reynolds SD 7, Reynolds Middle School</t>
  </si>
  <si>
    <t>Reynolds Middle School</t>
  </si>
  <si>
    <t>Reynolds SD 7, Reynolds SD 7</t>
  </si>
  <si>
    <t>Reynolds SD 7, Rockwood Preparatory Academy</t>
  </si>
  <si>
    <t>Rockwood Preparatory Academy</t>
  </si>
  <si>
    <t>Reynolds SD 7, Salish Ponds Elementary School</t>
  </si>
  <si>
    <t>Salish Ponds Elementary School</t>
  </si>
  <si>
    <t>Reynolds SD 7, Sweetbriar Elementary School</t>
  </si>
  <si>
    <t>Sweetbriar Elementary School</t>
  </si>
  <si>
    <t>Reynolds SD 7, Troutdale Elementary School</t>
  </si>
  <si>
    <t>Troutdale Elementary School</t>
  </si>
  <si>
    <t>Reynolds SD 7, Walt Morey Middle School</t>
  </si>
  <si>
    <t>Walt Morey Middle School</t>
  </si>
  <si>
    <t>Reynolds SD 7, Wilkes Elementary School</t>
  </si>
  <si>
    <t>Wilkes Elementary School</t>
  </si>
  <si>
    <t>Reynolds SD 7, Woodland Elementary</t>
  </si>
  <si>
    <t>Woodland Elementary</t>
  </si>
  <si>
    <t>Riddle SD 70, Riddle Elementary School</t>
  </si>
  <si>
    <t>Riddle SD 70</t>
  </si>
  <si>
    <t>Riddle Elementary School</t>
  </si>
  <si>
    <t>Riddle SD 70, Riddle High School</t>
  </si>
  <si>
    <t>Riddle High School</t>
  </si>
  <si>
    <t>Riverdale SD 51J, Riverdale Grade School</t>
  </si>
  <si>
    <t>Riverdale SD 51J</t>
  </si>
  <si>
    <t>Riverdale Grade School</t>
  </si>
  <si>
    <t>Riverdale SD 51J, Riverdale High School</t>
  </si>
  <si>
    <t>Riverdale High School</t>
  </si>
  <si>
    <t>Rogue River SD 35, Rivers Edge Academy Charter School</t>
  </si>
  <si>
    <t>Rogue River SD 35</t>
  </si>
  <si>
    <t>Rivers Edge Academy Charter School</t>
  </si>
  <si>
    <t>Rogue River SD 35, Rogue River Elementary School</t>
  </si>
  <si>
    <t>Rogue River Elementary School</t>
  </si>
  <si>
    <t>Rogue River SD 35, Rogue River Junior/Senior High</t>
  </si>
  <si>
    <t>Rogue River Junior/Senior High</t>
  </si>
  <si>
    <t>Rogue River SD 35, Rogue River SD 35</t>
  </si>
  <si>
    <t>Salem-Keizer SD 24J, Auburn Elementary School</t>
  </si>
  <si>
    <t>Salem-Keizer SD 24J</t>
  </si>
  <si>
    <t>Auburn Elementary School</t>
  </si>
  <si>
    <t>Salem-Keizer SD 24J, Battle Creek Elementary School</t>
  </si>
  <si>
    <t>Battle Creek Elementary School</t>
  </si>
  <si>
    <t>Salem-Keizer SD 24J, Brush College Elementary School</t>
  </si>
  <si>
    <t>Brush College Elementary School</t>
  </si>
  <si>
    <t>Salem-Keizer SD 24J, Bush Elementary School</t>
  </si>
  <si>
    <t>Bush Elementary School</t>
  </si>
  <si>
    <t>Salem-Keizer SD 24J, Candalaria Elementary School</t>
  </si>
  <si>
    <t>Candalaria Elementary School</t>
  </si>
  <si>
    <t>Salem-Keizer SD 24J, Chapman Hill Elementary School</t>
  </si>
  <si>
    <t>Chapman Hill Elementary School</t>
  </si>
  <si>
    <t>Salem-Keizer SD 24J, Claggett Creek Middle School</t>
  </si>
  <si>
    <t>Claggett Creek Middle School</t>
  </si>
  <si>
    <t>Salem-Keizer SD 24J, Clear Lake Elementary School</t>
  </si>
  <si>
    <t>Salem-Keizer SD 24J, Crossler Middle School</t>
  </si>
  <si>
    <t>Crossler Middle School</t>
  </si>
  <si>
    <t>Salem-Keizer SD 24J, Cummings Elementary School</t>
  </si>
  <si>
    <t>Cummings Elementary School</t>
  </si>
  <si>
    <t>Salem-Keizer SD 24J, Early College High School</t>
  </si>
  <si>
    <t>Early College High School</t>
  </si>
  <si>
    <t>Salem-Keizer SD 24J, Englewood Elementary School</t>
  </si>
  <si>
    <t>Englewood Elementary School</t>
  </si>
  <si>
    <t>Salem-Keizer SD 24J, Eyre Elementary School</t>
  </si>
  <si>
    <t>Eyre Elementary School</t>
  </si>
  <si>
    <t>Salem-Keizer SD 24J, Forest Ridge Elementary School</t>
  </si>
  <si>
    <t>Forest Ridge Elementary School</t>
  </si>
  <si>
    <t>Salem-Keizer SD 24J, Four Corners Elementary School</t>
  </si>
  <si>
    <t>Four Corners Elementary School</t>
  </si>
  <si>
    <t>Salem-Keizer SD 24J, Grant Community School</t>
  </si>
  <si>
    <t>Grant Community School</t>
  </si>
  <si>
    <t>Salem-Keizer SD 24J, Gubser Elementary School</t>
  </si>
  <si>
    <t>Gubser Elementary School</t>
  </si>
  <si>
    <t>Salem-Keizer SD 24J, Hallman Elementary School</t>
  </si>
  <si>
    <t>Hallman Elementary School</t>
  </si>
  <si>
    <t>Salem-Keizer SD 24J, Hammond Elementary School</t>
  </si>
  <si>
    <t>Hammond Elementary School</t>
  </si>
  <si>
    <t>Salem-Keizer SD 24J, Harritt Elementary School</t>
  </si>
  <si>
    <t>Harritt Elementary School</t>
  </si>
  <si>
    <t>Salem-Keizer SD 24J, Hayesville Elementary School</t>
  </si>
  <si>
    <t>Hayesville Elementary School</t>
  </si>
  <si>
    <t>Salem-Keizer SD 24J, Highland Elementary School</t>
  </si>
  <si>
    <t>Salem-Keizer SD 24J, Hoover Elementary School</t>
  </si>
  <si>
    <t>Salem-Keizer SD 24J, Houck Middle School</t>
  </si>
  <si>
    <t>Houck Middle School</t>
  </si>
  <si>
    <t>Salem-Keizer SD 24J, Howard Street Charter</t>
  </si>
  <si>
    <t>Howard Street Charter</t>
  </si>
  <si>
    <t>Salem-Keizer SD 24J, Jane Goodall Environmental Middle Charter School</t>
  </si>
  <si>
    <t>Jane Goodall Environmental Middle Charter School</t>
  </si>
  <si>
    <t>Salem-Keizer SD 24J, Judson Middle School</t>
  </si>
  <si>
    <t>Judson Middle School</t>
  </si>
  <si>
    <t>Salem-Keizer SD 24J, Kalapuya Elementary School</t>
  </si>
  <si>
    <t>Kalapuya Elementary School</t>
  </si>
  <si>
    <t>Salem-Keizer SD 24J, Keizer Elementary School</t>
  </si>
  <si>
    <t>Keizer Elementary School</t>
  </si>
  <si>
    <t>Salem-Keizer SD 24J, Kennedy Elementary School</t>
  </si>
  <si>
    <t>Salem-Keizer SD 24J, Lamb Elementary School</t>
  </si>
  <si>
    <t>Lamb Elementary School</t>
  </si>
  <si>
    <t>Salem-Keizer SD 24J, Lee Elementary School</t>
  </si>
  <si>
    <t>Salem-Keizer SD 24J, Leslie Middle School</t>
  </si>
  <si>
    <t>Leslie Middle School</t>
  </si>
  <si>
    <t>Salem-Keizer SD 24J, Liberty Elementary School</t>
  </si>
  <si>
    <t>Salem-Keizer SD 24J, McKay High School</t>
  </si>
  <si>
    <t>McKay High School</t>
  </si>
  <si>
    <t>Salem-Keizer SD 24J, McKinley Elementary School</t>
  </si>
  <si>
    <t>Salem-Keizer SD 24J, McNary High School</t>
  </si>
  <si>
    <t>McNary High School</t>
  </si>
  <si>
    <t>Salem-Keizer SD 24J, Miller Elementary School</t>
  </si>
  <si>
    <t>Miller Elementary School</t>
  </si>
  <si>
    <t>Salem-Keizer SD 24J, Morningside Elementary School</t>
  </si>
  <si>
    <t>Morningside Elementary School</t>
  </si>
  <si>
    <t>Salem-Keizer SD 24J, Myers Elementary School</t>
  </si>
  <si>
    <t>Myers Elementary School</t>
  </si>
  <si>
    <t>Salem-Keizer SD 24J, North Salem High School</t>
  </si>
  <si>
    <t>North Salem High School</t>
  </si>
  <si>
    <t>Salem-Keizer SD 24J, Optimum Learning Environment Charter School</t>
  </si>
  <si>
    <t>Optimum Learning Environment Charter School</t>
  </si>
  <si>
    <t>Salem-Keizer SD 24J, Parrish Middle School</t>
  </si>
  <si>
    <t>Parrish Middle School</t>
  </si>
  <si>
    <t>Salem-Keizer SD 24J, Pringle Elementary School</t>
  </si>
  <si>
    <t>Pringle Elementary School</t>
  </si>
  <si>
    <t>Salem-Keizer SD 24J, Richmond Elementary School</t>
  </si>
  <si>
    <t>Salem-Keizer SD 24J, Roberts High School</t>
  </si>
  <si>
    <t>Roberts High School</t>
  </si>
  <si>
    <t>Salem-Keizer SD 24J, Salem Heights Elementary School</t>
  </si>
  <si>
    <t>Salem Heights Elementary School</t>
  </si>
  <si>
    <t>Salem-Keizer SD 24J, Salem-Keizer SD 24J</t>
  </si>
  <si>
    <t>Salem-Keizer SD 24J, Schirle Elementary School</t>
  </si>
  <si>
    <t>Schirle Elementary School</t>
  </si>
  <si>
    <t>Salem-Keizer SD 24J, Scott Elementary School</t>
  </si>
  <si>
    <t>Salem-Keizer SD 24J, South Salem High School</t>
  </si>
  <si>
    <t>South Salem High School</t>
  </si>
  <si>
    <t>Salem-Keizer SD 24J, Sprague High School</t>
  </si>
  <si>
    <t>Sprague High School</t>
  </si>
  <si>
    <t>Salem-Keizer SD 24J, Stephens Middle School</t>
  </si>
  <si>
    <t>Stephens Middle School</t>
  </si>
  <si>
    <t>Salem-Keizer SD 24J, Straub Middle School</t>
  </si>
  <si>
    <t>Straub Middle School</t>
  </si>
  <si>
    <t>Salem-Keizer SD 24J, Sumpter Elementary School</t>
  </si>
  <si>
    <t>Sumpter Elementary School</t>
  </si>
  <si>
    <t>Salem-Keizer SD 24J, Swegle Elementary School</t>
  </si>
  <si>
    <t>Swegle Elementary School</t>
  </si>
  <si>
    <t>Salem-Keizer SD 24J, Valley Inquiry Charter School</t>
  </si>
  <si>
    <t>Valley Inquiry Charter School</t>
  </si>
  <si>
    <t>Salem-Keizer SD 24J, Waldo Middle School</t>
  </si>
  <si>
    <t>Waldo Middle School</t>
  </si>
  <si>
    <t>Salem-Keizer SD 24J, Walker Middle School</t>
  </si>
  <si>
    <t>Walker Middle School</t>
  </si>
  <si>
    <t>Salem-Keizer SD 24J, Washington Elementary School</t>
  </si>
  <si>
    <t>Salem-Keizer SD 24J, Weddle Elementary School</t>
  </si>
  <si>
    <t>Weddle Elementary School</t>
  </si>
  <si>
    <t>Salem-Keizer SD 24J, West Salem High School</t>
  </si>
  <si>
    <t>West Salem High School</t>
  </si>
  <si>
    <t>Salem-Keizer SD 24J, Whiteaker Middle School</t>
  </si>
  <si>
    <t>Whiteaker Middle School</t>
  </si>
  <si>
    <t>Salem-Keizer SD 24J, Wright Elementary School</t>
  </si>
  <si>
    <t>Wright Elementary School</t>
  </si>
  <si>
    <t>Salem-Keizer SD 24J, Yoshikai Elementary School</t>
  </si>
  <si>
    <t>Yoshikai Elementary School</t>
  </si>
  <si>
    <t>Santiam Canyon SD 129J, Oregon Connections Academy</t>
  </si>
  <si>
    <t>Santiam Canyon SD 129J</t>
  </si>
  <si>
    <t>Oregon Connections Academy</t>
  </si>
  <si>
    <t>Santiam Canyon SD 129J, Santiam Elementary School</t>
  </si>
  <si>
    <t>Santiam Elementary School</t>
  </si>
  <si>
    <t>Santiam Canyon SD 129J, Santiam Junior/Senior High School</t>
  </si>
  <si>
    <t>Santiam Junior/Senior High School</t>
  </si>
  <si>
    <t>Scappoose SD 1J, Grant Watts Elementary School</t>
  </si>
  <si>
    <t>Scappoose SD 1J</t>
  </si>
  <si>
    <t>Grant Watts Elementary School</t>
  </si>
  <si>
    <t>Scappoose SD 1J, Otto Petersen Elementary School</t>
  </si>
  <si>
    <t>Otto Petersen Elementary School</t>
  </si>
  <si>
    <t>Scappoose SD 1J, Sauvie Island School</t>
  </si>
  <si>
    <t>Sauvie Island School</t>
  </si>
  <si>
    <t>Scappoose SD 1J, Scappoose High School</t>
  </si>
  <si>
    <t>Scappoose High School</t>
  </si>
  <si>
    <t>Scappoose SD 1J, Scappoose Middle School</t>
  </si>
  <si>
    <t>Scappoose Middle School</t>
  </si>
  <si>
    <t>Scappoose SD 1J, Scappoose SD 1J</t>
  </si>
  <si>
    <t>Scappoose SD 1J, South Columbia Family School</t>
  </si>
  <si>
    <t>South Columbia Family School</t>
  </si>
  <si>
    <t>Scappoose SD 1J, Warren Elementary School</t>
  </si>
  <si>
    <t>Warren Elementary School</t>
  </si>
  <si>
    <t>Scio SD 95, Centennial Elementary School</t>
  </si>
  <si>
    <t>Scio SD 95</t>
  </si>
  <si>
    <t>Centennial Elementary School</t>
  </si>
  <si>
    <t>Scio SD 95, Lourdes School</t>
  </si>
  <si>
    <t>Lourdes School</t>
  </si>
  <si>
    <t>Scio SD 95, Scio High School</t>
  </si>
  <si>
    <t>Scio High School</t>
  </si>
  <si>
    <t>Scio SD 95, Scio Middle School</t>
  </si>
  <si>
    <t>Scio Middle School</t>
  </si>
  <si>
    <t>Seaside SD 10, Broadway Middle School</t>
  </si>
  <si>
    <t>Seaside SD 10</t>
  </si>
  <si>
    <t>Broadway Middle School</t>
  </si>
  <si>
    <t>Seaside SD 10, Gearhart Elementary School</t>
  </si>
  <si>
    <t>Seaside SD 10, Seaside Heights Elementary School</t>
  </si>
  <si>
    <t>Seaside Heights Elementary School</t>
  </si>
  <si>
    <t>Seaside SD 10, Seaside High School</t>
  </si>
  <si>
    <t>Seaside High School</t>
  </si>
  <si>
    <t>Seaside SD 10, Seaside SD 10</t>
  </si>
  <si>
    <t>Sheridan SD 48J, Faulconer-Chapman School</t>
  </si>
  <si>
    <t>Sheridan SD 48J</t>
  </si>
  <si>
    <t>Faulconer-Chapman School</t>
  </si>
  <si>
    <t>Sheridan SD 48J, Sheridan AllPrep Academy</t>
  </si>
  <si>
    <t>Sheridan AllPrep Academy</t>
  </si>
  <si>
    <t>Sheridan SD 48J, Sheridan High School</t>
  </si>
  <si>
    <t>Sheridan High School</t>
  </si>
  <si>
    <t>Sheridan SD 48J, Sheridan Japanese School</t>
  </si>
  <si>
    <t>Sheridan Japanese School</t>
  </si>
  <si>
    <t>Sheridan SD 48J, Sheridan SD 48J</t>
  </si>
  <si>
    <t>Sherman County SD</t>
  </si>
  <si>
    <t>Sherman County SD, Sherman County School</t>
  </si>
  <si>
    <t>Sherman County School</t>
  </si>
  <si>
    <t>Sherwood SD 88J, Archer Glen Elementary School</t>
  </si>
  <si>
    <t>Sherwood SD 88J</t>
  </si>
  <si>
    <t>Archer Glen Elementary School</t>
  </si>
  <si>
    <t>Sherwood SD 88J, Edy Ridge Elementary School</t>
  </si>
  <si>
    <t>Edy Ridge Elementary School</t>
  </si>
  <si>
    <t>Sherwood SD 88J, J Clyde Hopkins Elementary School</t>
  </si>
  <si>
    <t>J Clyde Hopkins Elementary School</t>
  </si>
  <si>
    <t>Sherwood SD 88J, Laurel Ridge Middle School</t>
  </si>
  <si>
    <t>Laurel Ridge Middle School</t>
  </si>
  <si>
    <t>Sherwood SD 88J, Middleton Elementary School</t>
  </si>
  <si>
    <t>Middleton Elementary School</t>
  </si>
  <si>
    <t>Sherwood SD 88J, Sherwood Charter School</t>
  </si>
  <si>
    <t>Sherwood Charter School</t>
  </si>
  <si>
    <t>Sherwood SD 88J, Sherwood High School</t>
  </si>
  <si>
    <t>Sherwood High School</t>
  </si>
  <si>
    <t>Sherwood SD 88J, Sherwood Middle School</t>
  </si>
  <si>
    <t>Sherwood Middle School</t>
  </si>
  <si>
    <t>Sherwood SD 88J, Sherwood SD 88J</t>
  </si>
  <si>
    <t>Silver Falls SD 4J, Bethany Charter School</t>
  </si>
  <si>
    <t>Silver Falls SD 4J</t>
  </si>
  <si>
    <t>Bethany Charter School</t>
  </si>
  <si>
    <t>Silver Falls SD 4J, Butte Creek Elementary School</t>
  </si>
  <si>
    <t>Butte Creek Elementary School</t>
  </si>
  <si>
    <t>Silver Falls SD 4J, Central Howell Elementary School</t>
  </si>
  <si>
    <t>Central Howell Elementary School</t>
  </si>
  <si>
    <t>Silver Falls SD 4J, Evergreen Elementary School</t>
  </si>
  <si>
    <t>Evergreen Elementary School</t>
  </si>
  <si>
    <t>Silver Falls SD 4J, Mark Twain Elementary</t>
  </si>
  <si>
    <t>Mark Twain Elementary</t>
  </si>
  <si>
    <t>Silver Falls SD 4J, Pratum Elementary School</t>
  </si>
  <si>
    <t>Pratum Elementary School</t>
  </si>
  <si>
    <t>Silver Falls SD 4J, Robert Frost Elementary School</t>
  </si>
  <si>
    <t>Robert Frost Elementary School</t>
  </si>
  <si>
    <t>Silver Falls SD 4J, Scotts Mills Elementary School</t>
  </si>
  <si>
    <t>Scotts Mills Elementary School</t>
  </si>
  <si>
    <t>Silver Falls SD 4J, Silver Crest Elementary School</t>
  </si>
  <si>
    <t>Silver Crest Elementary School</t>
  </si>
  <si>
    <t>Silver Falls SD 4J, Silverton High School</t>
  </si>
  <si>
    <t>Silverton High School</t>
  </si>
  <si>
    <t>Silver Falls SD 4J, Silverton Middle School</t>
  </si>
  <si>
    <t>Silverton Middle School</t>
  </si>
  <si>
    <t>Silver Falls SD 4J, The Community Roots School</t>
  </si>
  <si>
    <t>The Community Roots School</t>
  </si>
  <si>
    <t>Silver Falls SD 4J, Victor Point Elementary School</t>
  </si>
  <si>
    <t>Victor Point Elementary School</t>
  </si>
  <si>
    <t>Sisters SD 6, Sisters Elementary School</t>
  </si>
  <si>
    <t>Sisters SD 6</t>
  </si>
  <si>
    <t>Sisters Elementary School</t>
  </si>
  <si>
    <t>Sisters SD 6, Sisters High School</t>
  </si>
  <si>
    <t>Sisters High School</t>
  </si>
  <si>
    <t>Sisters SD 6, Sisters Middle School</t>
  </si>
  <si>
    <t>Sisters Middle School</t>
  </si>
  <si>
    <t>Siuslaw SD 97J, Siuslaw Elementary School</t>
  </si>
  <si>
    <t>Siuslaw SD 97J</t>
  </si>
  <si>
    <t>Siuslaw Elementary School</t>
  </si>
  <si>
    <t>Siuslaw SD 97J, Siuslaw High School</t>
  </si>
  <si>
    <t>Siuslaw High School</t>
  </si>
  <si>
    <t>Siuslaw SD 97J, Siuslaw Middle School</t>
  </si>
  <si>
    <t>Siuslaw Middle School</t>
  </si>
  <si>
    <t>Siuslaw SD 97J, Siuslaw SD 97J</t>
  </si>
  <si>
    <t>South Coast ESD, South Coast ESD</t>
  </si>
  <si>
    <t>South Coast ESD</t>
  </si>
  <si>
    <t>South Harney SD 33, Fields Elementary School</t>
  </si>
  <si>
    <t>South Harney SD 33</t>
  </si>
  <si>
    <t>Fields Elementary School</t>
  </si>
  <si>
    <t>South Lane SD 45J3, Academy for Character Education</t>
  </si>
  <si>
    <t>South Lane SD 45J3</t>
  </si>
  <si>
    <t>Academy for Character Education</t>
  </si>
  <si>
    <t>South Lane SD 45J3, Al Kennedy High School</t>
  </si>
  <si>
    <t>Al Kennedy High School</t>
  </si>
  <si>
    <t>South Lane SD 45J3, Bohemia Elementary School</t>
  </si>
  <si>
    <t>Bohemia Elementary School</t>
  </si>
  <si>
    <t>South Lane SD 45J3, Childs Way Charter School</t>
  </si>
  <si>
    <t>Childs Way Charter School</t>
  </si>
  <si>
    <t>South Lane SD 45J3, Cottage Grove High School</t>
  </si>
  <si>
    <t>Cottage Grove High School</t>
  </si>
  <si>
    <t>South Lane SD 45J3, Dorena School</t>
  </si>
  <si>
    <t>Dorena School</t>
  </si>
  <si>
    <t>South Lane SD 45J3, Harrison Elementary School</t>
  </si>
  <si>
    <t>Harrison Elementary School</t>
  </si>
  <si>
    <t>South Lane SD 45J3, Latham Elementary School</t>
  </si>
  <si>
    <t>Latham Elementary School</t>
  </si>
  <si>
    <t>South Lane SD 45J3, Lincoln Middle School</t>
  </si>
  <si>
    <t>South Lane SD 45J3, London School</t>
  </si>
  <si>
    <t>London School</t>
  </si>
  <si>
    <t>South Lane SD 45J3, South Lane SD 45J3</t>
  </si>
  <si>
    <t>South Umpqua SD 19, Canyonville School</t>
  </si>
  <si>
    <t>South Umpqua SD 19</t>
  </si>
  <si>
    <t>Canyonville School</t>
  </si>
  <si>
    <t>South Umpqua SD 19, Coffenberry Middle School</t>
  </si>
  <si>
    <t>Coffenberry Middle School</t>
  </si>
  <si>
    <t>South Umpqua SD 19, Myrtle Creek Elementary School</t>
  </si>
  <si>
    <t>Myrtle Creek Elementary School</t>
  </si>
  <si>
    <t>South Umpqua SD 19, South Umpqua High School</t>
  </si>
  <si>
    <t>South Umpqua High School</t>
  </si>
  <si>
    <t>South Umpqua SD 19, Tri City Elementary School</t>
  </si>
  <si>
    <t>Tri City Elementary School</t>
  </si>
  <si>
    <t>South Wasco County SD 1, Maupin Elementary School</t>
  </si>
  <si>
    <t>South Wasco County SD 1</t>
  </si>
  <si>
    <t>Maupin Elementary School</t>
  </si>
  <si>
    <t>South Wasco County SD 1, South Wasco County High School</t>
  </si>
  <si>
    <t>South Wasco County High School</t>
  </si>
  <si>
    <t>Southern Oregon ESD, Southern Oregon ESD</t>
  </si>
  <si>
    <t>Southern Oregon ESD</t>
  </si>
  <si>
    <t>Spray SD 1, Spray School</t>
  </si>
  <si>
    <t>Spray SD 1</t>
  </si>
  <si>
    <t>Spray School</t>
  </si>
  <si>
    <t>Springfield SD 19, Academy of Arts and Academics</t>
  </si>
  <si>
    <t>Springfield SD 19</t>
  </si>
  <si>
    <t>Academy of Arts and Academics</t>
  </si>
  <si>
    <t>Springfield SD 19, Agnes Stewart Middle School</t>
  </si>
  <si>
    <t>Agnes Stewart Middle School</t>
  </si>
  <si>
    <t>Springfield SD 19, Briggs Middle School</t>
  </si>
  <si>
    <t>Briggs Middle School</t>
  </si>
  <si>
    <t>Springfield SD 19, Centennial Elementary School</t>
  </si>
  <si>
    <t>Springfield SD 19, Douglas Gardens Elementary School</t>
  </si>
  <si>
    <t>Douglas Gardens Elementary School</t>
  </si>
  <si>
    <t>Springfield SD 19, Elizabeth Page Elementary School</t>
  </si>
  <si>
    <t>Elizabeth Page Elementary School</t>
  </si>
  <si>
    <t>Springfield SD 19, Gateways High School</t>
  </si>
  <si>
    <t>Gateways High School</t>
  </si>
  <si>
    <t>Springfield SD 19, Guy Lee Elementary School</t>
  </si>
  <si>
    <t>Guy Lee Elementary School</t>
  </si>
  <si>
    <t>Springfield SD 19, Hamlin Middle School</t>
  </si>
  <si>
    <t>Hamlin Middle School</t>
  </si>
  <si>
    <t>Springfield SD 19, Maple Elementary School</t>
  </si>
  <si>
    <t>Maple Elementary School</t>
  </si>
  <si>
    <t>Springfield SD 19, Mt Vernon Elementary School</t>
  </si>
  <si>
    <t>Mt Vernon Elementary School</t>
  </si>
  <si>
    <t>Springfield SD 19, Ridgeview Elementary School</t>
  </si>
  <si>
    <t>Ridgeview Elementary School</t>
  </si>
  <si>
    <t>Springfield SD 19, Riverbend Elementary School</t>
  </si>
  <si>
    <t>Riverbend Elementary School</t>
  </si>
  <si>
    <t>Springfield SD 19, Springfield High School</t>
  </si>
  <si>
    <t>Springfield High School</t>
  </si>
  <si>
    <t>Springfield SD 19, Springfield SD 19</t>
  </si>
  <si>
    <t>Springfield SD 19, Thurston Elementary School</t>
  </si>
  <si>
    <t>Thurston Elementary School</t>
  </si>
  <si>
    <t>Springfield SD 19, Thurston High School</t>
  </si>
  <si>
    <t>Thurston High School</t>
  </si>
  <si>
    <t>Springfield SD 19, Thurston Middle School</t>
  </si>
  <si>
    <t>Thurston Middle School</t>
  </si>
  <si>
    <t xml:space="preserve">Springfield SD 19, Two Rivers Dos Rios Elementary </t>
  </si>
  <si>
    <t xml:space="preserve">Two Rivers Dos Rios Elementary </t>
  </si>
  <si>
    <t>Springfield SD 19, Walterville Elementary School</t>
  </si>
  <si>
    <t>Walterville Elementary School</t>
  </si>
  <si>
    <t>Springfield SD 19, Willamette Leadership Academy</t>
  </si>
  <si>
    <t>Willamette Leadership Academy</t>
  </si>
  <si>
    <t>Springfield SD 19, Yolanda Elementary School</t>
  </si>
  <si>
    <t>Yolanda Elementary School</t>
  </si>
  <si>
    <t>St Helens SD 502</t>
  </si>
  <si>
    <t>St Helens SD 502, Lewis &amp; Clark Elementary School</t>
  </si>
  <si>
    <t>St Helens SD 502, McBride Elementary School</t>
  </si>
  <si>
    <t>McBride Elementary School</t>
  </si>
  <si>
    <t>St Helens SD 502, St Helens Arthur Academy</t>
  </si>
  <si>
    <t>St Helens Arthur Academy</t>
  </si>
  <si>
    <t>St Helens SD 502, St Helens High School</t>
  </si>
  <si>
    <t>St Helens High School</t>
  </si>
  <si>
    <t>St Helens SD 502, St Helens Middle School</t>
  </si>
  <si>
    <t>St Helens Middle School</t>
  </si>
  <si>
    <t>St Helens SD 502, St Helens SD 502</t>
  </si>
  <si>
    <t>St Paul SD 45, St Paul Elementary School</t>
  </si>
  <si>
    <t>St Paul SD 45</t>
  </si>
  <si>
    <t>St Paul Elementary School</t>
  </si>
  <si>
    <t>St Paul SD 45, St Paul High School</t>
  </si>
  <si>
    <t>St Paul High School</t>
  </si>
  <si>
    <t>Stanfield SD 61, Stanfield Elementary School</t>
  </si>
  <si>
    <t>Stanfield SD 61</t>
  </si>
  <si>
    <t>Stanfield Elementary School</t>
  </si>
  <si>
    <t>Stanfield SD 61, Stanfield Secondary School</t>
  </si>
  <si>
    <t>Stanfield Secondary School</t>
  </si>
  <si>
    <t>Suntex SD 10, Suntex Elementary School</t>
  </si>
  <si>
    <t>Suntex SD 10</t>
  </si>
  <si>
    <t>Suntex Elementary School</t>
  </si>
  <si>
    <t>Sutherlin SD 130, East Sutherlin Primary School</t>
  </si>
  <si>
    <t>Sutherlin SD 130</t>
  </si>
  <si>
    <t>East Sutherlin Primary School</t>
  </si>
  <si>
    <t>Sutherlin SD 130, Sutherlin High School</t>
  </si>
  <si>
    <t>Sutherlin High School</t>
  </si>
  <si>
    <t>Sutherlin SD 130, Sutherlin Middle School</t>
  </si>
  <si>
    <t>Sutherlin Middle School</t>
  </si>
  <si>
    <t>Sutherlin SD 130, West Sutherlin Intermediate</t>
  </si>
  <si>
    <t>West Sutherlin Intermediate</t>
  </si>
  <si>
    <t>Sweet Home SD 55, Foster Elementary School</t>
  </si>
  <si>
    <t>Sweet Home SD 55</t>
  </si>
  <si>
    <t>Foster Elementary School</t>
  </si>
  <si>
    <t>Sweet Home SD 55, Hawthorne Elementary School</t>
  </si>
  <si>
    <t>Hawthorne Elementary School</t>
  </si>
  <si>
    <t>Sweet Home SD 55, Holley Elementary School</t>
  </si>
  <si>
    <t>Holley Elementary School</t>
  </si>
  <si>
    <t>Sweet Home SD 55, Oak Heights Elementary School</t>
  </si>
  <si>
    <t>Oak Heights Elementary School</t>
  </si>
  <si>
    <t>Sweet Home SD 55, Sweet Home Charter School</t>
  </si>
  <si>
    <t>Sweet Home Charter School</t>
  </si>
  <si>
    <t>Sweet Home SD 55, Sweet Home High School</t>
  </si>
  <si>
    <t>Sweet Home High School</t>
  </si>
  <si>
    <t>Sweet Home SD 55, Sweet Home Junior High School</t>
  </si>
  <si>
    <t>Sweet Home Junior High School</t>
  </si>
  <si>
    <t>Sweet Home SD 55, Sweet Home SD 55</t>
  </si>
  <si>
    <t>Three Rivers/Josephine County SD, Applegate Elementary School</t>
  </si>
  <si>
    <t>Three Rivers/Josephine County SD</t>
  </si>
  <si>
    <t>Three Rivers/Josephine County SD, Evergreen Elementary School</t>
  </si>
  <si>
    <t>Three Rivers/Josephine County SD, Fleming Middle School</t>
  </si>
  <si>
    <t>Fleming Middle School</t>
  </si>
  <si>
    <t>Three Rivers/Josephine County SD, Fruitdale Elementary School</t>
  </si>
  <si>
    <t>Fruitdale Elementary School</t>
  </si>
  <si>
    <t>Three Rivers/Josephine County SD, Ft Vannoy Elementary School</t>
  </si>
  <si>
    <t>Ft Vannoy Elementary School</t>
  </si>
  <si>
    <t>Three Rivers/Josephine County SD, Hidden Valley High School</t>
  </si>
  <si>
    <t>Hidden Valley High School</t>
  </si>
  <si>
    <t>Three Rivers/Josephine County SD, Illinois Valley High School</t>
  </si>
  <si>
    <t>Illinois Valley High School</t>
  </si>
  <si>
    <t>Three Rivers/Josephine County SD, Lincoln Savage Middle School</t>
  </si>
  <si>
    <t>Lincoln Savage Middle School</t>
  </si>
  <si>
    <t>Three Rivers/Josephine County SD, Lorna Byrne Middle School</t>
  </si>
  <si>
    <t>Lorna Byrne Middle School</t>
  </si>
  <si>
    <t>Three Rivers/Josephine County SD, Madrona Elementary School</t>
  </si>
  <si>
    <t>Madrona Elementary School</t>
  </si>
  <si>
    <t>Three Rivers/Josephine County SD, Manzanita Elementary School</t>
  </si>
  <si>
    <t>Manzanita Elementary School</t>
  </si>
  <si>
    <t>Three Rivers/Josephine County SD, New Bridge High School</t>
  </si>
  <si>
    <t>Three Rivers/Josephine County SD, North Valley High School</t>
  </si>
  <si>
    <t>North Valley High School</t>
  </si>
  <si>
    <t>Three Rivers/Josephine County SD, Sunny Wolf Charter School</t>
  </si>
  <si>
    <t>Sunny Wolf Charter School</t>
  </si>
  <si>
    <t>Three Rivers/Josephine County SD, Three Rivers/Josephine County SD</t>
  </si>
  <si>
    <t>Three Rivers/Josephine County SD, Williams Elementary School</t>
  </si>
  <si>
    <t>Williams Elementary School</t>
  </si>
  <si>
    <t>Three Rivers/Josephine County SD, Woodland Charter School</t>
  </si>
  <si>
    <t>Woodland Charter School</t>
  </si>
  <si>
    <t>Tigard-Tualatin SD 23J, Alberta Rider Elementary School</t>
  </si>
  <si>
    <t>Tigard-Tualatin SD 23J</t>
  </si>
  <si>
    <t>Alberta Rider Elementary School</t>
  </si>
  <si>
    <t>Tigard-Tualatin SD 23J, Bridgeport Elementary School</t>
  </si>
  <si>
    <t>Bridgeport Elementary School</t>
  </si>
  <si>
    <t>Tigard-Tualatin SD 23J, Charles F Tigard Elementary School</t>
  </si>
  <si>
    <t>Charles F Tigard Elementary School</t>
  </si>
  <si>
    <t>Tigard-Tualatin SD 23J, Deer Creek Elementary School</t>
  </si>
  <si>
    <t>Deer Creek Elementary School</t>
  </si>
  <si>
    <t>Tigard-Tualatin SD 23J, Durham Elementary School</t>
  </si>
  <si>
    <t>Durham Elementary School</t>
  </si>
  <si>
    <t>Tigard-Tualatin SD 23J, Edward Byrom Elementary School</t>
  </si>
  <si>
    <t>Edward Byrom Elementary School</t>
  </si>
  <si>
    <t>Tigard-Tualatin SD 23J, Hazelbrook Middle School</t>
  </si>
  <si>
    <t>Hazelbrook Middle School</t>
  </si>
  <si>
    <t>Tigard-Tualatin SD 23J, James Templeton Elementary School</t>
  </si>
  <si>
    <t>James Templeton Elementary School</t>
  </si>
  <si>
    <t>Tigard-Tualatin SD 23J, Janus Youth Programs--Cordero House</t>
  </si>
  <si>
    <t>Janus Youth Programs--Cordero House</t>
  </si>
  <si>
    <t>Tigard-Tualatin SD 23J, Mary Woodward Elementary School</t>
  </si>
  <si>
    <t>Mary Woodward Elementary School</t>
  </si>
  <si>
    <t>Tigard-Tualatin SD 23J, Metzger Elementary School</t>
  </si>
  <si>
    <t>Metzger Elementary School</t>
  </si>
  <si>
    <t>Tigard-Tualatin SD 23J, Multi-sensory Instruction Teaching Children Hands-On (MITCH)</t>
  </si>
  <si>
    <t>Multi-sensory Instruction Teaching Children Hands-On (MITCH)</t>
  </si>
  <si>
    <t>Tigard-Tualatin SD 23J, Thomas R Fowler Middle School</t>
  </si>
  <si>
    <t>Thomas R Fowler Middle School</t>
  </si>
  <si>
    <t>Tigard-Tualatin SD 23J, Tigard High School</t>
  </si>
  <si>
    <t>Tigard High School</t>
  </si>
  <si>
    <t>Tigard-Tualatin SD 23J, Tigard-Tualatin SD 23J</t>
  </si>
  <si>
    <t>Tigard-Tualatin SD 23J, Tualatin Elementary School</t>
  </si>
  <si>
    <t>Tualatin Elementary School</t>
  </si>
  <si>
    <t>Tigard-Tualatin SD 23J, Tualatin High School</t>
  </si>
  <si>
    <t>Tualatin High School</t>
  </si>
  <si>
    <t>Tigard-Tualatin SD 23J, Twality Middle School</t>
  </si>
  <si>
    <t>Twality Middle School</t>
  </si>
  <si>
    <t>Tillamook SD 9, East Elementary School</t>
  </si>
  <si>
    <t>Tillamook SD 9</t>
  </si>
  <si>
    <t>East Elementary School</t>
  </si>
  <si>
    <t>Tillamook SD 9, Liberty Elementary School</t>
  </si>
  <si>
    <t>Tillamook SD 9, South Prairie Elementary School</t>
  </si>
  <si>
    <t>South Prairie Elementary School</t>
  </si>
  <si>
    <t>Tillamook SD 9, Tillamook High School</t>
  </si>
  <si>
    <t>Tillamook High School</t>
  </si>
  <si>
    <t>Tillamook SD 9, Tillamook Junior High School</t>
  </si>
  <si>
    <t>Tillamook Junior High School</t>
  </si>
  <si>
    <t>Troy SD 54, Troy Elementary School</t>
  </si>
  <si>
    <t>Troy SD 54</t>
  </si>
  <si>
    <t>Troy Elementary School</t>
  </si>
  <si>
    <t>Ukiah SD 80R, Ukiah School</t>
  </si>
  <si>
    <t>Ukiah SD 80R</t>
  </si>
  <si>
    <t>Ukiah School</t>
  </si>
  <si>
    <t>Umatilla SD 6R, Clara Brownell Middle School</t>
  </si>
  <si>
    <t>Umatilla SD 6R</t>
  </si>
  <si>
    <t>Clara Brownell Middle School</t>
  </si>
  <si>
    <t>Umatilla SD 6R, McNary Heights Elementary School</t>
  </si>
  <si>
    <t>McNary Heights Elementary School</t>
  </si>
  <si>
    <t>Umatilla SD 6R, Umatilla High School</t>
  </si>
  <si>
    <t>Umatilla High School</t>
  </si>
  <si>
    <t>Union SD 5, Union Elementary School</t>
  </si>
  <si>
    <t>Union SD 5</t>
  </si>
  <si>
    <t>Union SD 5, Union High School</t>
  </si>
  <si>
    <t>Union High School</t>
  </si>
  <si>
    <t>Vale SD 84, Vale Elementary School</t>
  </si>
  <si>
    <t>Vale SD 84</t>
  </si>
  <si>
    <t>Vale Elementary School</t>
  </si>
  <si>
    <t>Vale SD 84, Vale High School</t>
  </si>
  <si>
    <t>Vale High School</t>
  </si>
  <si>
    <t>Vale SD 84, Vale Middle School</t>
  </si>
  <si>
    <t>Vale Middle School</t>
  </si>
  <si>
    <t>Vale SD 84, Vale SD 84</t>
  </si>
  <si>
    <t>Vale SD 84, Willowcreek Elementary School</t>
  </si>
  <si>
    <t>Willowcreek Elementary School</t>
  </si>
  <si>
    <t>Vernonia SD 47J, Mist Elementary School</t>
  </si>
  <si>
    <t>Vernonia SD 47J</t>
  </si>
  <si>
    <t>Mist Elementary School</t>
  </si>
  <si>
    <t>Vernonia SD 47J, Vernonia Elementary School</t>
  </si>
  <si>
    <t>Vernonia Elementary School</t>
  </si>
  <si>
    <t>Vernonia SD 47J, Vernonia High School</t>
  </si>
  <si>
    <t>Vernonia High School</t>
  </si>
  <si>
    <t>Vernonia SD 47J, Vernonia Middle School</t>
  </si>
  <si>
    <t>Vernonia Middle School</t>
  </si>
  <si>
    <t>Vernonia SD 47J, Vernonia SD 47J</t>
  </si>
  <si>
    <t>Wallowa SD 12, Wallowa Elementary School</t>
  </si>
  <si>
    <t>Wallowa SD 12</t>
  </si>
  <si>
    <t>Wallowa Elementary School</t>
  </si>
  <si>
    <t>Wallowa SD 12, Wallowa High School</t>
  </si>
  <si>
    <t>Wallowa High School</t>
  </si>
  <si>
    <t>Warrenton-Hammond SD 30, Warrenton Grade School</t>
  </si>
  <si>
    <t>Warrenton-Hammond SD 30</t>
  </si>
  <si>
    <t>Warrenton Grade School</t>
  </si>
  <si>
    <t>Warrenton-Hammond SD 30, Warrenton High School</t>
  </si>
  <si>
    <t>Warrenton High School</t>
  </si>
  <si>
    <t>Warrenton-Hammond SD 30, Warrenton-Hammond SD 30</t>
  </si>
  <si>
    <t>West Linn-Wilsonville SD 3J, Arts and Technology High School</t>
  </si>
  <si>
    <t>West Linn-Wilsonville SD 3J</t>
  </si>
  <si>
    <t>Arts and Technology High School</t>
  </si>
  <si>
    <t>West Linn-Wilsonville SD 3J, Athey Creek Middle School</t>
  </si>
  <si>
    <t>Athey Creek Middle School</t>
  </si>
  <si>
    <t>West Linn-Wilsonville SD 3J, Boeckman Creek Primary School</t>
  </si>
  <si>
    <t>Boeckman Creek Primary School</t>
  </si>
  <si>
    <t>West Linn-Wilsonville SD 3J, Bolton Primary School</t>
  </si>
  <si>
    <t>Bolton Primary School</t>
  </si>
  <si>
    <t>West Linn-Wilsonville SD 3J, Boones Ferry Primary School</t>
  </si>
  <si>
    <t>Boones Ferry Primary School</t>
  </si>
  <si>
    <t>West Linn-Wilsonville SD 3J, Cedaroak Park Primary School</t>
  </si>
  <si>
    <t>Cedaroak Park Primary School</t>
  </si>
  <si>
    <t>West Linn-Wilsonville SD 3J, Inza R Wood Middle School</t>
  </si>
  <si>
    <t>Inza R Wood Middle School</t>
  </si>
  <si>
    <t>West Linn-Wilsonville SD 3J, Lowrie Primary School</t>
  </si>
  <si>
    <t>Lowrie Primary School</t>
  </si>
  <si>
    <t>West Linn-Wilsonville SD 3J, Rosemont Ridge Middle School</t>
  </si>
  <si>
    <t>Rosemont Ridge Middle School</t>
  </si>
  <si>
    <t>West Linn-Wilsonville SD 3J, Stafford Primary School</t>
  </si>
  <si>
    <t>Stafford Primary School</t>
  </si>
  <si>
    <t>West Linn-Wilsonville SD 3J, Sunset Primary School</t>
  </si>
  <si>
    <t>Sunset Primary School</t>
  </si>
  <si>
    <t>West Linn-Wilsonville SD 3J, Three Rivers Charter School</t>
  </si>
  <si>
    <t>Three Rivers Charter School</t>
  </si>
  <si>
    <t>West Linn-Wilsonville SD 3J, Trillium Creek Primary School</t>
  </si>
  <si>
    <t>Trillium Creek Primary School</t>
  </si>
  <si>
    <t>West Linn-Wilsonville SD 3J, West Linn High School</t>
  </si>
  <si>
    <t>West Linn High School</t>
  </si>
  <si>
    <t>West Linn-Wilsonville SD 3J, West Linn-Wilsonville SD 3J</t>
  </si>
  <si>
    <t>West Linn-Wilsonville SD 3J, Willamette Primary School</t>
  </si>
  <si>
    <t>Willamette Primary School</t>
  </si>
  <si>
    <t>West Linn-Wilsonville SD 3J, Wilsonville High School</t>
  </si>
  <si>
    <t>Wilsonville High School</t>
  </si>
  <si>
    <t>Willamette ESD, Willamette ESD</t>
  </si>
  <si>
    <t>Willamette ESD</t>
  </si>
  <si>
    <t>Willamina SD 30J, Willamina Elementary School</t>
  </si>
  <si>
    <t>Willamina SD 30J</t>
  </si>
  <si>
    <t>Willamina Elementary School</t>
  </si>
  <si>
    <t>Willamina SD 30J, Willamina High School</t>
  </si>
  <si>
    <t>Willamina High School</t>
  </si>
  <si>
    <t xml:space="preserve">Willamina SD 30J, Willamina Middle School </t>
  </si>
  <si>
    <t xml:space="preserve">Willamina Middle School </t>
  </si>
  <si>
    <t>Willamina SD 30J, Willamina SD 30J</t>
  </si>
  <si>
    <t>Winston-Dillard SD 116, Brockway Elementary School</t>
  </si>
  <si>
    <t>Winston-Dillard SD 116</t>
  </si>
  <si>
    <t>Brockway Elementary School</t>
  </si>
  <si>
    <t>Winston-Dillard SD 116, Dillard Alternative High School</t>
  </si>
  <si>
    <t>Dillard Alternative High School</t>
  </si>
  <si>
    <t>Winston-Dillard SD 116, Douglas High School</t>
  </si>
  <si>
    <t>Douglas High School</t>
  </si>
  <si>
    <t>Winston-Dillard SD 116, Lookingglass Elementary School</t>
  </si>
  <si>
    <t>Lookingglass Elementary School</t>
  </si>
  <si>
    <t>Winston-Dillard SD 116, McGovern Elementary School</t>
  </si>
  <si>
    <t>McGovern Elementary School</t>
  </si>
  <si>
    <t>Winston-Dillard SD 116, Winston Middle School</t>
  </si>
  <si>
    <t>Winston Middle School</t>
  </si>
  <si>
    <t>Woodburn SD 103, Academy of International Studies (at Woodburn)</t>
  </si>
  <si>
    <t>Woodburn SD 103</t>
  </si>
  <si>
    <t>Academy of International Studies (at Woodburn)</t>
  </si>
  <si>
    <t>Woodburn SD 103, French Prairie Middle School</t>
  </si>
  <si>
    <t>French Prairie Middle School</t>
  </si>
  <si>
    <t>Woodburn SD 103, Heritage Elementary</t>
  </si>
  <si>
    <t>Heritage Elementary</t>
  </si>
  <si>
    <t>Woodburn SD 103, Lincoln Elementary School</t>
  </si>
  <si>
    <t>Woodburn SD 103, Nellie Muir Elementary School</t>
  </si>
  <si>
    <t>Nellie Muir Elementary School</t>
  </si>
  <si>
    <t>Woodburn SD 103, Valor Middle School</t>
  </si>
  <si>
    <t>Valor Middle School</t>
  </si>
  <si>
    <t>Woodburn SD 103, Washington Elementary School</t>
  </si>
  <si>
    <t>Woodburn SD 103, Wellness, Business and Sports School</t>
  </si>
  <si>
    <t>Wellness, Business and Sports School</t>
  </si>
  <si>
    <t>Woodburn SD 103, Woodburn Academy of Art, Science and Technology</t>
  </si>
  <si>
    <t>Woodburn Academy of Art, Science and Technology</t>
  </si>
  <si>
    <t>Woodburn SD 103, Woodburn Arthur Academy</t>
  </si>
  <si>
    <t>Woodburn Arthur Academy</t>
  </si>
  <si>
    <t>Woodburn SD 103, Woodburn Arts and Communications Academy</t>
  </si>
  <si>
    <t>Woodburn Arts and Communications Academy</t>
  </si>
  <si>
    <t>Woodburn SD 103, Woodburn SD 103</t>
  </si>
  <si>
    <t>Woodburn SD 103, Woodburn Success</t>
  </si>
  <si>
    <t>Woodburn Success</t>
  </si>
  <si>
    <t>Yamhill Carlton SD 1, Yamhill Carlton Elementary School</t>
  </si>
  <si>
    <t>Yamhill Carlton SD 1</t>
  </si>
  <si>
    <t>Yamhill Carlton Elementary School</t>
  </si>
  <si>
    <t>Yamhill Carlton SD 1, Yamhill Carlton High School</t>
  </si>
  <si>
    <t>Yamhill Carlton High School</t>
  </si>
  <si>
    <t>Yamhill Carlton SD 1, Yamhill Carlton Intermediate School</t>
  </si>
  <si>
    <t>Yamhill Carlton Intermediate School</t>
  </si>
  <si>
    <t>Yamhill Carlton SD 1, Yamhill Carlton SD 1</t>
  </si>
  <si>
    <t>Yoncalla SD 32, Yoncalla Elementary School</t>
  </si>
  <si>
    <t>Yoncalla SD 32</t>
  </si>
  <si>
    <t>Yoncalla Elementary School</t>
  </si>
  <si>
    <t>Yoncalla SD 32, Yoncalla High School</t>
  </si>
  <si>
    <t>Yoncalla High School</t>
  </si>
  <si>
    <t>DistrictID</t>
  </si>
  <si>
    <t>SchoolID</t>
  </si>
  <si>
    <t>School Type</t>
  </si>
  <si>
    <t>Grade Band</t>
  </si>
  <si>
    <t>Virtual Status</t>
  </si>
  <si>
    <t>Governance</t>
  </si>
  <si>
    <t>ADM</t>
  </si>
  <si>
    <t>ESL</t>
  </si>
  <si>
    <t>ESD Direct Support</t>
  </si>
  <si>
    <t>General Fund</t>
  </si>
  <si>
    <t>Special Revenue Funds</t>
  </si>
  <si>
    <t>Debt Service Funds</t>
  </si>
  <si>
    <t>Capital Project Funds</t>
  </si>
  <si>
    <t>Enterprise Funds</t>
  </si>
  <si>
    <t>Internal Service Funds</t>
  </si>
  <si>
    <t>Trust and Agency Funds</t>
  </si>
  <si>
    <t>PerPupilExp</t>
  </si>
  <si>
    <t>Statewide Low</t>
  </si>
  <si>
    <t>Statewide High</t>
  </si>
  <si>
    <t>Districtwide Low</t>
  </si>
  <si>
    <t>Districtwide High</t>
  </si>
  <si>
    <t>Statewide Low w/in Gradeband</t>
  </si>
  <si>
    <t>Statewide High w/in Gradeband</t>
  </si>
  <si>
    <t>District Low w/in Gradeband</t>
  </si>
  <si>
    <t>District High w/in Gradeband</t>
  </si>
  <si>
    <t>ESD Internal</t>
  </si>
  <si>
    <t>Regular</t>
  </si>
  <si>
    <t>Elementary</t>
  </si>
  <si>
    <t>Not Virtual</t>
  </si>
  <si>
    <t>Public</t>
  </si>
  <si>
    <t>NA</t>
  </si>
  <si>
    <t>High School</t>
  </si>
  <si>
    <t>Supplemental Virtual</t>
  </si>
  <si>
    <t>Other</t>
  </si>
  <si>
    <t>Junior High/Middle School</t>
  </si>
  <si>
    <t>Combined</t>
  </si>
  <si>
    <t>Focus Virtual</t>
  </si>
  <si>
    <t>Alternative</t>
  </si>
  <si>
    <t>ESD</t>
  </si>
  <si>
    <t>Coos Bay SD 9, Lighthouse Charter School</t>
  </si>
  <si>
    <t>Eugene SD 4J, Twin Rivers Charter School</t>
  </si>
  <si>
    <t>Twin Rivers Charter School</t>
  </si>
  <si>
    <t>Gervais SD 1, Gervais SD 1</t>
  </si>
  <si>
    <t>Gresham-Barlow SD 10J, Center for Advanced Learning</t>
  </si>
  <si>
    <t>Center for Advanced Learning</t>
  </si>
  <si>
    <t>Hermiston SD 8, Hermiston SD 8</t>
  </si>
  <si>
    <t>Jefferson County SD 509J, Bridges High School</t>
  </si>
  <si>
    <t>Bridges High School</t>
  </si>
  <si>
    <t>Jefferson SD 14J, Jefferson SD 14J</t>
  </si>
  <si>
    <t>Klamath Falls City Schools, Klamath Learning Center</t>
  </si>
  <si>
    <t>Klamath Learning Center</t>
  </si>
  <si>
    <t>Lincoln County SD, Taft Middle School</t>
  </si>
  <si>
    <t>Taft Middle School</t>
  </si>
  <si>
    <t>Lincoln County SD, Toledo Jr. High</t>
  </si>
  <si>
    <t>Toledo Jr. High</t>
  </si>
  <si>
    <t>Lincoln County SD, Waldport Middle School</t>
  </si>
  <si>
    <t>Waldport Middle School</t>
  </si>
  <si>
    <t>Lowell SD 71, Bridge Charter Academy</t>
  </si>
  <si>
    <t>Bridge Charter Academy</t>
  </si>
  <si>
    <t>Mt Angel SD 91, Mt Angel SD 91</t>
  </si>
  <si>
    <t>Long-term Care and Treatment</t>
  </si>
  <si>
    <t>Oakridge SD 76, Oakridge SD 76</t>
  </si>
  <si>
    <t>Youth Corrections</t>
  </si>
  <si>
    <t>Portland SD 1J, Chief Joseph Elementary School</t>
  </si>
  <si>
    <t>Chief Joseph Elementary School</t>
  </si>
  <si>
    <t>Redmond SD 2J, Redmond Early Learning Center at Hugh Hartman</t>
  </si>
  <si>
    <t>Redmond Early Learning Center at Hugh Hartman</t>
  </si>
  <si>
    <t>Scio SD 95, Oregon Virtual Education</t>
  </si>
  <si>
    <t>Sutherlin SD 130, Sutherlin Valley Online Academy</t>
  </si>
  <si>
    <t>Sutherlin Valley Online Academy</t>
  </si>
  <si>
    <t xml:space="preserve">General Fund </t>
  </si>
  <si>
    <t xml:space="preserve">Special Revenue Funds </t>
  </si>
  <si>
    <t xml:space="preserve">Debt Service Funds </t>
  </si>
  <si>
    <t xml:space="preserve">Capital Project Funds </t>
  </si>
  <si>
    <t xml:space="preserve">Enterprise Funds </t>
  </si>
  <si>
    <t xml:space="preserve">Internal Service Funds </t>
  </si>
  <si>
    <t xml:space="preserve">Trust and Agency Funds </t>
  </si>
  <si>
    <t>Expenditure Category</t>
  </si>
  <si>
    <t>District/School</t>
  </si>
  <si>
    <t>High</t>
  </si>
  <si>
    <t>Low</t>
  </si>
  <si>
    <t>Statewide</t>
  </si>
  <si>
    <t>Statewide w/in Gradeband</t>
  </si>
  <si>
    <t>Districtwide</t>
  </si>
  <si>
    <t>Districtwide w/in Gradeband</t>
  </si>
  <si>
    <t>SpEd</t>
  </si>
  <si>
    <t>Poverty</t>
  </si>
  <si>
    <t>Beaverton SD 48J, Mountainside High School</t>
  </si>
  <si>
    <t>Mountainside High School</t>
  </si>
  <si>
    <t>Beaverton SD 48J, Sato Elementary School</t>
  </si>
  <si>
    <t>Sato Elementary School</t>
  </si>
  <si>
    <t>Bend-LaPine Administrative SD 1, Desert Sky Montessori</t>
  </si>
  <si>
    <t>Desert Sky Montessori</t>
  </si>
  <si>
    <t>Cascade SD 5, Cascade Opportunity Center</t>
  </si>
  <si>
    <t>Cascade Opportunity Center</t>
  </si>
  <si>
    <t>Clatskanie SD 6J, Clatskanie SD 6J</t>
  </si>
  <si>
    <t>Douglas County SD 4, Rose School</t>
  </si>
  <si>
    <t>Rose School</t>
  </si>
  <si>
    <t>Eugene SD 4J, Chinese Language Immersion School</t>
  </si>
  <si>
    <t>Chinese Language Immersion School</t>
  </si>
  <si>
    <t>Forest Grove SD 15, Oak Grove Academy</t>
  </si>
  <si>
    <t>Oak Grove Academy</t>
  </si>
  <si>
    <t>Gervais SD 1, Frontier Charter Academy</t>
  </si>
  <si>
    <t>Frontier Charter Academy</t>
  </si>
  <si>
    <t>Marcola SD 79J, Marcola SD 79J</t>
  </si>
  <si>
    <t>Seaside SD 10, The Cannon Beach Academy</t>
  </si>
  <si>
    <t>The Cannon Beach Academy</t>
  </si>
  <si>
    <t>St Helens SD 502, Columbia City School</t>
  </si>
  <si>
    <t>Columbia City School</t>
  </si>
  <si>
    <t>St Helens SD 502, Plymouth High School</t>
  </si>
  <si>
    <t>Plymouth High School</t>
  </si>
  <si>
    <t>Tigard-Tualatin SD 23J, Creekside Community High School</t>
  </si>
  <si>
    <t>Creekside Community High School</t>
  </si>
  <si>
    <t>West Linn-Wilsonville SD 3J, Meridian Creek Middle School</t>
  </si>
  <si>
    <t>Meridian Creek Middle School</t>
  </si>
  <si>
    <t>Sources:</t>
  </si>
  <si>
    <t>Actual Expenditures Data Collection</t>
  </si>
  <si>
    <t>Operational Unit Data Collection</t>
  </si>
  <si>
    <t>ESD Direct Support Data Collection</t>
  </si>
  <si>
    <t>Institutions Data Collection</t>
  </si>
  <si>
    <t>Cumulative ADM Data Collection</t>
  </si>
  <si>
    <t>Special Education Child Count Data Collection</t>
  </si>
  <si>
    <t>US Census Small Area Income and Poverty Estimates (SAIPE)</t>
  </si>
  <si>
    <t>Chart Details</t>
  </si>
  <si>
    <t>General Exclusions</t>
  </si>
  <si>
    <t>Bar Chart I</t>
  </si>
  <si>
    <t>Fund Code Breakouts</t>
  </si>
  <si>
    <t>There are two columns for Fund Code Breakouts</t>
  </si>
  <si>
    <t>Pie Chart</t>
  </si>
  <si>
    <t>Student-related</t>
  </si>
  <si>
    <t>Bar Chart II</t>
  </si>
  <si>
    <t>Per Pupil Expenditures</t>
  </si>
  <si>
    <t>Ranges</t>
  </si>
  <si>
    <r>
      <t>·</t>
    </r>
    <r>
      <rPr>
        <sz val="7"/>
        <color theme="1"/>
        <rFont val="Times New Roman"/>
        <family val="1"/>
      </rPr>
      <t xml:space="preserve">         </t>
    </r>
    <r>
      <rPr>
        <b/>
        <i/>
        <sz val="11"/>
        <color theme="1"/>
        <rFont val="Calibri"/>
        <family val="2"/>
        <scheme val="minor"/>
      </rPr>
      <t>District and School expenditure amounts</t>
    </r>
  </si>
  <si>
    <r>
      <t>o</t>
    </r>
    <r>
      <rPr>
        <sz val="7"/>
        <color theme="1"/>
        <rFont val="Times New Roman"/>
        <family val="1"/>
      </rPr>
      <t xml:space="preserve">    </t>
    </r>
    <r>
      <rPr>
        <sz val="11"/>
        <color theme="1"/>
        <rFont val="Calibri"/>
        <family val="2"/>
        <scheme val="minor"/>
      </rPr>
      <t>Where centralized costs cannot be reported at the school level, it has been decided to use the following methodology: To apply District-level expenditures to each school, determine the school’s proportion of the overall District ADM and, for each school, multiply the resulting proportion by the District-level expenditure.</t>
    </r>
  </si>
  <si>
    <r>
      <t>o</t>
    </r>
    <r>
      <rPr>
        <sz val="7"/>
        <color theme="1"/>
        <rFont val="Times New Roman"/>
        <family val="1"/>
      </rPr>
      <t xml:space="preserve">    </t>
    </r>
    <r>
      <rPr>
        <b/>
        <sz val="11"/>
        <color theme="1"/>
        <rFont val="Calibri"/>
        <family val="2"/>
        <scheme val="minor"/>
      </rPr>
      <t>Exclusions</t>
    </r>
  </si>
  <si>
    <r>
      <t>·</t>
    </r>
    <r>
      <rPr>
        <sz val="7"/>
        <color theme="1"/>
        <rFont val="Times New Roman"/>
        <family val="1"/>
      </rPr>
      <t xml:space="preserve">         </t>
    </r>
    <r>
      <rPr>
        <sz val="11"/>
        <color theme="1"/>
        <rFont val="Calibri"/>
        <family val="2"/>
        <scheme val="minor"/>
      </rPr>
      <t>Fund Code 300 - Debt Services</t>
    </r>
  </si>
  <si>
    <r>
      <t>·</t>
    </r>
    <r>
      <rPr>
        <sz val="7"/>
        <color theme="1"/>
        <rFont val="Times New Roman"/>
        <family val="1"/>
      </rPr>
      <t xml:space="preserve">         </t>
    </r>
    <r>
      <rPr>
        <sz val="11"/>
        <color theme="1"/>
        <rFont val="Calibri"/>
        <family val="2"/>
        <scheme val="minor"/>
      </rPr>
      <t>Fund Code 400 - Capital Projects</t>
    </r>
  </si>
  <si>
    <r>
      <t>·</t>
    </r>
    <r>
      <rPr>
        <sz val="7"/>
        <color theme="1"/>
        <rFont val="Times New Roman"/>
        <family val="1"/>
      </rPr>
      <t xml:space="preserve">         </t>
    </r>
    <r>
      <rPr>
        <sz val="11"/>
        <color theme="1"/>
        <rFont val="Calibri"/>
        <family val="2"/>
        <scheme val="minor"/>
      </rPr>
      <t>Links to the Actual Expenditures Data Collection to identify the school associated with the expenditure</t>
    </r>
  </si>
  <si>
    <r>
      <t>·</t>
    </r>
    <r>
      <rPr>
        <sz val="7"/>
        <color theme="1"/>
        <rFont val="Times New Roman"/>
        <family val="1"/>
      </rPr>
      <t xml:space="preserve">         </t>
    </r>
    <r>
      <rPr>
        <b/>
        <i/>
        <sz val="11"/>
        <color theme="1"/>
        <rFont val="Calibri"/>
        <family val="2"/>
        <scheme val="minor"/>
      </rPr>
      <t>ESD Direct Support to Districts</t>
    </r>
  </si>
  <si>
    <r>
      <t>·</t>
    </r>
    <r>
      <rPr>
        <sz val="7"/>
        <color theme="1"/>
        <rFont val="Times New Roman"/>
        <family val="1"/>
      </rPr>
      <t xml:space="preserve">         </t>
    </r>
    <r>
      <rPr>
        <b/>
        <i/>
        <sz val="11"/>
        <color theme="1"/>
        <rFont val="Calibri"/>
        <family val="2"/>
        <scheme val="minor"/>
      </rPr>
      <t>Institution Attributes</t>
    </r>
  </si>
  <si>
    <r>
      <t>o</t>
    </r>
    <r>
      <rPr>
        <sz val="7"/>
        <color theme="1"/>
        <rFont val="Times New Roman"/>
        <family val="1"/>
      </rPr>
      <t xml:space="preserve">    </t>
    </r>
    <r>
      <rPr>
        <b/>
        <sz val="11"/>
        <color theme="1"/>
        <rFont val="Calibri"/>
        <family val="2"/>
        <scheme val="minor"/>
      </rPr>
      <t>Institution name</t>
    </r>
  </si>
  <si>
    <r>
      <t>o</t>
    </r>
    <r>
      <rPr>
        <sz val="7"/>
        <color theme="1"/>
        <rFont val="Times New Roman"/>
        <family val="1"/>
      </rPr>
      <t xml:space="preserve">    </t>
    </r>
    <r>
      <rPr>
        <b/>
        <sz val="11"/>
        <color theme="1"/>
        <rFont val="Calibri"/>
        <family val="2"/>
        <scheme val="minor"/>
      </rPr>
      <t>School Type</t>
    </r>
  </si>
  <si>
    <r>
      <t>·</t>
    </r>
    <r>
      <rPr>
        <sz val="7"/>
        <color theme="1"/>
        <rFont val="Times New Roman"/>
        <family val="1"/>
      </rPr>
      <t xml:space="preserve">         </t>
    </r>
    <r>
      <rPr>
        <sz val="11"/>
        <color theme="1"/>
        <rFont val="Calibri"/>
        <family val="2"/>
        <scheme val="minor"/>
      </rPr>
      <t>Charter</t>
    </r>
  </si>
  <si>
    <r>
      <t>·</t>
    </r>
    <r>
      <rPr>
        <sz val="7"/>
        <color theme="1"/>
        <rFont val="Times New Roman"/>
        <family val="1"/>
      </rPr>
      <t xml:space="preserve">         </t>
    </r>
    <r>
      <rPr>
        <sz val="11"/>
        <color theme="1"/>
        <rFont val="Calibri"/>
        <family val="2"/>
        <scheme val="minor"/>
      </rPr>
      <t>Youth Corrections</t>
    </r>
  </si>
  <si>
    <r>
      <t>·</t>
    </r>
    <r>
      <rPr>
        <sz val="7"/>
        <color theme="1"/>
        <rFont val="Times New Roman"/>
        <family val="1"/>
      </rPr>
      <t xml:space="preserve">         </t>
    </r>
    <r>
      <rPr>
        <sz val="11"/>
        <color theme="1"/>
        <rFont val="Calibri"/>
        <family val="2"/>
        <scheme val="minor"/>
      </rPr>
      <t>Alternative</t>
    </r>
  </si>
  <si>
    <r>
      <t>·</t>
    </r>
    <r>
      <rPr>
        <sz val="7"/>
        <color theme="1"/>
        <rFont val="Times New Roman"/>
        <family val="1"/>
      </rPr>
      <t xml:space="preserve">         </t>
    </r>
    <r>
      <rPr>
        <sz val="11"/>
        <color theme="1"/>
        <rFont val="Calibri"/>
        <family val="2"/>
        <scheme val="minor"/>
      </rPr>
      <t>Regular</t>
    </r>
  </si>
  <si>
    <r>
      <t>·</t>
    </r>
    <r>
      <rPr>
        <sz val="7"/>
        <color theme="1"/>
        <rFont val="Times New Roman"/>
        <family val="1"/>
      </rPr>
      <t xml:space="preserve">         </t>
    </r>
    <r>
      <rPr>
        <sz val="11"/>
        <color theme="1"/>
        <rFont val="Calibri"/>
        <family val="2"/>
        <scheme val="minor"/>
      </rPr>
      <t>State Operated</t>
    </r>
  </si>
  <si>
    <r>
      <t>·</t>
    </r>
    <r>
      <rPr>
        <sz val="7"/>
        <color theme="1"/>
        <rFont val="Times New Roman"/>
        <family val="1"/>
      </rPr>
      <t xml:space="preserve">         </t>
    </r>
    <r>
      <rPr>
        <sz val="11"/>
        <color theme="1"/>
        <rFont val="Calibri"/>
        <family val="2"/>
        <scheme val="minor"/>
      </rPr>
      <t>Long-term Care and Treatment</t>
    </r>
  </si>
  <si>
    <r>
      <t>·</t>
    </r>
    <r>
      <rPr>
        <sz val="7"/>
        <color theme="1"/>
        <rFont val="Times New Roman"/>
        <family val="1"/>
      </rPr>
      <t xml:space="preserve">         </t>
    </r>
    <r>
      <rPr>
        <sz val="11"/>
        <color theme="1"/>
        <rFont val="Calibri"/>
        <family val="2"/>
        <scheme val="minor"/>
      </rPr>
      <t>District</t>
    </r>
  </si>
  <si>
    <r>
      <t>·</t>
    </r>
    <r>
      <rPr>
        <sz val="7"/>
        <color theme="1"/>
        <rFont val="Times New Roman"/>
        <family val="1"/>
      </rPr>
      <t xml:space="preserve">         </t>
    </r>
    <r>
      <rPr>
        <sz val="11"/>
        <color theme="1"/>
        <rFont val="Calibri"/>
        <family val="2"/>
        <scheme val="minor"/>
      </rPr>
      <t>ESD</t>
    </r>
  </si>
  <si>
    <r>
      <t>o</t>
    </r>
    <r>
      <rPr>
        <sz val="7"/>
        <color theme="1"/>
        <rFont val="Times New Roman"/>
        <family val="1"/>
      </rPr>
      <t xml:space="preserve">    </t>
    </r>
    <r>
      <rPr>
        <b/>
        <sz val="11"/>
        <color theme="1"/>
        <rFont val="Calibri"/>
        <family val="2"/>
        <scheme val="minor"/>
      </rPr>
      <t>Grade Band</t>
    </r>
  </si>
  <si>
    <r>
      <t>·</t>
    </r>
    <r>
      <rPr>
        <sz val="7"/>
        <color theme="1"/>
        <rFont val="Times New Roman"/>
        <family val="1"/>
      </rPr>
      <t xml:space="preserve">         </t>
    </r>
    <r>
      <rPr>
        <sz val="11"/>
        <color theme="1"/>
        <rFont val="Calibri"/>
        <family val="2"/>
        <scheme val="minor"/>
      </rPr>
      <t>Combined (Typically K-12)</t>
    </r>
  </si>
  <si>
    <r>
      <t>·</t>
    </r>
    <r>
      <rPr>
        <sz val="7"/>
        <color theme="1"/>
        <rFont val="Times New Roman"/>
        <family val="1"/>
      </rPr>
      <t xml:space="preserve">         </t>
    </r>
    <r>
      <rPr>
        <sz val="11"/>
        <color theme="1"/>
        <rFont val="Calibri"/>
        <family val="2"/>
        <scheme val="minor"/>
      </rPr>
      <t>Elementary</t>
    </r>
  </si>
  <si>
    <r>
      <t>·</t>
    </r>
    <r>
      <rPr>
        <sz val="7"/>
        <color theme="1"/>
        <rFont val="Times New Roman"/>
        <family val="1"/>
      </rPr>
      <t xml:space="preserve">         </t>
    </r>
    <r>
      <rPr>
        <sz val="11"/>
        <color theme="1"/>
        <rFont val="Calibri"/>
        <family val="2"/>
        <scheme val="minor"/>
      </rPr>
      <t>Junior High/Middle School</t>
    </r>
  </si>
  <si>
    <r>
      <t>·</t>
    </r>
    <r>
      <rPr>
        <sz val="7"/>
        <color theme="1"/>
        <rFont val="Times New Roman"/>
        <family val="1"/>
      </rPr>
      <t xml:space="preserve">         </t>
    </r>
    <r>
      <rPr>
        <sz val="11"/>
        <color theme="1"/>
        <rFont val="Calibri"/>
        <family val="2"/>
        <scheme val="minor"/>
      </rPr>
      <t>High School</t>
    </r>
  </si>
  <si>
    <r>
      <t>·</t>
    </r>
    <r>
      <rPr>
        <sz val="7"/>
        <color theme="1"/>
        <rFont val="Times New Roman"/>
        <family val="1"/>
      </rPr>
      <t xml:space="preserve">         </t>
    </r>
    <r>
      <rPr>
        <sz val="11"/>
        <color theme="1"/>
        <rFont val="Calibri"/>
        <family val="2"/>
        <scheme val="minor"/>
      </rPr>
      <t>Other</t>
    </r>
  </si>
  <si>
    <r>
      <t>o</t>
    </r>
    <r>
      <rPr>
        <sz val="7"/>
        <color theme="1"/>
        <rFont val="Times New Roman"/>
        <family val="1"/>
      </rPr>
      <t xml:space="preserve">    </t>
    </r>
    <r>
      <rPr>
        <b/>
        <sz val="11"/>
        <color theme="1"/>
        <rFont val="Calibri"/>
        <family val="2"/>
        <scheme val="minor"/>
      </rPr>
      <t>Virtual Status</t>
    </r>
  </si>
  <si>
    <r>
      <t>·</t>
    </r>
    <r>
      <rPr>
        <sz val="7"/>
        <color theme="1"/>
        <rFont val="Times New Roman"/>
        <family val="1"/>
      </rPr>
      <t xml:space="preserve">         </t>
    </r>
    <r>
      <rPr>
        <sz val="11"/>
        <color theme="1"/>
        <rFont val="Calibri"/>
        <family val="2"/>
        <scheme val="minor"/>
      </rPr>
      <t>Not Virtual</t>
    </r>
  </si>
  <si>
    <r>
      <t>·</t>
    </r>
    <r>
      <rPr>
        <sz val="7"/>
        <color theme="1"/>
        <rFont val="Times New Roman"/>
        <family val="1"/>
      </rPr>
      <t xml:space="preserve">         </t>
    </r>
    <r>
      <rPr>
        <sz val="11"/>
        <color theme="1"/>
        <rFont val="Calibri"/>
        <family val="2"/>
        <scheme val="minor"/>
      </rPr>
      <t>Supplemental Virtual</t>
    </r>
  </si>
  <si>
    <r>
      <t>§</t>
    </r>
    <r>
      <rPr>
        <sz val="7"/>
        <color theme="1"/>
        <rFont val="Times New Roman"/>
        <family val="1"/>
      </rPr>
      <t xml:space="preserve">  </t>
    </r>
    <r>
      <rPr>
        <sz val="11"/>
        <color theme="1"/>
        <rFont val="Calibri"/>
        <family val="2"/>
        <scheme val="minor"/>
      </rPr>
      <t>Offers some online coursework</t>
    </r>
  </si>
  <si>
    <r>
      <t>·</t>
    </r>
    <r>
      <rPr>
        <sz val="7"/>
        <color theme="1"/>
        <rFont val="Times New Roman"/>
        <family val="1"/>
      </rPr>
      <t xml:space="preserve">         </t>
    </r>
    <r>
      <rPr>
        <sz val="11"/>
        <color theme="1"/>
        <rFont val="Calibri"/>
        <family val="2"/>
        <scheme val="minor"/>
      </rPr>
      <t>Focus Virtual</t>
    </r>
  </si>
  <si>
    <r>
      <t>§</t>
    </r>
    <r>
      <rPr>
        <sz val="7"/>
        <color theme="1"/>
        <rFont val="Times New Roman"/>
        <family val="1"/>
      </rPr>
      <t xml:space="preserve">  </t>
    </r>
    <r>
      <rPr>
        <sz val="11"/>
        <color theme="1"/>
        <rFont val="Calibri"/>
        <family val="2"/>
        <scheme val="minor"/>
      </rPr>
      <t>Instruction primarily delivered online</t>
    </r>
  </si>
  <si>
    <r>
      <t>·</t>
    </r>
    <r>
      <rPr>
        <sz val="7"/>
        <color theme="1"/>
        <rFont val="Times New Roman"/>
        <family val="1"/>
      </rPr>
      <t xml:space="preserve">         </t>
    </r>
    <r>
      <rPr>
        <sz val="11"/>
        <color theme="1"/>
        <rFont val="Calibri"/>
        <family val="2"/>
        <scheme val="minor"/>
      </rPr>
      <t>NA</t>
    </r>
  </si>
  <si>
    <r>
      <t>·</t>
    </r>
    <r>
      <rPr>
        <sz val="7"/>
        <color theme="1"/>
        <rFont val="Times New Roman"/>
        <family val="1"/>
      </rPr>
      <t xml:space="preserve">         </t>
    </r>
    <r>
      <rPr>
        <sz val="11"/>
        <color theme="1"/>
        <rFont val="Calibri"/>
        <family val="2"/>
        <scheme val="minor"/>
      </rPr>
      <t>ADM (Resident Average Daily Membership)</t>
    </r>
  </si>
  <si>
    <r>
      <t>o</t>
    </r>
    <r>
      <rPr>
        <sz val="7"/>
        <color theme="1"/>
        <rFont val="Times New Roman"/>
        <family val="1"/>
      </rPr>
      <t xml:space="preserve">    </t>
    </r>
    <r>
      <rPr>
        <sz val="11"/>
        <color theme="1"/>
        <rFont val="Calibri"/>
        <family val="2"/>
        <scheme val="minor"/>
      </rPr>
      <t>ADM is also used in the Poverty formula</t>
    </r>
  </si>
  <si>
    <r>
      <t>o</t>
    </r>
    <r>
      <rPr>
        <sz val="7"/>
        <color theme="1"/>
        <rFont val="Times New Roman"/>
        <family val="1"/>
      </rPr>
      <t xml:space="preserve">    </t>
    </r>
    <r>
      <rPr>
        <sz val="11"/>
        <color theme="1"/>
        <rFont val="Calibri"/>
        <family val="2"/>
        <scheme val="minor"/>
      </rPr>
      <t>Inclusions/Exclusions</t>
    </r>
  </si>
  <si>
    <r>
      <t>·</t>
    </r>
    <r>
      <rPr>
        <sz val="7"/>
        <color theme="1"/>
        <rFont val="Times New Roman"/>
        <family val="1"/>
      </rPr>
      <t xml:space="preserve">         </t>
    </r>
    <r>
      <rPr>
        <sz val="11"/>
        <color theme="1"/>
        <rFont val="Calibri"/>
        <family val="2"/>
        <scheme val="minor"/>
      </rPr>
      <t>Includes Grades KG-12</t>
    </r>
  </si>
  <si>
    <r>
      <t>·</t>
    </r>
    <r>
      <rPr>
        <sz val="7"/>
        <color theme="1"/>
        <rFont val="Times New Roman"/>
        <family val="1"/>
      </rPr>
      <t xml:space="preserve">         </t>
    </r>
    <r>
      <rPr>
        <sz val="11"/>
        <color theme="1"/>
        <rFont val="Calibri"/>
        <family val="2"/>
        <scheme val="minor"/>
      </rPr>
      <t>Includes all Tuition Types</t>
    </r>
  </si>
  <si>
    <r>
      <t>·</t>
    </r>
    <r>
      <rPr>
        <sz val="7"/>
        <color theme="1"/>
        <rFont val="Times New Roman"/>
        <family val="1"/>
      </rPr>
      <t xml:space="preserve">         </t>
    </r>
    <r>
      <rPr>
        <sz val="11"/>
        <color theme="1"/>
        <rFont val="Calibri"/>
        <family val="2"/>
        <scheme val="minor"/>
      </rPr>
      <t>Excludes ADM of students who are resident in other states and attending Oregon public school through a tuition agreement</t>
    </r>
  </si>
  <si>
    <r>
      <t>·</t>
    </r>
    <r>
      <rPr>
        <sz val="7"/>
        <color theme="1"/>
        <rFont val="Times New Roman"/>
        <family val="1"/>
      </rPr>
      <t xml:space="preserve">         </t>
    </r>
    <r>
      <rPr>
        <sz val="11"/>
        <color theme="1"/>
        <rFont val="Calibri"/>
        <family val="2"/>
        <scheme val="minor"/>
      </rPr>
      <t>ESL (English as a Second Language) demographic</t>
    </r>
  </si>
  <si>
    <r>
      <t>o</t>
    </r>
    <r>
      <rPr>
        <sz val="7"/>
        <color theme="1"/>
        <rFont val="Times New Roman"/>
        <family val="1"/>
      </rPr>
      <t xml:space="preserve">    </t>
    </r>
    <r>
      <rPr>
        <sz val="11"/>
        <color theme="1"/>
        <rFont val="Calibri"/>
        <family val="2"/>
        <scheme val="minor"/>
      </rPr>
      <t>ESL, for this purpose, includes resident students who were claimed for weighted ESL Funding</t>
    </r>
  </si>
  <si>
    <r>
      <t>o</t>
    </r>
    <r>
      <rPr>
        <sz val="7"/>
        <color theme="1"/>
        <rFont val="Times New Roman"/>
        <family val="1"/>
      </rPr>
      <t xml:space="preserve">    </t>
    </r>
    <r>
      <rPr>
        <sz val="11"/>
        <color theme="1"/>
        <rFont val="Calibri"/>
        <family val="2"/>
        <scheme val="minor"/>
      </rPr>
      <t>Percentage ranges were calculated as follows: ESL divided by resident ADM  then allocated to the indicated 10 percent ranges</t>
    </r>
  </si>
  <si>
    <r>
      <t>·</t>
    </r>
    <r>
      <rPr>
        <sz val="7"/>
        <color theme="1"/>
        <rFont val="Times New Roman"/>
        <family val="1"/>
      </rPr>
      <t xml:space="preserve">         </t>
    </r>
    <r>
      <rPr>
        <sz val="11"/>
        <color theme="1"/>
        <rFont val="Calibri"/>
        <family val="2"/>
        <scheme val="minor"/>
      </rPr>
      <t>Special Education demographic</t>
    </r>
  </si>
  <si>
    <r>
      <t>o</t>
    </r>
    <r>
      <rPr>
        <sz val="7"/>
        <color theme="1"/>
        <rFont val="Times New Roman"/>
        <family val="1"/>
      </rPr>
      <t xml:space="preserve">    </t>
    </r>
    <r>
      <rPr>
        <sz val="11"/>
        <color theme="1"/>
        <rFont val="Calibri"/>
        <family val="2"/>
        <scheme val="minor"/>
      </rPr>
      <t>Special Education data used for this purpose is based on attending school</t>
    </r>
  </si>
  <si>
    <r>
      <t>o</t>
    </r>
    <r>
      <rPr>
        <sz val="7"/>
        <color theme="1"/>
        <rFont val="Times New Roman"/>
        <family val="1"/>
      </rPr>
      <t xml:space="preserve">    </t>
    </r>
    <r>
      <rPr>
        <sz val="11"/>
        <color theme="1"/>
        <rFont val="Calibri"/>
        <family val="2"/>
        <scheme val="minor"/>
      </rPr>
      <t>Percentage ranges were calculated as follows: Special Education Child Count divided by resident ADM  then allocated to the indicated 20 percent ranges</t>
    </r>
  </si>
  <si>
    <r>
      <t>o</t>
    </r>
    <r>
      <rPr>
        <sz val="7"/>
        <color theme="1"/>
        <rFont val="Times New Roman"/>
        <family val="1"/>
      </rPr>
      <t xml:space="preserve">    </t>
    </r>
    <r>
      <rPr>
        <sz val="11"/>
        <color theme="1"/>
        <rFont val="Calibri"/>
        <family val="2"/>
        <scheme val="minor"/>
      </rPr>
      <t>Inclusions/exclusions</t>
    </r>
  </si>
  <si>
    <r>
      <t>·</t>
    </r>
    <r>
      <rPr>
        <sz val="7"/>
        <color theme="1"/>
        <rFont val="Times New Roman"/>
        <family val="1"/>
      </rPr>
      <t xml:space="preserve">         </t>
    </r>
    <r>
      <rPr>
        <sz val="11"/>
        <color theme="1"/>
        <rFont val="Calibri"/>
        <family val="2"/>
        <scheme val="minor"/>
      </rPr>
      <t>Includes Agency Service Codes: 30, 33</t>
    </r>
  </si>
  <si>
    <r>
      <t>·</t>
    </r>
    <r>
      <rPr>
        <sz val="7"/>
        <color theme="1"/>
        <rFont val="Times New Roman"/>
        <family val="1"/>
      </rPr>
      <t xml:space="preserve">         </t>
    </r>
    <r>
      <rPr>
        <sz val="11"/>
        <color theme="1"/>
        <rFont val="Calibri"/>
        <family val="2"/>
        <scheme val="minor"/>
      </rPr>
      <t>Excludes Enrollment Types: Y, T</t>
    </r>
  </si>
  <si>
    <r>
      <t>·</t>
    </r>
    <r>
      <rPr>
        <sz val="7"/>
        <color theme="1"/>
        <rFont val="Times New Roman"/>
        <family val="1"/>
      </rPr>
      <t xml:space="preserve">         </t>
    </r>
    <r>
      <rPr>
        <sz val="11"/>
        <color theme="1"/>
        <rFont val="Calibri"/>
        <family val="2"/>
        <scheme val="minor"/>
      </rPr>
      <t>Includes Enrollment Type J if not attending school is in a specific list of schools</t>
    </r>
  </si>
  <si>
    <r>
      <t>·</t>
    </r>
    <r>
      <rPr>
        <sz val="7"/>
        <color theme="1"/>
        <rFont val="Times New Roman"/>
        <family val="1"/>
      </rPr>
      <t xml:space="preserve">         </t>
    </r>
    <r>
      <rPr>
        <sz val="11"/>
        <color theme="1"/>
        <rFont val="Calibri"/>
        <family val="2"/>
        <scheme val="minor"/>
      </rPr>
      <t>Percentage ranges were calculated as follows:</t>
    </r>
  </si>
  <si>
    <r>
      <t>o</t>
    </r>
    <r>
      <rPr>
        <sz val="7"/>
        <color theme="1"/>
        <rFont val="Times New Roman"/>
        <family val="1"/>
      </rPr>
      <t xml:space="preserve">    </t>
    </r>
    <r>
      <rPr>
        <sz val="11"/>
        <color theme="1"/>
        <rFont val="Calibri"/>
        <family val="2"/>
        <scheme val="minor"/>
      </rPr>
      <t>If the sum of the Resident District ADM is less than the Age 5-17 population indicated for the District in the SAIPE data, the formula is:</t>
    </r>
  </si>
  <si>
    <r>
      <t>·</t>
    </r>
    <r>
      <rPr>
        <sz val="7"/>
        <color theme="1"/>
        <rFont val="Times New Roman"/>
        <family val="1"/>
      </rPr>
      <t xml:space="preserve">         </t>
    </r>
    <r>
      <rPr>
        <sz val="11"/>
        <color theme="1"/>
        <rFont val="Calibri"/>
        <family val="2"/>
        <scheme val="minor"/>
      </rPr>
      <t>SAIPE Age 5-17 Poverty Population for the District divided by SAIPE overall Age 5-17 Overall Population for the District</t>
    </r>
  </si>
  <si>
    <r>
      <t>o</t>
    </r>
    <r>
      <rPr>
        <sz val="7"/>
        <color theme="1"/>
        <rFont val="Times New Roman"/>
        <family val="1"/>
      </rPr>
      <t xml:space="preserve">    </t>
    </r>
    <r>
      <rPr>
        <sz val="11"/>
        <color theme="1"/>
        <rFont val="Calibri"/>
        <family val="2"/>
        <scheme val="minor"/>
      </rPr>
      <t>If the sum of the Resident District ADM is greater than or equal to the Age 5-17 population indicated for the District in the SAIPE data, the formula is:</t>
    </r>
  </si>
  <si>
    <r>
      <t>·</t>
    </r>
    <r>
      <rPr>
        <sz val="7"/>
        <color theme="1"/>
        <rFont val="Times New Roman"/>
        <family val="1"/>
      </rPr>
      <t xml:space="preserve">         </t>
    </r>
    <r>
      <rPr>
        <sz val="11"/>
        <color theme="1"/>
        <rFont val="Calibri"/>
        <family val="2"/>
        <scheme val="minor"/>
      </rPr>
      <t>SAIPE Age 5-17 Poverty Population for the District divided by the sum of the Resident District ADM</t>
    </r>
  </si>
  <si>
    <r>
      <t>·</t>
    </r>
    <r>
      <rPr>
        <sz val="7"/>
        <color theme="1"/>
        <rFont val="Times New Roman"/>
        <family val="1"/>
      </rPr>
      <t xml:space="preserve">         </t>
    </r>
    <r>
      <rPr>
        <sz val="11"/>
        <color theme="1"/>
        <rFont val="Calibri"/>
        <family val="2"/>
        <scheme val="minor"/>
      </rPr>
      <t>Excludes outliers such as those with per pupil expenditures at or exceeding $100,000 and those with expenditures but no students</t>
    </r>
  </si>
  <si>
    <r>
      <t>o</t>
    </r>
    <r>
      <rPr>
        <sz val="7"/>
        <color theme="1"/>
        <rFont val="Times New Roman"/>
        <family val="1"/>
      </rPr>
      <t xml:space="preserve">    </t>
    </r>
    <r>
      <rPr>
        <sz val="11"/>
        <color theme="1"/>
        <rFont val="Calibri"/>
        <family val="2"/>
        <scheme val="minor"/>
      </rPr>
      <t>These can be found in the data sheet but will not be reflected in the charts</t>
    </r>
  </si>
  <si>
    <r>
      <t>·</t>
    </r>
    <r>
      <rPr>
        <sz val="7"/>
        <color theme="1"/>
        <rFont val="Times New Roman"/>
        <family val="1"/>
      </rPr>
      <t xml:space="preserve">         </t>
    </r>
    <r>
      <rPr>
        <sz val="11"/>
        <color theme="1"/>
        <rFont val="Calibri"/>
        <family val="2"/>
        <scheme val="minor"/>
      </rPr>
      <t>In general, District Expenditures include the records in the Actual Expenditures collection where the fields for District and School both indicate the District Institution ID</t>
    </r>
  </si>
  <si>
    <r>
      <t>·</t>
    </r>
    <r>
      <rPr>
        <sz val="7"/>
        <color theme="1"/>
        <rFont val="Times New Roman"/>
        <family val="1"/>
      </rPr>
      <t xml:space="preserve">         </t>
    </r>
    <r>
      <rPr>
        <sz val="11"/>
        <color theme="1"/>
        <rFont val="Calibri"/>
        <family val="2"/>
        <scheme val="minor"/>
      </rPr>
      <t>In general, School Expenditures include the records in the Actual Expenditures collection where the field for the District indicates the District Institution ID and the field for the School indicates the School Institution ID</t>
    </r>
  </si>
  <si>
    <r>
      <t>·</t>
    </r>
    <r>
      <rPr>
        <sz val="7"/>
        <color theme="1"/>
        <rFont val="Times New Roman"/>
        <family val="1"/>
      </rPr>
      <t xml:space="preserve">         </t>
    </r>
    <r>
      <rPr>
        <sz val="11"/>
        <color theme="1"/>
        <rFont val="Calibri"/>
        <family val="2"/>
        <scheme val="minor"/>
      </rPr>
      <t>ESD Direct Support includes expenditures indicated in the ESD Direct Support Data Collection</t>
    </r>
  </si>
  <si>
    <r>
      <t>·</t>
    </r>
    <r>
      <rPr>
        <sz val="7"/>
        <color theme="1"/>
        <rFont val="Times New Roman"/>
        <family val="1"/>
      </rPr>
      <t xml:space="preserve">         </t>
    </r>
    <r>
      <rPr>
        <sz val="11"/>
        <color theme="1"/>
        <rFont val="Calibri"/>
        <family val="2"/>
        <scheme val="minor"/>
      </rPr>
      <t>District/School</t>
    </r>
  </si>
  <si>
    <r>
      <t>·</t>
    </r>
    <r>
      <rPr>
        <sz val="7"/>
        <color theme="1"/>
        <rFont val="Times New Roman"/>
        <family val="1"/>
      </rPr>
      <t xml:space="preserve">         </t>
    </r>
    <r>
      <rPr>
        <sz val="11"/>
        <color theme="1"/>
        <rFont val="Calibri"/>
        <family val="2"/>
        <scheme val="minor"/>
      </rPr>
      <t>ESD Direct Support</t>
    </r>
  </si>
  <si>
    <r>
      <t>·</t>
    </r>
    <r>
      <rPr>
        <sz val="7"/>
        <color theme="1"/>
        <rFont val="Times New Roman"/>
        <family val="1"/>
      </rPr>
      <t xml:space="preserve">         </t>
    </r>
    <r>
      <rPr>
        <b/>
        <i/>
        <sz val="11"/>
        <color theme="1"/>
        <rFont val="Calibri"/>
        <family val="2"/>
        <scheme val="minor"/>
      </rPr>
      <t>Direct Classroom Expenditures</t>
    </r>
  </si>
  <si>
    <r>
      <t>o</t>
    </r>
    <r>
      <rPr>
        <sz val="7"/>
        <color theme="1"/>
        <rFont val="Times New Roman"/>
        <family val="1"/>
      </rPr>
      <t xml:space="preserve">    </t>
    </r>
    <r>
      <rPr>
        <sz val="11"/>
        <color theme="1"/>
        <rFont val="Calibri"/>
        <family val="2"/>
        <scheme val="minor"/>
      </rPr>
      <t>Includes</t>
    </r>
  </si>
  <si>
    <r>
      <t>·</t>
    </r>
    <r>
      <rPr>
        <sz val="7"/>
        <color theme="1"/>
        <rFont val="Times New Roman"/>
        <family val="1"/>
      </rPr>
      <t xml:space="preserve">         </t>
    </r>
    <r>
      <rPr>
        <sz val="11"/>
        <color theme="1"/>
        <rFont val="Calibri"/>
        <family val="2"/>
        <scheme val="minor"/>
      </rPr>
      <t>Fund Codes: 100, 200, 500</t>
    </r>
  </si>
  <si>
    <r>
      <t>·</t>
    </r>
    <r>
      <rPr>
        <sz val="7"/>
        <color theme="1"/>
        <rFont val="Times New Roman"/>
        <family val="1"/>
      </rPr>
      <t xml:space="preserve">         </t>
    </r>
    <r>
      <rPr>
        <sz val="11"/>
        <color theme="1"/>
        <rFont val="Calibri"/>
        <family val="2"/>
        <scheme val="minor"/>
      </rPr>
      <t>Function Codes: 1111,1112,1121,1131,1140 and 1200, 1300, 1400 Series</t>
    </r>
  </si>
  <si>
    <r>
      <t>o</t>
    </r>
    <r>
      <rPr>
        <sz val="7"/>
        <color theme="1"/>
        <rFont val="Times New Roman"/>
        <family val="1"/>
      </rPr>
      <t xml:space="preserve">    </t>
    </r>
    <r>
      <rPr>
        <sz val="11"/>
        <color theme="1"/>
        <rFont val="Calibri"/>
        <family val="2"/>
        <scheme val="minor"/>
      </rPr>
      <t>Excludes</t>
    </r>
  </si>
  <si>
    <r>
      <t>·</t>
    </r>
    <r>
      <rPr>
        <sz val="7"/>
        <color theme="1"/>
        <rFont val="Times New Roman"/>
        <family val="1"/>
      </rPr>
      <t xml:space="preserve">         </t>
    </r>
    <r>
      <rPr>
        <sz val="11"/>
        <color theme="1"/>
        <rFont val="Calibri"/>
        <family val="2"/>
        <scheme val="minor"/>
      </rPr>
      <t>Object  Codes:  371, 372, 373, 374</t>
    </r>
  </si>
  <si>
    <r>
      <t>·</t>
    </r>
    <r>
      <rPr>
        <sz val="7"/>
        <color theme="1"/>
        <rFont val="Times New Roman"/>
        <family val="1"/>
      </rPr>
      <t xml:space="preserve">         </t>
    </r>
    <r>
      <rPr>
        <b/>
        <i/>
        <sz val="11"/>
        <color theme="1"/>
        <rFont val="Calibri"/>
        <family val="2"/>
        <scheme val="minor"/>
      </rPr>
      <t>Classroom Support</t>
    </r>
  </si>
  <si>
    <r>
      <t>·</t>
    </r>
    <r>
      <rPr>
        <sz val="7"/>
        <color theme="1"/>
        <rFont val="Times New Roman"/>
        <family val="1"/>
      </rPr>
      <t xml:space="preserve">         </t>
    </r>
    <r>
      <rPr>
        <sz val="11"/>
        <color theme="1"/>
        <rFont val="Calibri"/>
        <family val="2"/>
        <scheme val="minor"/>
      </rPr>
      <t>Function Codes: 1113, 1122 ,1132 and 2100, 2200, 2400, 3300, 3500 Series</t>
    </r>
  </si>
  <si>
    <r>
      <t>·</t>
    </r>
    <r>
      <rPr>
        <sz val="7"/>
        <color theme="1"/>
        <rFont val="Times New Roman"/>
        <family val="1"/>
      </rPr>
      <t xml:space="preserve">         </t>
    </r>
    <r>
      <rPr>
        <b/>
        <i/>
        <sz val="11"/>
        <color theme="1"/>
        <rFont val="Calibri"/>
        <family val="2"/>
        <scheme val="minor"/>
      </rPr>
      <t>Building Support</t>
    </r>
  </si>
  <si>
    <r>
      <t>·</t>
    </r>
    <r>
      <rPr>
        <sz val="7"/>
        <color theme="1"/>
        <rFont val="Times New Roman"/>
        <family val="1"/>
      </rPr>
      <t xml:space="preserve">         </t>
    </r>
    <r>
      <rPr>
        <sz val="11"/>
        <color theme="1"/>
        <rFont val="Calibri"/>
        <family val="2"/>
        <scheme val="minor"/>
      </rPr>
      <t>Function Codes: 2540, 2550, 2570, 2660, 2690 and 3100, 3200 Series</t>
    </r>
  </si>
  <si>
    <r>
      <t>·</t>
    </r>
    <r>
      <rPr>
        <sz val="7"/>
        <color theme="1"/>
        <rFont val="Times New Roman"/>
        <family val="1"/>
      </rPr>
      <t xml:space="preserve">         </t>
    </r>
    <r>
      <rPr>
        <b/>
        <i/>
        <sz val="11"/>
        <color theme="1"/>
        <rFont val="Calibri"/>
        <family val="2"/>
        <scheme val="minor"/>
      </rPr>
      <t>Central Support</t>
    </r>
  </si>
  <si>
    <r>
      <t>·</t>
    </r>
    <r>
      <rPr>
        <sz val="7"/>
        <color theme="1"/>
        <rFont val="Times New Roman"/>
        <family val="1"/>
      </rPr>
      <t xml:space="preserve">         </t>
    </r>
    <r>
      <rPr>
        <sz val="11"/>
        <color theme="1"/>
        <rFont val="Calibri"/>
        <family val="2"/>
        <scheme val="minor"/>
      </rPr>
      <t>Function Codes: 2510, 2520, 2600, 2610, 2620, 2630, 2640, 2670, 2700 and 2300 Series</t>
    </r>
  </si>
  <si>
    <r>
      <t>·</t>
    </r>
    <r>
      <rPr>
        <sz val="7"/>
        <color theme="1"/>
        <rFont val="Times New Roman"/>
        <family val="1"/>
      </rPr>
      <t xml:space="preserve">         </t>
    </r>
    <r>
      <rPr>
        <sz val="11"/>
        <color theme="1"/>
        <rFont val="Calibri"/>
        <family val="2"/>
        <scheme val="minor"/>
      </rPr>
      <t>Object  Codes:  371, 372, 373, 374</t>
    </r>
  </si>
  <si>
    <r>
      <t>·</t>
    </r>
    <r>
      <rPr>
        <sz val="7"/>
        <color theme="1"/>
        <rFont val="Times New Roman"/>
        <family val="1"/>
      </rPr>
      <t xml:space="preserve">         </t>
    </r>
    <r>
      <rPr>
        <sz val="11"/>
        <color theme="1"/>
        <rFont val="Calibri"/>
        <family val="2"/>
        <scheme val="minor"/>
      </rPr>
      <t>Includes all other expenditures not identified above</t>
    </r>
  </si>
  <si>
    <r>
      <t>·</t>
    </r>
    <r>
      <rPr>
        <sz val="7"/>
        <color theme="1"/>
        <rFont val="Times New Roman"/>
        <family val="1"/>
      </rPr>
      <t xml:space="preserve">         </t>
    </r>
    <r>
      <rPr>
        <sz val="11"/>
        <color theme="1"/>
        <rFont val="Calibri"/>
        <family val="2"/>
        <scheme val="minor"/>
      </rPr>
      <t>Expenditures divided by ADM</t>
    </r>
  </si>
  <si>
    <r>
      <t>·</t>
    </r>
    <r>
      <rPr>
        <sz val="7"/>
        <color theme="1"/>
        <rFont val="Times New Roman"/>
        <family val="1"/>
      </rPr>
      <t xml:space="preserve">         </t>
    </r>
    <r>
      <rPr>
        <sz val="11"/>
        <color theme="1"/>
        <rFont val="Calibri"/>
        <family val="2"/>
        <scheme val="minor"/>
      </rPr>
      <t>Statewide High</t>
    </r>
  </si>
  <si>
    <r>
      <t>o</t>
    </r>
    <r>
      <rPr>
        <sz val="7"/>
        <color theme="1"/>
        <rFont val="Times New Roman"/>
        <family val="1"/>
      </rPr>
      <t xml:space="preserve">    </t>
    </r>
    <r>
      <rPr>
        <sz val="11"/>
        <color theme="1"/>
        <rFont val="Calibri"/>
        <family val="2"/>
        <scheme val="minor"/>
      </rPr>
      <t>Highest overall per pupil expenditure level in the State</t>
    </r>
  </si>
  <si>
    <r>
      <t>·</t>
    </r>
    <r>
      <rPr>
        <sz val="7"/>
        <color theme="1"/>
        <rFont val="Times New Roman"/>
        <family val="1"/>
      </rPr>
      <t xml:space="preserve">         </t>
    </r>
    <r>
      <rPr>
        <sz val="11"/>
        <color theme="1"/>
        <rFont val="Calibri"/>
        <family val="2"/>
        <scheme val="minor"/>
      </rPr>
      <t>Statewide Low</t>
    </r>
  </si>
  <si>
    <r>
      <t>o</t>
    </r>
    <r>
      <rPr>
        <sz val="7"/>
        <color theme="1"/>
        <rFont val="Times New Roman"/>
        <family val="1"/>
      </rPr>
      <t xml:space="preserve">    </t>
    </r>
    <r>
      <rPr>
        <sz val="11"/>
        <color theme="1"/>
        <rFont val="Calibri"/>
        <family val="2"/>
        <scheme val="minor"/>
      </rPr>
      <t>Lowest overall per pupil expenditure level in the State</t>
    </r>
  </si>
  <si>
    <r>
      <t>·</t>
    </r>
    <r>
      <rPr>
        <sz val="7"/>
        <color theme="1"/>
        <rFont val="Times New Roman"/>
        <family val="1"/>
      </rPr>
      <t xml:space="preserve">         </t>
    </r>
    <r>
      <rPr>
        <sz val="11"/>
        <color theme="1"/>
        <rFont val="Calibri"/>
        <family val="2"/>
        <scheme val="minor"/>
      </rPr>
      <t>Statewide High within grade band</t>
    </r>
  </si>
  <si>
    <r>
      <t>o</t>
    </r>
    <r>
      <rPr>
        <sz val="7"/>
        <color theme="1"/>
        <rFont val="Times New Roman"/>
        <family val="1"/>
      </rPr>
      <t xml:space="preserve">    </t>
    </r>
    <r>
      <rPr>
        <sz val="11"/>
        <color theme="1"/>
        <rFont val="Calibri"/>
        <family val="2"/>
        <scheme val="minor"/>
      </rPr>
      <t>Highest overall per pupil expenditure level in the State within the grade band of the school being displayed</t>
    </r>
  </si>
  <si>
    <r>
      <t>·</t>
    </r>
    <r>
      <rPr>
        <sz val="7"/>
        <color theme="1"/>
        <rFont val="Times New Roman"/>
        <family val="1"/>
      </rPr>
      <t xml:space="preserve">         </t>
    </r>
    <r>
      <rPr>
        <sz val="11"/>
        <color theme="1"/>
        <rFont val="Calibri"/>
        <family val="2"/>
        <scheme val="minor"/>
      </rPr>
      <t>Statewide Low within grade band</t>
    </r>
  </si>
  <si>
    <r>
      <t>o</t>
    </r>
    <r>
      <rPr>
        <sz val="7"/>
        <color theme="1"/>
        <rFont val="Times New Roman"/>
        <family val="1"/>
      </rPr>
      <t xml:space="preserve">    </t>
    </r>
    <r>
      <rPr>
        <sz val="11"/>
        <color theme="1"/>
        <rFont val="Calibri"/>
        <family val="2"/>
        <scheme val="minor"/>
      </rPr>
      <t>Lowest overall per pupil expenditure level in the State within the grade band of the school being displayed</t>
    </r>
  </si>
  <si>
    <r>
      <t>·</t>
    </r>
    <r>
      <rPr>
        <sz val="7"/>
        <color theme="1"/>
        <rFont val="Times New Roman"/>
        <family val="1"/>
      </rPr>
      <t xml:space="preserve">         </t>
    </r>
    <r>
      <rPr>
        <sz val="11"/>
        <color theme="1"/>
        <rFont val="Calibri"/>
        <family val="2"/>
        <scheme val="minor"/>
      </rPr>
      <t>District-wide High</t>
    </r>
  </si>
  <si>
    <r>
      <t>o</t>
    </r>
    <r>
      <rPr>
        <sz val="7"/>
        <color theme="1"/>
        <rFont val="Times New Roman"/>
        <family val="1"/>
      </rPr>
      <t xml:space="preserve">    </t>
    </r>
    <r>
      <rPr>
        <sz val="11"/>
        <color theme="1"/>
        <rFont val="Calibri"/>
        <family val="2"/>
        <scheme val="minor"/>
      </rPr>
      <t>Highest overall per pupil expenditure level in the District</t>
    </r>
  </si>
  <si>
    <r>
      <t>·</t>
    </r>
    <r>
      <rPr>
        <sz val="7"/>
        <color theme="1"/>
        <rFont val="Times New Roman"/>
        <family val="1"/>
      </rPr>
      <t xml:space="preserve">         </t>
    </r>
    <r>
      <rPr>
        <sz val="11"/>
        <color theme="1"/>
        <rFont val="Calibri"/>
        <family val="2"/>
        <scheme val="minor"/>
      </rPr>
      <t>District-wide Low</t>
    </r>
  </si>
  <si>
    <r>
      <t>o</t>
    </r>
    <r>
      <rPr>
        <sz val="7"/>
        <color theme="1"/>
        <rFont val="Times New Roman"/>
        <family val="1"/>
      </rPr>
      <t xml:space="preserve">    </t>
    </r>
    <r>
      <rPr>
        <sz val="11"/>
        <color theme="1"/>
        <rFont val="Calibri"/>
        <family val="2"/>
        <scheme val="minor"/>
      </rPr>
      <t>Lowest overall per pupil expenditure level in the District</t>
    </r>
  </si>
  <si>
    <r>
      <t>·</t>
    </r>
    <r>
      <rPr>
        <sz val="7"/>
        <color theme="1"/>
        <rFont val="Times New Roman"/>
        <family val="1"/>
      </rPr>
      <t xml:space="preserve">         </t>
    </r>
    <r>
      <rPr>
        <sz val="11"/>
        <color theme="1"/>
        <rFont val="Calibri"/>
        <family val="2"/>
        <scheme val="minor"/>
      </rPr>
      <t>District-wide High within grade band</t>
    </r>
  </si>
  <si>
    <r>
      <t>o</t>
    </r>
    <r>
      <rPr>
        <sz val="7"/>
        <color theme="1"/>
        <rFont val="Times New Roman"/>
        <family val="1"/>
      </rPr>
      <t xml:space="preserve">    </t>
    </r>
    <r>
      <rPr>
        <sz val="11"/>
        <color theme="1"/>
        <rFont val="Calibri"/>
        <family val="2"/>
        <scheme val="minor"/>
      </rPr>
      <t>Highest overall per pupil expenditure level in the District within the grade band of the school being displayed</t>
    </r>
  </si>
  <si>
    <r>
      <t>·</t>
    </r>
    <r>
      <rPr>
        <sz val="7"/>
        <color theme="1"/>
        <rFont val="Times New Roman"/>
        <family val="1"/>
      </rPr>
      <t xml:space="preserve">         </t>
    </r>
    <r>
      <rPr>
        <sz val="11"/>
        <color theme="1"/>
        <rFont val="Calibri"/>
        <family val="2"/>
        <scheme val="minor"/>
      </rPr>
      <t>District-wide Low within grade band</t>
    </r>
  </si>
  <si>
    <r>
      <t>o</t>
    </r>
    <r>
      <rPr>
        <sz val="7"/>
        <color theme="1"/>
        <rFont val="Times New Roman"/>
        <family val="1"/>
      </rPr>
      <t xml:space="preserve">    </t>
    </r>
    <r>
      <rPr>
        <sz val="11"/>
        <color theme="1"/>
        <rFont val="Calibri"/>
        <family val="2"/>
        <scheme val="minor"/>
      </rPr>
      <t>Lowest overall per pupil expenditure level in the District within the grade band of the school being displayed</t>
    </r>
  </si>
  <si>
    <r>
      <t>·</t>
    </r>
    <r>
      <rPr>
        <sz val="7"/>
        <color theme="1"/>
        <rFont val="Times New Roman"/>
        <family val="1"/>
      </rPr>
      <t xml:space="preserve">         </t>
    </r>
    <r>
      <rPr>
        <sz val="11"/>
        <color theme="1"/>
        <rFont val="Calibri"/>
        <family val="2"/>
        <scheme val="minor"/>
      </rPr>
      <t>Object Code 360 - Charter School Transfers</t>
    </r>
  </si>
  <si>
    <t>Ashland SD 5, John Muir Outdoor School</t>
  </si>
  <si>
    <t>John Muir Outdoor School</t>
  </si>
  <si>
    <t>Bend-LaPine Administrative SD 1, Realms High School</t>
  </si>
  <si>
    <t>Realms High School</t>
  </si>
  <si>
    <t>Bend-LaPine Administrative SD 1, Skyline High School</t>
  </si>
  <si>
    <t>Skyline High School</t>
  </si>
  <si>
    <t>Falls City SD 57, Falls City SD 57</t>
  </si>
  <si>
    <t>Harney County SD 4, Oregon Family School</t>
  </si>
  <si>
    <t>Oregon Family School</t>
  </si>
  <si>
    <t>La Grande SD 1, La Grande SD 1</t>
  </si>
  <si>
    <t>Long Creek SD 17, Long Creek SD 17</t>
  </si>
  <si>
    <t>Marcola SD 79J, TEACH-NW</t>
  </si>
  <si>
    <t>TEACH-NW</t>
  </si>
  <si>
    <t>Medford SD 549C, Ruch Outdoor Community School</t>
  </si>
  <si>
    <t>Ruch Outdoor Community School</t>
  </si>
  <si>
    <t>Milton-Freewater Unified SD 7, Gib Olinger Elementary School</t>
  </si>
  <si>
    <t>Gib Olinger Elementary School</t>
  </si>
  <si>
    <t>Mitchell SD 55, Cascade Virtual Academy</t>
  </si>
  <si>
    <t>Cascade Virtual Academy</t>
  </si>
  <si>
    <t>Mitchell SD 55, Destinations Career Academy of Oregon</t>
  </si>
  <si>
    <t>Destinations Career Academy of Oregon</t>
  </si>
  <si>
    <t>Morrow SD 1, Morrow Education Center</t>
  </si>
  <si>
    <t>Morrow Education Center</t>
  </si>
  <si>
    <t>North Santiam SD 29J, North Santiam SD 29J</t>
  </si>
  <si>
    <t>Pendleton SD 16, Hawthorne Alternative High School</t>
  </si>
  <si>
    <t>Hawthorne Alternative High School</t>
  </si>
  <si>
    <t>Portland SD 1J, Dr. Martin Luther King Jr. School</t>
  </si>
  <si>
    <t>Dr. Martin Luther King Jr. School</t>
  </si>
  <si>
    <t>Portland SD 1J, Harriet Tubman Middle School</t>
  </si>
  <si>
    <t>Harriet Tubman Middle School</t>
  </si>
  <si>
    <t>Portland SD 1J, Rose City Park</t>
  </si>
  <si>
    <t>Rose City Park</t>
  </si>
  <si>
    <t>Rogue River SD 35, South Valley Academy</t>
  </si>
  <si>
    <t>South Valley Academy</t>
  </si>
  <si>
    <t>District Notes</t>
  </si>
  <si>
    <t>ODE Notes</t>
  </si>
  <si>
    <t>No notes provided</t>
  </si>
  <si>
    <t>District Notes Provided:</t>
  </si>
  <si>
    <t>ODE Notes Provided:</t>
  </si>
  <si>
    <t>Expenditure data incorrectly reported. No expenses reported specifically at the school; only proportional expenses reported at district are reflected.</t>
  </si>
  <si>
    <t>Students were reported without a specific resident school ID. Possibly district alternative education programs.</t>
  </si>
  <si>
    <t>Students were reported without a specific resident school ID. Only ESD direct support reported but no district level expenditures.</t>
  </si>
  <si>
    <t>Salem-Keizer SD 24J, Cesar E Chavez Elementary</t>
  </si>
  <si>
    <t>Cesar E Chavez Elementary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</si>
</sst>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quot;$&quot;#,##0"/>
  </numFmts>
  <fonts count="10" x14ac:knownFonts="1">
    <font>
      <sz val="11"/>
      <color theme="1"/>
      <name val="Calibri"/>
      <family val="2"/>
      <scheme val="minor"/>
    </font>
    <font>
      <b/>
      <sz val="11"/>
      <color theme="1"/>
      <name val="Calibri"/>
      <family val="2"/>
      <scheme val="minor"/>
    </font>
    <font>
      <b/>
      <sz val="14"/>
      <color rgb="FFFF0000"/>
      <name val="Calibri"/>
      <family val="2"/>
      <scheme val="minor"/>
    </font>
    <font>
      <b/>
      <sz val="14"/>
      <color theme="1"/>
      <name val="Calibri"/>
      <family val="2"/>
      <scheme val="minor"/>
    </font>
    <font>
      <b/>
      <sz val="12"/>
      <color theme="1"/>
      <name val="Calibri"/>
      <family val="2"/>
      <scheme val="minor"/>
    </font>
    <font>
      <sz val="10"/>
      <color theme="1"/>
      <name val="Symbol"/>
      <family val="1"/>
      <charset val="2"/>
    </font>
    <font>
      <sz val="7"/>
      <color theme="1"/>
      <name val="Times New Roman"/>
      <family val="1"/>
    </font>
    <font>
      <b/>
      <i/>
      <sz val="11"/>
      <color theme="1"/>
      <name val="Calibri"/>
      <family val="2"/>
      <scheme val="minor"/>
    </font>
    <font>
      <sz val="10"/>
      <color theme="1"/>
      <name val="Courier New"/>
      <family val="3"/>
    </font>
    <font>
      <sz val="10"/>
      <color theme="1"/>
      <name val="Wingdings"/>
      <charset val="2"/>
    </font>
  </fonts>
  <fills count="4">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s>
  <borders count="1">
    <border>
      <left/>
      <right/>
      <top/>
      <bottom/>
      <diagonal/>
    </border>
  </borders>
  <cellStyleXfs count="1">
    <xf numFmtId="0" fontId="0" fillId="0" borderId="0"/>
  </cellStyleXfs>
  <cellXfs count="24">
    <xf numFmtId="0" fontId="0" fillId="0" borderId="0" xfId="0"/>
    <xf numFmtId="0" fontId="0" fillId="2" borderId="0" xfId="0" applyNumberFormat="1" applyFill="1"/>
    <xf numFmtId="0" fontId="0" fillId="2" borderId="0" xfId="0" applyFill="1"/>
    <xf numFmtId="14" fontId="0" fillId="2" borderId="0" xfId="0" applyNumberFormat="1" applyFill="1"/>
    <xf numFmtId="0" fontId="1" fillId="0" borderId="0" xfId="0" applyFont="1"/>
    <xf numFmtId="0" fontId="0" fillId="0" borderId="0" xfId="0" applyFont="1"/>
    <xf numFmtId="164" fontId="0" fillId="0" borderId="0" xfId="0" applyNumberFormat="1"/>
    <xf numFmtId="4" fontId="0" fillId="2" borderId="0" xfId="0" applyNumberFormat="1" applyFill="1"/>
    <xf numFmtId="0" fontId="2" fillId="2" borderId="0" xfId="0" applyNumberFormat="1" applyFont="1" applyFill="1"/>
    <xf numFmtId="3" fontId="1" fillId="0" borderId="0" xfId="0" applyNumberFormat="1" applyFont="1"/>
    <xf numFmtId="0" fontId="1" fillId="2" borderId="0" xfId="0" applyFont="1" applyFill="1" applyProtection="1">
      <protection locked="0"/>
    </xf>
    <xf numFmtId="164" fontId="1" fillId="0" borderId="0" xfId="0" applyNumberFormat="1" applyFont="1"/>
    <xf numFmtId="0" fontId="3" fillId="0" borderId="0" xfId="0" applyFont="1" applyAlignment="1">
      <alignment vertical="center"/>
    </xf>
    <xf numFmtId="0" fontId="4" fillId="0" borderId="0" xfId="0" applyFont="1" applyAlignment="1">
      <alignment vertical="center"/>
    </xf>
    <xf numFmtId="0" fontId="5" fillId="0" borderId="0" xfId="0" applyFont="1" applyAlignment="1">
      <alignment horizontal="left" vertical="center" indent="4"/>
    </xf>
    <xf numFmtId="0" fontId="8" fillId="0" borderId="0" xfId="0" applyFont="1" applyAlignment="1">
      <alignment horizontal="left" vertical="center" indent="8"/>
    </xf>
    <xf numFmtId="0" fontId="5" fillId="0" borderId="0" xfId="0" applyFont="1" applyAlignment="1">
      <alignment horizontal="left" vertical="center" indent="12"/>
    </xf>
    <xf numFmtId="0" fontId="9" fillId="0" borderId="0" xfId="0" applyFont="1" applyAlignment="1">
      <alignment horizontal="left" vertical="center" indent="15"/>
    </xf>
    <xf numFmtId="0" fontId="0" fillId="0" borderId="0" xfId="0" applyAlignment="1">
      <alignment vertical="center"/>
    </xf>
    <xf numFmtId="0" fontId="1" fillId="0" borderId="0" xfId="0" applyFont="1" applyAlignment="1">
      <alignment vertical="center"/>
    </xf>
    <xf numFmtId="0" fontId="7" fillId="0" borderId="0" xfId="0" applyFont="1" applyAlignment="1">
      <alignment vertical="center"/>
    </xf>
    <xf numFmtId="0" fontId="0" fillId="3" borderId="0" xfId="0" applyFont="1" applyFill="1"/>
    <xf numFmtId="0" fontId="0" fillId="3" borderId="0" xfId="0" applyFill="1"/>
    <xf numFmtId="164" fontId="0" fillId="3" borderId="0" xfId="0" applyNumberFormat="1" applyFill="1"/>
  </cellXfs>
  <cellStyles count="1">
    <cellStyle name="Normal" xfId="0" builtinId="0"/>
  </cellStyles>
  <dxfs count="1">
    <dxf>
      <fill>
        <patternFill>
          <bgColor rgb="FFFFC000"/>
        </patternFill>
      </fill>
    </dxf>
  </dxfs>
  <tableStyles count="0" defaultTableStyle="TableStyleMedium2" defaultPivotStyle="PivotStyleLight16"/>
  <colors>
    <mruColors>
      <color rgb="FF3366FF"/>
      <color rgb="FF3333FF"/>
      <color rgb="FF0033CC"/>
      <color rgb="FF009900"/>
      <color rgb="FF3C9DAA"/>
      <color rgb="FF8F6057"/>
      <color rgb="FFA7776D"/>
      <color rgb="FF9048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spc="0" baseline="0">
                <a:solidFill>
                  <a:schemeClr val="tx1">
                    <a:lumMod val="65000"/>
                    <a:lumOff val="35000"/>
                  </a:schemeClr>
                </a:solidFill>
                <a:latin typeface="+mn-lt"/>
                <a:ea typeface="+mn-ea"/>
                <a:cs typeface="+mn-cs"/>
              </a:defRPr>
            </a:pPr>
            <a:r>
              <a:rPr lang="en-US" sz="1000" b="1"/>
              <a:t>This School's</a:t>
            </a:r>
            <a:r>
              <a:rPr lang="en-US" sz="1000" b="1" baseline="0"/>
              <a:t> </a:t>
            </a:r>
            <a:r>
              <a:rPr lang="en-US" sz="1000" b="1"/>
              <a:t>Per Pupil</a:t>
            </a:r>
            <a:r>
              <a:rPr lang="en-US" sz="1000" b="1" baseline="0"/>
              <a:t> Expenditures within District and State     </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tockChart>
        <c:ser>
          <c:idx val="0"/>
          <c:order val="0"/>
          <c:tx>
            <c:strRef>
              <c:f>'Selected Data'!$B$15</c:f>
              <c:strCache>
                <c:ptCount val="1"/>
                <c:pt idx="0">
                  <c:v>High</c:v>
                </c:pt>
              </c:strCache>
            </c:strRef>
          </c:tx>
          <c:spPr>
            <a:ln w="25400" cap="rnd">
              <a:noFill/>
              <a:round/>
            </a:ln>
            <a:effectLst/>
          </c:spPr>
          <c:marker>
            <c:symbol val="dash"/>
            <c:size val="32"/>
            <c:spPr>
              <a:solidFill>
                <a:schemeClr val="accent1"/>
              </a:solidFill>
              <a:ln w="9525">
                <a:solidFill>
                  <a:schemeClr val="accent1"/>
                </a:solidFill>
              </a:ln>
              <a:effectLst/>
            </c:spPr>
          </c:marker>
          <c:dLbls>
            <c:dLbl>
              <c:idx val="0"/>
              <c:layout>
                <c:manualLayout>
                  <c:x val="-0.12865494113944348"/>
                  <c:y val="-5.7657657657657659E-2"/>
                </c:manualLayout>
              </c:layout>
              <c:showLegendKey val="0"/>
              <c:showVal val="1"/>
              <c:showCatName val="0"/>
              <c:showSerName val="1"/>
              <c:showPercent val="0"/>
              <c:showBubbleSize val="0"/>
              <c:extLst>
                <c:ext xmlns:c15="http://schemas.microsoft.com/office/drawing/2012/chart" uri="{CE6537A1-D6FC-4f65-9D91-7224C49458BB}">
                  <c15:layout/>
                </c:ext>
                <c:ext xmlns:c16="http://schemas.microsoft.com/office/drawing/2014/chart" uri="{C3380CC4-5D6E-409C-BE32-E72D297353CC}">
                  <c16:uniqueId val="{00000000-FDA6-4AF3-B277-916E715BB6B1}"/>
                </c:ext>
              </c:extLst>
            </c:dLbl>
            <c:dLbl>
              <c:idx val="1"/>
              <c:layout>
                <c:manualLayout>
                  <c:x val="-0.1315789170744309"/>
                  <c:y val="-5.7657657657657659E-2"/>
                </c:manualLayout>
              </c:layout>
              <c:showLegendKey val="0"/>
              <c:showVal val="1"/>
              <c:showCatName val="0"/>
              <c:showSerName val="1"/>
              <c:showPercent val="0"/>
              <c:showBubbleSize val="0"/>
              <c:extLst>
                <c:ext xmlns:c15="http://schemas.microsoft.com/office/drawing/2012/chart" uri="{CE6537A1-D6FC-4f65-9D91-7224C49458BB}">
                  <c15:layout/>
                </c:ext>
                <c:ext xmlns:c16="http://schemas.microsoft.com/office/drawing/2014/chart" uri="{C3380CC4-5D6E-409C-BE32-E72D297353CC}">
                  <c16:uniqueId val="{00000001-FDA6-4AF3-B277-916E715BB6B1}"/>
                </c:ext>
              </c:extLst>
            </c:dLbl>
            <c:dLbl>
              <c:idx val="2"/>
              <c:layout>
                <c:manualLayout>
                  <c:x val="-0.13157891707443084"/>
                  <c:y val="-5.7657657657657721E-2"/>
                </c:manualLayout>
              </c:layout>
              <c:showLegendKey val="0"/>
              <c:showVal val="1"/>
              <c:showCatName val="0"/>
              <c:showSerName val="1"/>
              <c:showPercent val="0"/>
              <c:showBubbleSize val="0"/>
              <c:extLst>
                <c:ext xmlns:c15="http://schemas.microsoft.com/office/drawing/2012/chart" uri="{CE6537A1-D6FC-4f65-9D91-7224C49458BB}">
                  <c15:layout/>
                </c:ext>
                <c:ext xmlns:c16="http://schemas.microsoft.com/office/drawing/2014/chart" uri="{C3380CC4-5D6E-409C-BE32-E72D297353CC}">
                  <c16:uniqueId val="{00000001-7303-43BC-AD2E-3765E2B1269F}"/>
                </c:ext>
              </c:extLst>
            </c:dLbl>
            <c:dLbl>
              <c:idx val="3"/>
              <c:layout>
                <c:manualLayout>
                  <c:x val="-4.6783614959797631E-2"/>
                  <c:y val="-5.0450450450450518E-2"/>
                </c:manualLayout>
              </c:layout>
              <c:showLegendKey val="0"/>
              <c:showVal val="1"/>
              <c:showCatName val="0"/>
              <c:showSerName val="1"/>
              <c:showPercent val="0"/>
              <c:showBubbleSize val="0"/>
              <c:extLst>
                <c:ext xmlns:c15="http://schemas.microsoft.com/office/drawing/2012/chart" uri="{CE6537A1-D6FC-4f65-9D91-7224C49458BB}">
                  <c15:layout/>
                </c:ext>
                <c:ext xmlns:c16="http://schemas.microsoft.com/office/drawing/2014/chart" uri="{C3380CC4-5D6E-409C-BE32-E72D297353CC}">
                  <c16:uniqueId val="{00000002-7303-43BC-AD2E-3765E2B1269F}"/>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'Selected Data'!$A$16:$A$19</c:f>
              <c:strCache>
                <c:ptCount val="4"/>
                <c:pt idx="0">
                  <c:v>Statewide</c:v>
                </c:pt>
                <c:pt idx="1">
                  <c:v>Statewide w/in Gradeband</c:v>
                </c:pt>
                <c:pt idx="2">
                  <c:v>Districtwide</c:v>
                </c:pt>
                <c:pt idx="3">
                  <c:v>Districtwide w/in Gradeband</c:v>
                </c:pt>
              </c:strCache>
            </c:strRef>
          </c:cat>
          <c:val>
            <c:numRef>
              <c:f>'Selected Data'!$B$16:$B$19</c:f>
              <c:numCache>
                <c:formatCode>"$"#,##0</c:formatCode>
                <c:ptCount val="4"/>
                <c:pt idx="0">
                  <c:v>93035.839999999997</c:v>
                </c:pt>
                <c:pt idx="1">
                  <c:v>93035.839999999997</c:v>
                </c:pt>
                <c:pt idx="2">
                  <c:v>35214.261122192598</c:v>
                </c:pt>
                <c:pt idx="3">
                  <c:v>35214.261122192598</c:v>
                </c:pt>
              </c:numCache>
            </c:numRef>
          </c:val>
          <c:smooth val="0"/>
          <c:extLst>
            <c:ext xmlns:c16="http://schemas.microsoft.com/office/drawing/2014/chart" uri="{C3380CC4-5D6E-409C-BE32-E72D297353CC}">
              <c16:uniqueId val="{00000002-FDA6-4AF3-B277-916E715BB6B1}"/>
            </c:ext>
          </c:extLst>
        </c:ser>
        <c:ser>
          <c:idx val="1"/>
          <c:order val="1"/>
          <c:tx>
            <c:strRef>
              <c:f>'Selected Data'!$C$15</c:f>
              <c:strCache>
                <c:ptCount val="1"/>
                <c:pt idx="0">
                  <c:v>Low</c:v>
                </c:pt>
              </c:strCache>
            </c:strRef>
          </c:tx>
          <c:spPr>
            <a:ln w="25400" cap="rnd">
              <a:noFill/>
              <a:round/>
            </a:ln>
            <a:effectLst/>
          </c:spPr>
          <c:marker>
            <c:symbol val="dash"/>
            <c:size val="32"/>
            <c:spPr>
              <a:solidFill>
                <a:schemeClr val="accent1">
                  <a:lumMod val="50000"/>
                </a:schemeClr>
              </a:solidFill>
              <a:ln w="9525">
                <a:noFill/>
              </a:ln>
              <a:effectLst/>
            </c:spPr>
          </c:marker>
          <c:dLbls>
            <c:dLbl>
              <c:idx val="0"/>
              <c:layout>
                <c:manualLayout>
                  <c:x val="0"/>
                  <c:y val="3.2432432432432434E-2"/>
                </c:manualLayout>
              </c:layout>
              <c:dLblPos val="r"/>
              <c:showLegendKey val="0"/>
              <c:showVal val="1"/>
              <c:showCatName val="0"/>
              <c:showSerName val="1"/>
              <c:showPercent val="0"/>
              <c:showBubbleSize val="0"/>
              <c:extLst>
                <c:ext xmlns:c15="http://schemas.microsoft.com/office/drawing/2012/chart" uri="{CE6537A1-D6FC-4f65-9D91-7224C49458BB}">
                  <c15:layout/>
                </c:ext>
                <c:ext xmlns:c16="http://schemas.microsoft.com/office/drawing/2014/chart" uri="{C3380CC4-5D6E-409C-BE32-E72D297353CC}">
                  <c16:uniqueId val="{00000000-583C-4C77-963B-20FFFCA7F818}"/>
                </c:ext>
              </c:extLst>
            </c:dLbl>
            <c:dLbl>
              <c:idx val="1"/>
              <c:layout>
                <c:manualLayout>
                  <c:x val="2.5015629844316115E-3"/>
                  <c:y val="2.1621621621621623E-2"/>
                </c:manualLayout>
              </c:layout>
              <c:dLblPos val="r"/>
              <c:showLegendKey val="0"/>
              <c:showVal val="1"/>
              <c:showCatName val="0"/>
              <c:showSerName val="1"/>
              <c:showPercent val="0"/>
              <c:showBubbleSize val="0"/>
              <c:extLst>
                <c:ext xmlns:c15="http://schemas.microsoft.com/office/drawing/2012/chart" uri="{CE6537A1-D6FC-4f65-9D91-7224C49458BB}">
                  <c15:layout/>
                </c:ext>
                <c:ext xmlns:c16="http://schemas.microsoft.com/office/drawing/2014/chart" uri="{C3380CC4-5D6E-409C-BE32-E72D297353CC}">
                  <c16:uniqueId val="{00000001-583C-4C77-963B-20FFFCA7F818}"/>
                </c:ext>
              </c:extLst>
            </c:dLbl>
            <c:dLbl>
              <c:idx val="2"/>
              <c:layout>
                <c:manualLayout>
                  <c:x val="-2.5015629844316115E-3"/>
                  <c:y val="3.2432432432432302E-2"/>
                </c:manualLayout>
              </c:layout>
              <c:dLblPos val="r"/>
              <c:showLegendKey val="0"/>
              <c:showVal val="1"/>
              <c:showCatName val="0"/>
              <c:showSerName val="1"/>
              <c:showPercent val="0"/>
              <c:showBubbleSize val="0"/>
              <c:extLst>
                <c:ext xmlns:c15="http://schemas.microsoft.com/office/drawing/2012/chart" uri="{CE6537A1-D6FC-4f65-9D91-7224C49458BB}">
                  <c15:layout/>
                </c:ext>
                <c:ext xmlns:c16="http://schemas.microsoft.com/office/drawing/2014/chart" uri="{C3380CC4-5D6E-409C-BE32-E72D297353CC}">
                  <c16:uniqueId val="{00000002-583C-4C77-963B-20FFFCA7F818}"/>
                </c:ext>
              </c:extLst>
            </c:dLbl>
            <c:dLbl>
              <c:idx val="3"/>
              <c:layout>
                <c:manualLayout>
                  <c:x val="0"/>
                  <c:y val="3.2432432432432434E-2"/>
                </c:manualLayout>
              </c:layout>
              <c:dLblPos val="r"/>
              <c:showLegendKey val="0"/>
              <c:showVal val="1"/>
              <c:showCatName val="0"/>
              <c:showSerName val="1"/>
              <c:showPercent val="0"/>
              <c:showBubbleSize val="0"/>
              <c:extLst>
                <c:ext xmlns:c15="http://schemas.microsoft.com/office/drawing/2012/chart" uri="{CE6537A1-D6FC-4f65-9D91-7224C49458BB}">
                  <c15:layout/>
                </c:ext>
                <c:ext xmlns:c16="http://schemas.microsoft.com/office/drawing/2014/chart" uri="{C3380CC4-5D6E-409C-BE32-E72D297353CC}">
                  <c16:uniqueId val="{00000003-583C-4C77-963B-20FFFCA7F818}"/>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'Selected Data'!$A$16:$A$19</c:f>
              <c:strCache>
                <c:ptCount val="4"/>
                <c:pt idx="0">
                  <c:v>Statewide</c:v>
                </c:pt>
                <c:pt idx="1">
                  <c:v>Statewide w/in Gradeband</c:v>
                </c:pt>
                <c:pt idx="2">
                  <c:v>Districtwide</c:v>
                </c:pt>
                <c:pt idx="3">
                  <c:v>Districtwide w/in Gradeband</c:v>
                </c:pt>
              </c:strCache>
            </c:strRef>
          </c:cat>
          <c:val>
            <c:numRef>
              <c:f>'Selected Data'!$C$16:$C$19</c:f>
              <c:numCache>
                <c:formatCode>"$"#,##0</c:formatCode>
                <c:ptCount val="4"/>
                <c:pt idx="0">
                  <c:v>330.98244656580999</c:v>
                </c:pt>
                <c:pt idx="1">
                  <c:v>330.98244656580999</c:v>
                </c:pt>
                <c:pt idx="2">
                  <c:v>35214.261122192598</c:v>
                </c:pt>
                <c:pt idx="3">
                  <c:v>35214.261122192598</c:v>
                </c:pt>
              </c:numCache>
            </c:numRef>
          </c:val>
          <c:smooth val="0"/>
          <c:extLst>
            <c:ext xmlns:c16="http://schemas.microsoft.com/office/drawing/2014/chart" uri="{C3380CC4-5D6E-409C-BE32-E72D297353CC}">
              <c16:uniqueId val="{00000005-FDA6-4AF3-B277-916E715BB6B1}"/>
            </c:ext>
          </c:extLst>
        </c:ser>
        <c:ser>
          <c:idx val="2"/>
          <c:order val="2"/>
          <c:tx>
            <c:strRef>
              <c:f>'Selected Data'!$D$15</c:f>
              <c:strCache>
                <c:ptCount val="1"/>
                <c:pt idx="0">
                  <c:v>This School: $35,214 per pupil</c:v>
                </c:pt>
              </c:strCache>
            </c:strRef>
          </c:tx>
          <c:spPr>
            <a:ln w="25400" cap="rnd">
              <a:noFill/>
              <a:round/>
            </a:ln>
            <a:effectLst/>
          </c:spPr>
          <c:marker>
            <c:symbol val="dash"/>
            <c:size val="24"/>
            <c:spPr>
              <a:solidFill>
                <a:schemeClr val="accent2"/>
              </a:solidFill>
              <a:ln w="12700">
                <a:noFill/>
              </a:ln>
              <a:effectLst/>
              <a:scene3d>
                <a:camera prst="orthographicFront"/>
                <a:lightRig rig="threePt" dir="t"/>
              </a:scene3d>
              <a:sp3d>
                <a:bevelT w="25400" h="25400"/>
              </a:sp3d>
            </c:spPr>
          </c:marker>
          <c:cat>
            <c:strRef>
              <c:f>'Selected Data'!$A$16:$A$19</c:f>
              <c:strCache>
                <c:ptCount val="4"/>
                <c:pt idx="0">
                  <c:v>Statewide</c:v>
                </c:pt>
                <c:pt idx="1">
                  <c:v>Statewide w/in Gradeband</c:v>
                </c:pt>
                <c:pt idx="2">
                  <c:v>Districtwide</c:v>
                </c:pt>
                <c:pt idx="3">
                  <c:v>Districtwide w/in Gradeband</c:v>
                </c:pt>
              </c:strCache>
            </c:strRef>
          </c:cat>
          <c:val>
            <c:numRef>
              <c:f>'Selected Data'!$D$16:$D$19</c:f>
              <c:numCache>
                <c:formatCode>"$"#,##0</c:formatCode>
                <c:ptCount val="4"/>
                <c:pt idx="0">
                  <c:v>35214.261122192598</c:v>
                </c:pt>
                <c:pt idx="1">
                  <c:v>35214.261122192598</c:v>
                </c:pt>
                <c:pt idx="2">
                  <c:v>35214.261122192598</c:v>
                </c:pt>
                <c:pt idx="3">
                  <c:v>35214.261122192598</c:v>
                </c:pt>
              </c:numCache>
            </c:numRef>
          </c:val>
          <c:smooth val="0"/>
          <c:extLst>
            <c:ext xmlns:c16="http://schemas.microsoft.com/office/drawing/2014/chart" uri="{C3380CC4-5D6E-409C-BE32-E72D297353CC}">
              <c16:uniqueId val="{00000007-FDA6-4AF3-B277-916E715BB6B1}"/>
            </c:ext>
          </c:extLst>
        </c:ser>
        <c:dLbls>
          <c:showLegendKey val="0"/>
          <c:showVal val="0"/>
          <c:showCatName val="0"/>
          <c:showSerName val="0"/>
          <c:showPercent val="0"/>
          <c:showBubbleSize val="0"/>
        </c:dLbls>
        <c:hiLowLines>
          <c:spPr>
            <a:ln w="406400" cap="flat" cmpd="sng" algn="ctr">
              <a:solidFill>
                <a:schemeClr val="accent1">
                  <a:lumMod val="60000"/>
                  <a:lumOff val="40000"/>
                </a:schemeClr>
              </a:solidFill>
              <a:round/>
            </a:ln>
            <a:effectLst/>
          </c:spPr>
        </c:hiLowLines>
        <c:axId val="362999416"/>
        <c:axId val="362997448"/>
      </c:stockChart>
      <c:catAx>
        <c:axId val="3629994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62997448"/>
        <c:crosses val="autoZero"/>
        <c:auto val="1"/>
        <c:lblAlgn val="ctr"/>
        <c:lblOffset val="100"/>
        <c:noMultiLvlLbl val="0"/>
      </c:catAx>
      <c:valAx>
        <c:axId val="3629974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2999416"/>
        <c:crosses val="autoZero"/>
        <c:crossBetween val="between"/>
      </c:valAx>
      <c:spPr>
        <a:noFill/>
        <a:ln>
          <a:noFill/>
        </a:ln>
        <a:effectLst/>
      </c:spPr>
    </c:plotArea>
    <c:legend>
      <c:legendPos val="b"/>
      <c:legendEntry>
        <c:idx val="0"/>
        <c:delete val="1"/>
      </c:legendEntry>
      <c:legendEntry>
        <c:idx val="1"/>
        <c:delete val="1"/>
      </c:legendEntry>
      <c:layout>
        <c:manualLayout>
          <c:xMode val="edge"/>
          <c:yMode val="edge"/>
          <c:x val="0.10188570575394941"/>
          <c:y val="0.89998127261119387"/>
          <c:w val="0.80157858472990806"/>
          <c:h val="0.10001872738880613"/>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a:scene3d>
      <a:camera prst="orthographicFront"/>
      <a:lightRig rig="threePt" dir="t"/>
    </a:scene3d>
    <a:sp3d/>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0460554722711416E-2"/>
          <c:y val="0.14913157594431128"/>
          <c:w val="0.92429145987065853"/>
          <c:h val="0.77313455062919356"/>
        </c:manualLayout>
      </c:layout>
      <c:ofPieChart>
        <c:ofPieType val="pie"/>
        <c:varyColors val="1"/>
        <c:ser>
          <c:idx val="0"/>
          <c:order val="0"/>
          <c:tx>
            <c:strRef>
              <c:f>'Selected Data'!$A$8</c:f>
              <c:strCache>
                <c:ptCount val="1"/>
                <c:pt idx="0">
                  <c:v>Adel SD 21, Adel Elementary School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C8D-4D11-B834-B307CF4E2D5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C8D-4D11-B834-B307CF4E2D5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C8D-4D11-B834-B307CF4E2D5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C8D-4D11-B834-B307CF4E2D5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C8D-4D11-B834-B307CF4E2D5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EC8D-4D11-B834-B307CF4E2D59}"/>
              </c:ext>
            </c:extLst>
          </c:dPt>
          <c:dPt>
            <c:idx val="6"/>
            <c:bubble3D val="0"/>
            <c:explosion val="14"/>
            <c:spPr>
              <a:solidFill>
                <a:schemeClr val="accent1">
                  <a:lumMod val="60000"/>
                </a:schemeClr>
              </a:solidFill>
              <a:ln w="19050">
                <a:solidFill>
                  <a:schemeClr val="lt1"/>
                </a:solidFill>
              </a:ln>
              <a:effectLst/>
            </c:spPr>
            <c:extLst>
              <c:ext xmlns:c16="http://schemas.microsoft.com/office/drawing/2014/chart" uri="{C3380CC4-5D6E-409C-BE32-E72D297353CC}">
                <c16:uniqueId val="{00000012-EC8D-4D11-B834-B307CF4E2D59}"/>
              </c:ext>
            </c:extLst>
          </c:dPt>
          <c:dLbls>
            <c:dLbl>
              <c:idx val="4"/>
              <c:layout>
                <c:manualLayout>
                  <c:x val="2.3604387714012642E-2"/>
                  <c:y val="0.34575249750299625"/>
                </c:manualLayout>
              </c:layout>
              <c:showLegendKey val="0"/>
              <c:showVal val="1"/>
              <c:showCatName val="1"/>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9-EC8D-4D11-B834-B307CF4E2D59}"/>
                </c:ext>
              </c:extLst>
            </c:dLbl>
            <c:dLbl>
              <c:idx val="6"/>
              <c:layout/>
              <c:tx>
                <c:rich>
                  <a:bodyPr/>
                  <a:lstStyle/>
                  <a:p>
                    <a:r>
                      <a:rPr lang="en-US"/>
                      <a:t>Student-related, $147,670</a:t>
                    </a:r>
                  </a:p>
                </c:rich>
              </c:tx>
              <c:showLegendKey val="0"/>
              <c:showVal val="1"/>
              <c:showCatName val="1"/>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2-EC8D-4D11-B834-B307CF4E2D59}"/>
                </c:ext>
              </c:extLst>
            </c:dLbl>
            <c:numFmt formatCode="&quot;$&quot;#,##0" sourceLinked="0"/>
            <c:spPr>
              <a:solidFill>
                <a:schemeClr val="bg2"/>
              </a:solid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'Selected Data'!$B$7:$G$7</c:f>
              <c:strCache>
                <c:ptCount val="6"/>
                <c:pt idx="0">
                  <c:v>Direct Classroom Expenditures</c:v>
                </c:pt>
                <c:pt idx="1">
                  <c:v>Classroom Support</c:v>
                </c:pt>
                <c:pt idx="2">
                  <c:v>Building Support</c:v>
                </c:pt>
                <c:pt idx="3">
                  <c:v>Central Support</c:v>
                </c:pt>
                <c:pt idx="4">
                  <c:v>Other Expenditures</c:v>
                </c:pt>
                <c:pt idx="5">
                  <c:v>ESD Direct Support</c:v>
                </c:pt>
              </c:strCache>
            </c:strRef>
          </c:cat>
          <c:val>
            <c:numRef>
              <c:f>'Selected Data'!$B$8:$G$8</c:f>
              <c:numCache>
                <c:formatCode>General</c:formatCode>
                <c:ptCount val="6"/>
                <c:pt idx="0">
                  <c:v>74117.744445399294</c:v>
                </c:pt>
                <c:pt idx="1">
                  <c:v>17577.666752946501</c:v>
                </c:pt>
                <c:pt idx="2">
                  <c:v>41787.471783708403</c:v>
                </c:pt>
                <c:pt idx="3">
                  <c:v>14187.4628102267</c:v>
                </c:pt>
                <c:pt idx="4">
                  <c:v>49390.426112157496</c:v>
                </c:pt>
                <c:pt idx="5">
                  <c:v>28103.3565650817</c:v>
                </c:pt>
              </c:numCache>
            </c:numRef>
          </c:val>
          <c:extLst>
            <c:ext xmlns:c16="http://schemas.microsoft.com/office/drawing/2014/chart" uri="{C3380CC4-5D6E-409C-BE32-E72D297353CC}">
              <c16:uniqueId val="{0000000C-EC8D-4D11-B834-B307CF4E2D59}"/>
            </c:ext>
          </c:extLst>
        </c:ser>
        <c:dLbls>
          <c:showLegendKey val="0"/>
          <c:showVal val="0"/>
          <c:showCatName val="0"/>
          <c:showSerName val="0"/>
          <c:showPercent val="0"/>
          <c:showBubbleSize val="0"/>
          <c:showLeaderLines val="1"/>
        </c:dLbls>
        <c:gapWidth val="113"/>
        <c:splitType val="cust"/>
        <c:custSplit>
          <c:secondPiePt val="0"/>
          <c:secondPiePt val="1"/>
          <c:secondPiePt val="2"/>
          <c:secondPiePt val="3"/>
        </c:custSplit>
        <c:secondPieSize val="71"/>
        <c:serLines>
          <c:spPr>
            <a:ln w="9525" cap="flat" cmpd="sng" algn="ctr">
              <a:solidFill>
                <a:schemeClr val="tx1">
                  <a:lumMod val="35000"/>
                  <a:lumOff val="65000"/>
                </a:schemeClr>
              </a:solidFill>
              <a:round/>
            </a:ln>
            <a:effectLst/>
          </c:spPr>
        </c:serLines>
      </c:of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65927096019584"/>
          <c:y val="6.3310207845640926E-2"/>
          <c:w val="0.8198494020255136"/>
          <c:h val="0.87001446830572693"/>
        </c:manualLayout>
      </c:layout>
      <c:barChart>
        <c:barDir val="col"/>
        <c:grouping val="stacked"/>
        <c:varyColors val="0"/>
        <c:ser>
          <c:idx val="0"/>
          <c:order val="0"/>
          <c:tx>
            <c:strRef>
              <c:f>'Selected Data'!$B$10</c:f>
              <c:strCache>
                <c:ptCount val="1"/>
                <c:pt idx="0">
                  <c:v>ESD Direct Support</c:v>
                </c:pt>
              </c:strCache>
            </c:strRef>
          </c:tx>
          <c:spPr>
            <a:solidFill>
              <a:schemeClr val="accent1"/>
            </a:solidFill>
            <a:ln>
              <a:noFill/>
            </a:ln>
            <a:effectLst/>
          </c:spPr>
          <c:invertIfNegative val="0"/>
          <c:dLbls>
            <c:dLbl>
              <c:idx val="0"/>
              <c:layout>
                <c:manualLayout>
                  <c:x val="0.11455290140799786"/>
                  <c:y val="-2.7940129105483567E-2"/>
                </c:manualLayout>
              </c:layout>
              <c:numFmt formatCode="&quot;$&quot;#,##0" sourceLinked="0"/>
              <c:spPr>
                <a:solidFill>
                  <a:schemeClr val="bg2">
                    <a:alpha val="70000"/>
                  </a:schemeClr>
                </a:solid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15:layout/>
                </c:ext>
                <c:ext xmlns:c16="http://schemas.microsoft.com/office/drawing/2014/chart" uri="{C3380CC4-5D6E-409C-BE32-E72D297353CC}">
                  <c16:uniqueId val="{0000001C-E7DF-41C0-96B8-75C83392F042}"/>
                </c:ext>
              </c:extLst>
            </c:dLbl>
            <c:dLbl>
              <c:idx val="1"/>
              <c:delete val="1"/>
              <c:extLst>
                <c:ext xmlns:c15="http://schemas.microsoft.com/office/drawing/2012/chart" uri="{CE6537A1-D6FC-4f65-9D91-7224C49458BB}"/>
                <c:ext xmlns:c16="http://schemas.microsoft.com/office/drawing/2014/chart" uri="{C3380CC4-5D6E-409C-BE32-E72D297353CC}">
                  <c16:uniqueId val="{00000000-4F21-478F-8B53-49286B02763D}"/>
                </c:ext>
              </c:extLst>
            </c:dLbl>
            <c:dLbl>
              <c:idx val="2"/>
              <c:delete val="1"/>
              <c:extLst>
                <c:ext xmlns:c15="http://schemas.microsoft.com/office/drawing/2012/chart" uri="{CE6537A1-D6FC-4f65-9D91-7224C49458BB}"/>
                <c:ext xmlns:c16="http://schemas.microsoft.com/office/drawing/2014/chart" uri="{C3380CC4-5D6E-409C-BE32-E72D297353CC}">
                  <c16:uniqueId val="{00000001-4F21-478F-8B53-49286B02763D}"/>
                </c:ext>
              </c:extLst>
            </c:dLbl>
            <c:spPr>
              <a:solidFill>
                <a:schemeClr val="bg2">
                  <a:alpha val="70000"/>
                </a:schemeClr>
              </a:solid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12700" cap="flat" cmpd="sng" algn="ctr">
                      <a:solidFill>
                        <a:schemeClr val="tx1"/>
                      </a:solidFill>
                      <a:round/>
                    </a:ln>
                    <a:effectLst/>
                  </c:spPr>
                </c15:leaderLines>
              </c:ext>
            </c:extLst>
          </c:dLbls>
          <c:cat>
            <c:strRef>
              <c:f>'Selected Data'!$A$11:$A$13</c:f>
              <c:strCache>
                <c:ptCount val="3"/>
                <c:pt idx="0">
                  <c:v>Expenditure Category</c:v>
                </c:pt>
                <c:pt idx="1">
                  <c:v>District/School</c:v>
                </c:pt>
                <c:pt idx="2">
                  <c:v>ESD Direct Support</c:v>
                </c:pt>
              </c:strCache>
            </c:strRef>
          </c:cat>
          <c:val>
            <c:numRef>
              <c:f>'Selected Data'!$B$11:$B$13</c:f>
              <c:numCache>
                <c:formatCode>#,##0</c:formatCode>
                <c:ptCount val="3"/>
                <c:pt idx="0">
                  <c:v>28103.3565650817</c:v>
                </c:pt>
              </c:numCache>
            </c:numRef>
          </c:val>
          <c:extLst>
            <c:ext xmlns:c16="http://schemas.microsoft.com/office/drawing/2014/chart" uri="{C3380CC4-5D6E-409C-BE32-E72D297353CC}">
              <c16:uniqueId val="{00000000-E7DF-41C0-96B8-75C83392F042}"/>
            </c:ext>
          </c:extLst>
        </c:ser>
        <c:ser>
          <c:idx val="1"/>
          <c:order val="1"/>
          <c:tx>
            <c:strRef>
              <c:f>'Selected Data'!$C$10</c:f>
              <c:strCache>
                <c:ptCount val="1"/>
                <c:pt idx="0">
                  <c:v>School Expenditures</c:v>
                </c:pt>
              </c:strCache>
            </c:strRef>
          </c:tx>
          <c:spPr>
            <a:solidFill>
              <a:schemeClr val="accent2"/>
            </a:solidFill>
            <a:ln>
              <a:noFill/>
            </a:ln>
            <a:effectLst/>
          </c:spPr>
          <c:invertIfNegative val="0"/>
          <c:cat>
            <c:strRef>
              <c:f>'Selected Data'!$A$11:$A$13</c:f>
              <c:strCache>
                <c:ptCount val="3"/>
                <c:pt idx="0">
                  <c:v>Expenditure Category</c:v>
                </c:pt>
                <c:pt idx="1">
                  <c:v>District/School</c:v>
                </c:pt>
                <c:pt idx="2">
                  <c:v>ESD Direct Support</c:v>
                </c:pt>
              </c:strCache>
            </c:strRef>
          </c:cat>
          <c:val>
            <c:numRef>
              <c:f>'Selected Data'!$C$11:$C$13</c:f>
              <c:numCache>
                <c:formatCode>#,##0</c:formatCode>
                <c:ptCount val="3"/>
                <c:pt idx="0">
                  <c:v>0</c:v>
                </c:pt>
              </c:numCache>
            </c:numRef>
          </c:val>
          <c:extLst>
            <c:ext xmlns:c16="http://schemas.microsoft.com/office/drawing/2014/chart" uri="{C3380CC4-5D6E-409C-BE32-E72D297353CC}">
              <c16:uniqueId val="{00000001-E7DF-41C0-96B8-75C83392F042}"/>
            </c:ext>
          </c:extLst>
        </c:ser>
        <c:ser>
          <c:idx val="2"/>
          <c:order val="2"/>
          <c:tx>
            <c:strRef>
              <c:f>'Selected Data'!$D$10</c:f>
              <c:strCache>
                <c:ptCount val="1"/>
                <c:pt idx="0">
                  <c:v>District Expenditures</c:v>
                </c:pt>
              </c:strCache>
            </c:strRef>
          </c:tx>
          <c:spPr>
            <a:solidFill>
              <a:schemeClr val="accent3"/>
            </a:solidFill>
            <a:ln>
              <a:noFill/>
            </a:ln>
            <a:effectLst/>
          </c:spPr>
          <c:invertIfNegative val="0"/>
          <c:dLbls>
            <c:dLbl>
              <c:idx val="0"/>
              <c:layout>
                <c:manualLayout>
                  <c:x val="2.4400867080599568E-2"/>
                  <c:y val="-0.25925063328089964"/>
                </c:manualLayout>
              </c:layout>
              <c:showLegendKey val="0"/>
              <c:showVal val="1"/>
              <c:showCatName val="0"/>
              <c:showSerName val="1"/>
              <c:showPercent val="0"/>
              <c:showBubbleSize val="0"/>
              <c:extLst>
                <c:ext xmlns:c15="http://schemas.microsoft.com/office/drawing/2012/chart" uri="{CE6537A1-D6FC-4f65-9D91-7224C49458BB}">
                  <c15:layout/>
                </c:ext>
                <c:ext xmlns:c16="http://schemas.microsoft.com/office/drawing/2014/chart" uri="{C3380CC4-5D6E-409C-BE32-E72D297353CC}">
                  <c16:uniqueId val="{00000002-E76E-4394-9168-01D1E4F7184A}"/>
                </c:ext>
              </c:extLst>
            </c:dLbl>
            <c:dLbl>
              <c:idx val="1"/>
              <c:delete val="1"/>
              <c:extLst>
                <c:ext xmlns:c15="http://schemas.microsoft.com/office/drawing/2012/chart" uri="{CE6537A1-D6FC-4f65-9D91-7224C49458BB}"/>
                <c:ext xmlns:c16="http://schemas.microsoft.com/office/drawing/2014/chart" uri="{C3380CC4-5D6E-409C-BE32-E72D297353CC}">
                  <c16:uniqueId val="{00000004-71DA-413F-B4E8-BD753A096BEF}"/>
                </c:ext>
              </c:extLst>
            </c:dLbl>
            <c:dLbl>
              <c:idx val="2"/>
              <c:delete val="1"/>
              <c:extLst>
                <c:ext xmlns:c15="http://schemas.microsoft.com/office/drawing/2012/chart" uri="{CE6537A1-D6FC-4f65-9D91-7224C49458BB}"/>
                <c:ext xmlns:c16="http://schemas.microsoft.com/office/drawing/2014/chart" uri="{C3380CC4-5D6E-409C-BE32-E72D297353CC}">
                  <c16:uniqueId val="{00000005-71DA-413F-B4E8-BD753A096BEF}"/>
                </c:ext>
              </c:extLst>
            </c:dLbl>
            <c:numFmt formatCode="&quot;$&quot;#,##0" sourceLinked="0"/>
            <c:spPr>
              <a:solidFill>
                <a:schemeClr val="bg2">
                  <a:alpha val="70000"/>
                </a:schemeClr>
              </a:solid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solidFill>
                      <a:round/>
                    </a:ln>
                    <a:effectLst/>
                  </c:spPr>
                </c15:leaderLines>
              </c:ext>
            </c:extLst>
          </c:dLbls>
          <c:cat>
            <c:strRef>
              <c:f>'Selected Data'!$A$11:$A$13</c:f>
              <c:strCache>
                <c:ptCount val="3"/>
                <c:pt idx="0">
                  <c:v>Expenditure Category</c:v>
                </c:pt>
                <c:pt idx="1">
                  <c:v>District/School</c:v>
                </c:pt>
                <c:pt idx="2">
                  <c:v>ESD Direct Support</c:v>
                </c:pt>
              </c:strCache>
            </c:strRef>
          </c:cat>
          <c:val>
            <c:numRef>
              <c:f>'Selected Data'!$D$11:$D$13</c:f>
              <c:numCache>
                <c:formatCode>#,##0</c:formatCode>
                <c:ptCount val="3"/>
                <c:pt idx="0">
                  <c:v>197060.77190443801</c:v>
                </c:pt>
              </c:numCache>
            </c:numRef>
          </c:val>
          <c:extLst>
            <c:ext xmlns:c16="http://schemas.microsoft.com/office/drawing/2014/chart" uri="{C3380CC4-5D6E-409C-BE32-E72D297353CC}">
              <c16:uniqueId val="{00000002-E7DF-41C0-96B8-75C83392F042}"/>
            </c:ext>
          </c:extLst>
        </c:ser>
        <c:ser>
          <c:idx val="3"/>
          <c:order val="3"/>
          <c:tx>
            <c:strRef>
              <c:f>'Selected Data'!$E$10</c:f>
              <c:strCache>
                <c:ptCount val="1"/>
                <c:pt idx="0">
                  <c:v>General Fund</c:v>
                </c:pt>
              </c:strCache>
            </c:strRef>
          </c:tx>
          <c:spPr>
            <a:solidFill>
              <a:schemeClr val="accent4"/>
            </a:solidFill>
            <a:ln>
              <a:no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6-4F21-478F-8B53-49286B02763D}"/>
                </c:ext>
              </c:extLst>
            </c:dLbl>
            <c:dLbl>
              <c:idx val="1"/>
              <c:layout>
                <c:manualLayout>
                  <c:x val="0.13333172557105699"/>
                  <c:y val="6.2683691565581331E-2"/>
                </c:manualLayout>
              </c:layout>
              <c:showLegendKey val="0"/>
              <c:showVal val="1"/>
              <c:showCatName val="0"/>
              <c:showSerName val="1"/>
              <c:showPercent val="0"/>
              <c:showBubbleSize val="0"/>
              <c:separator>: </c:separator>
              <c:extLst>
                <c:ext xmlns:c15="http://schemas.microsoft.com/office/drawing/2012/chart" uri="{CE6537A1-D6FC-4f65-9D91-7224C49458BB}">
                  <c15:layout/>
                </c:ext>
                <c:ext xmlns:c16="http://schemas.microsoft.com/office/drawing/2014/chart" uri="{C3380CC4-5D6E-409C-BE32-E72D297353CC}">
                  <c16:uniqueId val="{00000018-E7DF-41C0-96B8-75C83392F042}"/>
                </c:ext>
              </c:extLst>
            </c:dLbl>
            <c:dLbl>
              <c:idx val="2"/>
              <c:delete val="1"/>
              <c:extLst>
                <c:ext xmlns:c15="http://schemas.microsoft.com/office/drawing/2012/chart" uri="{CE6537A1-D6FC-4f65-9D91-7224C49458BB}"/>
                <c:ext xmlns:c16="http://schemas.microsoft.com/office/drawing/2014/chart" uri="{C3380CC4-5D6E-409C-BE32-E72D297353CC}">
                  <c16:uniqueId val="{00000007-4F21-478F-8B53-49286B02763D}"/>
                </c:ext>
              </c:extLst>
            </c:dLbl>
            <c:numFmt formatCode="&quot;$&quot;#,##0" sourceLinked="0"/>
            <c:spPr>
              <a:solidFill>
                <a:schemeClr val="accent1">
                  <a:lumMod val="20000"/>
                  <a:lumOff val="80000"/>
                  <a:alpha val="70000"/>
                </a:schemeClr>
              </a:solid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12700" cap="flat" cmpd="sng" algn="ctr">
                      <a:solidFill>
                        <a:schemeClr val="tx1"/>
                      </a:solidFill>
                      <a:round/>
                    </a:ln>
                    <a:effectLst/>
                  </c:spPr>
                </c15:leaderLines>
              </c:ext>
            </c:extLst>
          </c:dLbls>
          <c:cat>
            <c:strRef>
              <c:f>'Selected Data'!$A$11:$A$13</c:f>
              <c:strCache>
                <c:ptCount val="3"/>
                <c:pt idx="0">
                  <c:v>Expenditure Category</c:v>
                </c:pt>
                <c:pt idx="1">
                  <c:v>District/School</c:v>
                </c:pt>
                <c:pt idx="2">
                  <c:v>ESD Direct Support</c:v>
                </c:pt>
              </c:strCache>
            </c:strRef>
          </c:cat>
          <c:val>
            <c:numRef>
              <c:f>'Selected Data'!$E$11:$E$13</c:f>
              <c:numCache>
                <c:formatCode>#,##0</c:formatCode>
                <c:ptCount val="3"/>
                <c:pt idx="1">
                  <c:v>185136.78614666901</c:v>
                </c:pt>
              </c:numCache>
            </c:numRef>
          </c:val>
          <c:extLst>
            <c:ext xmlns:c16="http://schemas.microsoft.com/office/drawing/2014/chart" uri="{C3380CC4-5D6E-409C-BE32-E72D297353CC}">
              <c16:uniqueId val="{00000003-E7DF-41C0-96B8-75C83392F042}"/>
            </c:ext>
          </c:extLst>
        </c:ser>
        <c:ser>
          <c:idx val="4"/>
          <c:order val="4"/>
          <c:tx>
            <c:strRef>
              <c:f>'Selected Data'!$F$10</c:f>
              <c:strCache>
                <c:ptCount val="1"/>
                <c:pt idx="0">
                  <c:v>Special Revenue Funds</c:v>
                </c:pt>
              </c:strCache>
            </c:strRef>
          </c:tx>
          <c:spPr>
            <a:solidFill>
              <a:schemeClr val="accent5"/>
            </a:solidFill>
            <a:ln>
              <a:no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8-4F21-478F-8B53-49286B02763D}"/>
                </c:ext>
              </c:extLst>
            </c:dLbl>
            <c:dLbl>
              <c:idx val="1"/>
              <c:layout>
                <c:manualLayout>
                  <c:x val="0.14070878199949355"/>
                  <c:y val="2.3900120593032658E-3"/>
                </c:manualLayout>
              </c:layout>
              <c:showLegendKey val="0"/>
              <c:showVal val="1"/>
              <c:showCatName val="0"/>
              <c:showSerName val="1"/>
              <c:showPercent val="0"/>
              <c:showBubbleSize val="0"/>
              <c:separator>: </c:separator>
              <c:extLst>
                <c:ext xmlns:c15="http://schemas.microsoft.com/office/drawing/2012/chart" uri="{CE6537A1-D6FC-4f65-9D91-7224C49458BB}">
                  <c15:layout/>
                </c:ext>
                <c:ext xmlns:c16="http://schemas.microsoft.com/office/drawing/2014/chart" uri="{C3380CC4-5D6E-409C-BE32-E72D297353CC}">
                  <c16:uniqueId val="{00000017-E7DF-41C0-96B8-75C83392F042}"/>
                </c:ext>
              </c:extLst>
            </c:dLbl>
            <c:dLbl>
              <c:idx val="2"/>
              <c:delete val="1"/>
              <c:extLst>
                <c:ext xmlns:c15="http://schemas.microsoft.com/office/drawing/2012/chart" uri="{CE6537A1-D6FC-4f65-9D91-7224C49458BB}"/>
                <c:ext xmlns:c16="http://schemas.microsoft.com/office/drawing/2014/chart" uri="{C3380CC4-5D6E-409C-BE32-E72D297353CC}">
                  <c16:uniqueId val="{00000009-4F21-478F-8B53-49286B02763D}"/>
                </c:ext>
              </c:extLst>
            </c:dLbl>
            <c:numFmt formatCode="&quot;$&quot;#,##0" sourceLinked="0"/>
            <c:spPr>
              <a:solidFill>
                <a:schemeClr val="accent1">
                  <a:lumMod val="20000"/>
                  <a:lumOff val="80000"/>
                  <a:alpha val="70000"/>
                </a:schemeClr>
              </a:solid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12700" cap="flat" cmpd="sng" algn="ctr">
                      <a:solidFill>
                        <a:schemeClr val="tx1"/>
                      </a:solidFill>
                      <a:round/>
                    </a:ln>
                    <a:effectLst/>
                  </c:spPr>
                </c15:leaderLines>
              </c:ext>
            </c:extLst>
          </c:dLbls>
          <c:cat>
            <c:strRef>
              <c:f>'Selected Data'!$A$11:$A$13</c:f>
              <c:strCache>
                <c:ptCount val="3"/>
                <c:pt idx="0">
                  <c:v>Expenditure Category</c:v>
                </c:pt>
                <c:pt idx="1">
                  <c:v>District/School</c:v>
                </c:pt>
                <c:pt idx="2">
                  <c:v>ESD Direct Support</c:v>
                </c:pt>
              </c:strCache>
            </c:strRef>
          </c:cat>
          <c:val>
            <c:numRef>
              <c:f>'Selected Data'!$F$11:$F$13</c:f>
              <c:numCache>
                <c:formatCode>#,##0</c:formatCode>
                <c:ptCount val="3"/>
                <c:pt idx="1">
                  <c:v>11923.9857577697</c:v>
                </c:pt>
              </c:numCache>
            </c:numRef>
          </c:val>
          <c:extLst>
            <c:ext xmlns:c16="http://schemas.microsoft.com/office/drawing/2014/chart" uri="{C3380CC4-5D6E-409C-BE32-E72D297353CC}">
              <c16:uniqueId val="{00000004-E7DF-41C0-96B8-75C83392F042}"/>
            </c:ext>
          </c:extLst>
        </c:ser>
        <c:ser>
          <c:idx val="7"/>
          <c:order val="7"/>
          <c:tx>
            <c:strRef>
              <c:f>'Selected Data'!$I$10</c:f>
              <c:strCache>
                <c:ptCount val="1"/>
                <c:pt idx="0">
                  <c:v>Enterprise Funds</c:v>
                </c:pt>
              </c:strCache>
            </c:strRef>
          </c:tx>
          <c:spPr>
            <a:solidFill>
              <a:schemeClr val="accent2">
                <a:lumMod val="60000"/>
              </a:schemeClr>
            </a:solidFill>
            <a:ln>
              <a:noFill/>
            </a:ln>
            <a:effectLst/>
          </c:spPr>
          <c:invertIfNegative val="0"/>
          <c:cat>
            <c:strRef>
              <c:f>'Selected Data'!$A$11:$A$13</c:f>
              <c:strCache>
                <c:ptCount val="3"/>
                <c:pt idx="0">
                  <c:v>Expenditure Category</c:v>
                </c:pt>
                <c:pt idx="1">
                  <c:v>District/School</c:v>
                </c:pt>
                <c:pt idx="2">
                  <c:v>ESD Direct Support</c:v>
                </c:pt>
              </c:strCache>
            </c:strRef>
          </c:cat>
          <c:val>
            <c:numRef>
              <c:f>'Selected Data'!$I$11:$I$13</c:f>
              <c:numCache>
                <c:formatCode>#,##0</c:formatCode>
                <c:ptCount val="3"/>
                <c:pt idx="1">
                  <c:v>0</c:v>
                </c:pt>
              </c:numCache>
            </c:numRef>
          </c:val>
          <c:extLst>
            <c:ext xmlns:c16="http://schemas.microsoft.com/office/drawing/2014/chart" uri="{C3380CC4-5D6E-409C-BE32-E72D297353CC}">
              <c16:uniqueId val="{00000007-E7DF-41C0-96B8-75C83392F042}"/>
            </c:ext>
          </c:extLst>
        </c:ser>
        <c:ser>
          <c:idx val="8"/>
          <c:order val="8"/>
          <c:tx>
            <c:strRef>
              <c:f>'Selected Data'!$J$10</c:f>
              <c:strCache>
                <c:ptCount val="1"/>
                <c:pt idx="0">
                  <c:v>Internal Service Funds</c:v>
                </c:pt>
              </c:strCache>
            </c:strRef>
          </c:tx>
          <c:spPr>
            <a:solidFill>
              <a:schemeClr val="accent6">
                <a:lumMod val="60000"/>
                <a:lumOff val="40000"/>
              </a:schemeClr>
            </a:solidFill>
            <a:ln>
              <a:noFill/>
            </a:ln>
            <a:effectLst/>
          </c:spPr>
          <c:invertIfNegative val="0"/>
          <c:cat>
            <c:strRef>
              <c:f>'Selected Data'!$A$11:$A$13</c:f>
              <c:strCache>
                <c:ptCount val="3"/>
                <c:pt idx="0">
                  <c:v>Expenditure Category</c:v>
                </c:pt>
                <c:pt idx="1">
                  <c:v>District/School</c:v>
                </c:pt>
                <c:pt idx="2">
                  <c:v>ESD Direct Support</c:v>
                </c:pt>
              </c:strCache>
            </c:strRef>
          </c:cat>
          <c:val>
            <c:numRef>
              <c:f>'Selected Data'!$J$11:$J$13</c:f>
              <c:numCache>
                <c:formatCode>#,##0</c:formatCode>
                <c:ptCount val="3"/>
                <c:pt idx="1">
                  <c:v>0</c:v>
                </c:pt>
              </c:numCache>
            </c:numRef>
          </c:val>
          <c:extLst>
            <c:ext xmlns:c16="http://schemas.microsoft.com/office/drawing/2014/chart" uri="{C3380CC4-5D6E-409C-BE32-E72D297353CC}">
              <c16:uniqueId val="{00000008-E7DF-41C0-96B8-75C83392F042}"/>
            </c:ext>
          </c:extLst>
        </c:ser>
        <c:ser>
          <c:idx val="9"/>
          <c:order val="9"/>
          <c:tx>
            <c:strRef>
              <c:f>'Selected Data'!$K$10</c:f>
              <c:strCache>
                <c:ptCount val="1"/>
                <c:pt idx="0">
                  <c:v>Trust and Agency Funds</c:v>
                </c:pt>
              </c:strCache>
            </c:strRef>
          </c:tx>
          <c:spPr>
            <a:solidFill>
              <a:schemeClr val="accent4">
                <a:lumMod val="60000"/>
              </a:schemeClr>
            </a:solidFill>
            <a:ln>
              <a:noFill/>
            </a:ln>
            <a:effectLst/>
          </c:spPr>
          <c:invertIfNegative val="0"/>
          <c:cat>
            <c:strRef>
              <c:f>'Selected Data'!$A$11:$A$13</c:f>
              <c:strCache>
                <c:ptCount val="3"/>
                <c:pt idx="0">
                  <c:v>Expenditure Category</c:v>
                </c:pt>
                <c:pt idx="1">
                  <c:v>District/School</c:v>
                </c:pt>
                <c:pt idx="2">
                  <c:v>ESD Direct Support</c:v>
                </c:pt>
              </c:strCache>
            </c:strRef>
          </c:cat>
          <c:val>
            <c:numRef>
              <c:f>'Selected Data'!$K$11:$K$13</c:f>
              <c:numCache>
                <c:formatCode>#,##0</c:formatCode>
                <c:ptCount val="3"/>
                <c:pt idx="1">
                  <c:v>0</c:v>
                </c:pt>
              </c:numCache>
            </c:numRef>
          </c:val>
          <c:extLst>
            <c:ext xmlns:c16="http://schemas.microsoft.com/office/drawing/2014/chart" uri="{C3380CC4-5D6E-409C-BE32-E72D297353CC}">
              <c16:uniqueId val="{00000009-E7DF-41C0-96B8-75C83392F042}"/>
            </c:ext>
          </c:extLst>
        </c:ser>
        <c:ser>
          <c:idx val="10"/>
          <c:order val="10"/>
          <c:tx>
            <c:strRef>
              <c:f>'Selected Data'!$L$10</c:f>
              <c:strCache>
                <c:ptCount val="1"/>
                <c:pt idx="0">
                  <c:v>General Fund </c:v>
                </c:pt>
              </c:strCache>
            </c:strRef>
          </c:tx>
          <c:spPr>
            <a:solidFill>
              <a:srgbClr val="0033CC"/>
            </a:solidFill>
            <a:ln>
              <a:noFill/>
            </a:ln>
            <a:effectLst/>
          </c:spPr>
          <c:invertIfNegative val="0"/>
          <c:dPt>
            <c:idx val="2"/>
            <c:invertIfNegative val="0"/>
            <c:bubble3D val="0"/>
            <c:spPr>
              <a:solidFill>
                <a:srgbClr val="3366FF"/>
              </a:solidFill>
              <a:ln>
                <a:noFill/>
              </a:ln>
              <a:effectLst/>
            </c:spPr>
            <c:extLst>
              <c:ext xmlns:c16="http://schemas.microsoft.com/office/drawing/2014/chart" uri="{C3380CC4-5D6E-409C-BE32-E72D297353CC}">
                <c16:uniqueId val="{00000019-E7DF-41C0-96B8-75C83392F042}"/>
              </c:ext>
            </c:extLst>
          </c:dPt>
          <c:dLbls>
            <c:dLbl>
              <c:idx val="0"/>
              <c:delete val="1"/>
              <c:extLst>
                <c:ext xmlns:c15="http://schemas.microsoft.com/office/drawing/2012/chart" uri="{CE6537A1-D6FC-4f65-9D91-7224C49458BB}"/>
                <c:ext xmlns:c16="http://schemas.microsoft.com/office/drawing/2014/chart" uri="{C3380CC4-5D6E-409C-BE32-E72D297353CC}">
                  <c16:uniqueId val="{00000010-4F21-478F-8B53-49286B02763D}"/>
                </c:ext>
              </c:extLst>
            </c:dLbl>
            <c:dLbl>
              <c:idx val="1"/>
              <c:delete val="1"/>
              <c:extLst>
                <c:ext xmlns:c15="http://schemas.microsoft.com/office/drawing/2012/chart" uri="{CE6537A1-D6FC-4f65-9D91-7224C49458BB}"/>
                <c:ext xmlns:c16="http://schemas.microsoft.com/office/drawing/2014/chart" uri="{C3380CC4-5D6E-409C-BE32-E72D297353CC}">
                  <c16:uniqueId val="{00000011-4F21-478F-8B53-49286B02763D}"/>
                </c:ext>
              </c:extLst>
            </c:dLbl>
            <c:dLbl>
              <c:idx val="2"/>
              <c:layout>
                <c:manualLayout>
                  <c:x val="0.12056450471910445"/>
                  <c:y val="-0.10378945875008867"/>
                </c:manualLayout>
              </c:layout>
              <c:showLegendKey val="0"/>
              <c:showVal val="1"/>
              <c:showCatName val="0"/>
              <c:showSerName val="1"/>
              <c:showPercent val="0"/>
              <c:showBubbleSize val="0"/>
              <c:separator>: </c:separator>
              <c:extLst>
                <c:ext xmlns:c15="http://schemas.microsoft.com/office/drawing/2012/chart" uri="{CE6537A1-D6FC-4f65-9D91-7224C49458BB}">
                  <c15:layout/>
                </c:ext>
                <c:ext xmlns:c16="http://schemas.microsoft.com/office/drawing/2014/chart" uri="{C3380CC4-5D6E-409C-BE32-E72D297353CC}">
                  <c16:uniqueId val="{00000019-E7DF-41C0-96B8-75C83392F042}"/>
                </c:ext>
              </c:extLst>
            </c:dLbl>
            <c:numFmt formatCode="&quot;$&quot;#,##0" sourceLinked="0"/>
            <c:spPr>
              <a:solidFill>
                <a:schemeClr val="accent4">
                  <a:lumMod val="20000"/>
                  <a:lumOff val="80000"/>
                  <a:alpha val="70000"/>
                </a:schemeClr>
              </a:solid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12700" cap="flat" cmpd="sng" algn="ctr">
                      <a:solidFill>
                        <a:schemeClr val="tx1"/>
                      </a:solidFill>
                      <a:round/>
                    </a:ln>
                    <a:effectLst/>
                  </c:spPr>
                </c15:leaderLines>
              </c:ext>
            </c:extLst>
          </c:dLbls>
          <c:cat>
            <c:strRef>
              <c:f>'Selected Data'!$A$11:$A$13</c:f>
              <c:strCache>
                <c:ptCount val="3"/>
                <c:pt idx="0">
                  <c:v>Expenditure Category</c:v>
                </c:pt>
                <c:pt idx="1">
                  <c:v>District/School</c:v>
                </c:pt>
                <c:pt idx="2">
                  <c:v>ESD Direct Support</c:v>
                </c:pt>
              </c:strCache>
            </c:strRef>
          </c:cat>
          <c:val>
            <c:numRef>
              <c:f>'Selected Data'!$L$11:$L$13</c:f>
              <c:numCache>
                <c:formatCode>#,##0</c:formatCode>
                <c:ptCount val="3"/>
                <c:pt idx="2">
                  <c:v>27853.687973792701</c:v>
                </c:pt>
              </c:numCache>
            </c:numRef>
          </c:val>
          <c:extLst>
            <c:ext xmlns:c16="http://schemas.microsoft.com/office/drawing/2014/chart" uri="{C3380CC4-5D6E-409C-BE32-E72D297353CC}">
              <c16:uniqueId val="{0000000A-E7DF-41C0-96B8-75C83392F042}"/>
            </c:ext>
          </c:extLst>
        </c:ser>
        <c:ser>
          <c:idx val="11"/>
          <c:order val="11"/>
          <c:tx>
            <c:strRef>
              <c:f>'Selected Data'!$M$10</c:f>
              <c:strCache>
                <c:ptCount val="1"/>
                <c:pt idx="0">
                  <c:v>Special Revenue Funds </c:v>
                </c:pt>
              </c:strCache>
            </c:strRef>
          </c:tx>
          <c:spPr>
            <a:solidFill>
              <a:srgbClr val="009900"/>
            </a:solidFill>
            <a:ln>
              <a:noFill/>
            </a:ln>
            <a:effectLst/>
          </c:spPr>
          <c:invertIfNegative val="0"/>
          <c:dLbls>
            <c:dLbl>
              <c:idx val="2"/>
              <c:layout/>
              <c:showLegendKey val="0"/>
              <c:showVal val="1"/>
              <c:showCatName val="0"/>
              <c:showSerName val="1"/>
              <c:showPercent val="0"/>
              <c:showBubbleSize val="0"/>
              <c:extLst>
                <c:ext xmlns:c15="http://schemas.microsoft.com/office/drawing/2012/chart" uri="{CE6537A1-D6FC-4f65-9D91-7224C49458BB}">
                  <c15:layout/>
                </c:ext>
                <c:ext xmlns:c16="http://schemas.microsoft.com/office/drawing/2014/chart" uri="{C3380CC4-5D6E-409C-BE32-E72D297353CC}">
                  <c16:uniqueId val="{0000000E-5DDC-4EF4-B139-DEF0B30B049F}"/>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'Selected Data'!$A$11:$A$13</c:f>
              <c:strCache>
                <c:ptCount val="3"/>
                <c:pt idx="0">
                  <c:v>Expenditure Category</c:v>
                </c:pt>
                <c:pt idx="1">
                  <c:v>District/School</c:v>
                </c:pt>
                <c:pt idx="2">
                  <c:v>ESD Direct Support</c:v>
                </c:pt>
              </c:strCache>
            </c:strRef>
          </c:cat>
          <c:val>
            <c:numRef>
              <c:f>'Selected Data'!$M$11:$M$13</c:f>
              <c:numCache>
                <c:formatCode>#,##0</c:formatCode>
                <c:ptCount val="3"/>
                <c:pt idx="2">
                  <c:v>249.66859128907601</c:v>
                </c:pt>
              </c:numCache>
            </c:numRef>
          </c:val>
          <c:extLst>
            <c:ext xmlns:c16="http://schemas.microsoft.com/office/drawing/2014/chart" uri="{C3380CC4-5D6E-409C-BE32-E72D297353CC}">
              <c16:uniqueId val="{0000000B-E7DF-41C0-96B8-75C83392F042}"/>
            </c:ext>
          </c:extLst>
        </c:ser>
        <c:ser>
          <c:idx val="14"/>
          <c:order val="14"/>
          <c:tx>
            <c:strRef>
              <c:f>'Selected Data'!$P$10</c:f>
              <c:strCache>
                <c:ptCount val="1"/>
                <c:pt idx="0">
                  <c:v>Enterprise Funds </c:v>
                </c:pt>
              </c:strCache>
            </c:strRef>
          </c:tx>
          <c:spPr>
            <a:solidFill>
              <a:schemeClr val="accent3">
                <a:lumMod val="80000"/>
                <a:lumOff val="20000"/>
              </a:schemeClr>
            </a:solidFill>
            <a:ln>
              <a:noFill/>
            </a:ln>
            <a:effectLst/>
          </c:spPr>
          <c:invertIfNegative val="0"/>
          <c:cat>
            <c:strRef>
              <c:f>'Selected Data'!$A$11:$A$13</c:f>
              <c:strCache>
                <c:ptCount val="3"/>
                <c:pt idx="0">
                  <c:v>Expenditure Category</c:v>
                </c:pt>
                <c:pt idx="1">
                  <c:v>District/School</c:v>
                </c:pt>
                <c:pt idx="2">
                  <c:v>ESD Direct Support</c:v>
                </c:pt>
              </c:strCache>
            </c:strRef>
          </c:cat>
          <c:val>
            <c:numRef>
              <c:f>'Selected Data'!$P$11:$P$13</c:f>
              <c:numCache>
                <c:formatCode>#,##0</c:formatCode>
                <c:ptCount val="3"/>
                <c:pt idx="2">
                  <c:v>0</c:v>
                </c:pt>
              </c:numCache>
            </c:numRef>
          </c:val>
          <c:extLst>
            <c:ext xmlns:c16="http://schemas.microsoft.com/office/drawing/2014/chart" uri="{C3380CC4-5D6E-409C-BE32-E72D297353CC}">
              <c16:uniqueId val="{0000000E-E7DF-41C0-96B8-75C83392F042}"/>
            </c:ext>
          </c:extLst>
        </c:ser>
        <c:ser>
          <c:idx val="15"/>
          <c:order val="15"/>
          <c:tx>
            <c:strRef>
              <c:f>'Selected Data'!$Q$10</c:f>
              <c:strCache>
                <c:ptCount val="1"/>
                <c:pt idx="0">
                  <c:v>Internal Service Funds </c:v>
                </c:pt>
              </c:strCache>
            </c:strRef>
          </c:tx>
          <c:spPr>
            <a:solidFill>
              <a:schemeClr val="accent4">
                <a:lumMod val="80000"/>
                <a:lumOff val="20000"/>
              </a:schemeClr>
            </a:solidFill>
            <a:ln>
              <a:noFill/>
            </a:ln>
            <a:effectLst/>
          </c:spPr>
          <c:invertIfNegative val="0"/>
          <c:cat>
            <c:strRef>
              <c:f>'Selected Data'!$A$11:$A$13</c:f>
              <c:strCache>
                <c:ptCount val="3"/>
                <c:pt idx="0">
                  <c:v>Expenditure Category</c:v>
                </c:pt>
                <c:pt idx="1">
                  <c:v>District/School</c:v>
                </c:pt>
                <c:pt idx="2">
                  <c:v>ESD Direct Support</c:v>
                </c:pt>
              </c:strCache>
            </c:strRef>
          </c:cat>
          <c:val>
            <c:numRef>
              <c:f>'Selected Data'!$Q$11:$Q$13</c:f>
              <c:numCache>
                <c:formatCode>#,##0</c:formatCode>
                <c:ptCount val="3"/>
                <c:pt idx="2">
                  <c:v>0</c:v>
                </c:pt>
              </c:numCache>
            </c:numRef>
          </c:val>
          <c:extLst>
            <c:ext xmlns:c16="http://schemas.microsoft.com/office/drawing/2014/chart" uri="{C3380CC4-5D6E-409C-BE32-E72D297353CC}">
              <c16:uniqueId val="{0000000F-E7DF-41C0-96B8-75C83392F042}"/>
            </c:ext>
          </c:extLst>
        </c:ser>
        <c:ser>
          <c:idx val="16"/>
          <c:order val="16"/>
          <c:tx>
            <c:strRef>
              <c:f>'Selected Data'!$R$10</c:f>
              <c:strCache>
                <c:ptCount val="1"/>
                <c:pt idx="0">
                  <c:v>Trust and Agency Funds </c:v>
                </c:pt>
              </c:strCache>
            </c:strRef>
          </c:tx>
          <c:spPr>
            <a:solidFill>
              <a:schemeClr val="accent5">
                <a:lumMod val="80000"/>
                <a:lumOff val="20000"/>
              </a:schemeClr>
            </a:solidFill>
            <a:ln>
              <a:noFill/>
            </a:ln>
            <a:effectLst/>
          </c:spPr>
          <c:invertIfNegative val="0"/>
          <c:cat>
            <c:strRef>
              <c:f>'Selected Data'!$A$11:$A$13</c:f>
              <c:strCache>
                <c:ptCount val="3"/>
                <c:pt idx="0">
                  <c:v>Expenditure Category</c:v>
                </c:pt>
                <c:pt idx="1">
                  <c:v>District/School</c:v>
                </c:pt>
                <c:pt idx="2">
                  <c:v>ESD Direct Support</c:v>
                </c:pt>
              </c:strCache>
            </c:strRef>
          </c:cat>
          <c:val>
            <c:numRef>
              <c:f>'Selected Data'!$R$11:$R$13</c:f>
              <c:numCache>
                <c:formatCode>#,##0</c:formatCode>
                <c:ptCount val="3"/>
                <c:pt idx="2">
                  <c:v>0</c:v>
                </c:pt>
              </c:numCache>
            </c:numRef>
          </c:val>
          <c:extLst>
            <c:ext xmlns:c16="http://schemas.microsoft.com/office/drawing/2014/chart" uri="{C3380CC4-5D6E-409C-BE32-E72D297353CC}">
              <c16:uniqueId val="{00000010-E7DF-41C0-96B8-75C83392F042}"/>
            </c:ext>
          </c:extLst>
        </c:ser>
        <c:ser>
          <c:idx val="17"/>
          <c:order val="17"/>
          <c:tx>
            <c:strRef>
              <c:f>'Selected Data'!$S$10</c:f>
              <c:strCache>
                <c:ptCount val="1"/>
              </c:strCache>
            </c:strRef>
          </c:tx>
          <c:spPr>
            <a:solidFill>
              <a:schemeClr val="accent6">
                <a:lumMod val="80000"/>
                <a:lumOff val="20000"/>
              </a:schemeClr>
            </a:solidFill>
            <a:ln>
              <a:noFill/>
            </a:ln>
            <a:effectLst/>
          </c:spPr>
          <c:invertIfNegative val="0"/>
          <c:cat>
            <c:strRef>
              <c:f>'Selected Data'!$A$11:$A$13</c:f>
              <c:strCache>
                <c:ptCount val="3"/>
                <c:pt idx="0">
                  <c:v>Expenditure Category</c:v>
                </c:pt>
                <c:pt idx="1">
                  <c:v>District/School</c:v>
                </c:pt>
                <c:pt idx="2">
                  <c:v>ESD Direct Support</c:v>
                </c:pt>
              </c:strCache>
            </c:strRef>
          </c:cat>
          <c:val>
            <c:numRef>
              <c:f>'Selected Data'!$S$11:$S$13</c:f>
              <c:numCache>
                <c:formatCode>General</c:formatCode>
                <c:ptCount val="3"/>
              </c:numCache>
            </c:numRef>
          </c:val>
          <c:extLst>
            <c:ext xmlns:c16="http://schemas.microsoft.com/office/drawing/2014/chart" uri="{C3380CC4-5D6E-409C-BE32-E72D297353CC}">
              <c16:uniqueId val="{00000011-E7DF-41C0-96B8-75C83392F042}"/>
            </c:ext>
          </c:extLst>
        </c:ser>
        <c:dLbls>
          <c:showLegendKey val="0"/>
          <c:showVal val="0"/>
          <c:showCatName val="0"/>
          <c:showSerName val="0"/>
          <c:showPercent val="0"/>
          <c:showBubbleSize val="0"/>
        </c:dLbls>
        <c:gapWidth val="325"/>
        <c:overlap val="100"/>
        <c:axId val="628049192"/>
        <c:axId val="628048208"/>
        <c:extLst>
          <c:ext xmlns:c15="http://schemas.microsoft.com/office/drawing/2012/chart" uri="{02D57815-91ED-43cb-92C2-25804820EDAC}">
            <c15:filteredBarSeries>
              <c15:ser>
                <c:idx val="5"/>
                <c:order val="5"/>
                <c:tx>
                  <c:strRef>
                    <c:extLst>
                      <c:ext uri="{02D57815-91ED-43cb-92C2-25804820EDAC}">
                        <c15:formulaRef>
                          <c15:sqref>'Selected Data'!$G$10</c15:sqref>
                        </c15:formulaRef>
                      </c:ext>
                    </c:extLst>
                    <c:strCache>
                      <c:ptCount val="1"/>
                      <c:pt idx="0">
                        <c:v>Debt Service Funds</c:v>
                      </c:pt>
                    </c:strCache>
                  </c:strRef>
                </c:tx>
                <c:spPr>
                  <a:solidFill>
                    <a:schemeClr val="accent6"/>
                  </a:solidFill>
                  <a:ln>
                    <a:noFill/>
                  </a:ln>
                  <a:effectLst/>
                </c:spPr>
                <c:invertIfNegative val="0"/>
                <c:dLbls>
                  <c:dLbl>
                    <c:idx val="1"/>
                    <c:layout>
                      <c:manualLayout>
                        <c:x val="-0.13073515939454139"/>
                        <c:y val="5.2532579529316288E-2"/>
                      </c:manualLayout>
                    </c:layout>
                    <c:spPr>
                      <a:noFill/>
                      <a:ln>
                        <a:noFill/>
                      </a:ln>
                      <a:effectLst/>
                    </c:spPr>
                    <c:txPr>
                      <a:bodyPr rot="0" spcFirstLastPara="1" vertOverflow="ellipsis" vert="horz" wrap="square" lIns="38100" tIns="19050" rIns="38100" bIns="19050" anchor="ctr" anchorCtr="1">
                        <a:noAutofit/>
                      </a:bodyPr>
                      <a:lstStyle/>
                      <a:p>
                        <a:pPr>
                          <a:defRPr sz="8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extLst>
                      <c:ext uri="{CE6537A1-D6FC-4f65-9D91-7224C49458BB}">
                        <c15:layout>
                          <c:manualLayout>
                            <c:w val="0.14520058155558155"/>
                            <c:h val="0.10848787401772331"/>
                          </c:manualLayout>
                        </c15:layout>
                      </c:ext>
                      <c:ext xmlns:c16="http://schemas.microsoft.com/office/drawing/2014/chart" uri="{C3380CC4-5D6E-409C-BE32-E72D297353CC}">
                        <c16:uniqueId val="{00000016-E7DF-41C0-96B8-75C83392F042}"/>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uri="{CE6537A1-D6FC-4f65-9D91-7224C49458BB}">
                      <c15:showLeaderLines val="1"/>
                      <c15:leaderLines>
                        <c:spPr>
                          <a:ln w="12700" cap="flat" cmpd="sng" algn="ctr">
                            <a:solidFill>
                              <a:schemeClr val="tx1"/>
                            </a:solidFill>
                            <a:round/>
                          </a:ln>
                          <a:effectLst/>
                        </c:spPr>
                      </c15:leaderLines>
                    </c:ext>
                  </c:extLst>
                </c:dLbls>
                <c:cat>
                  <c:strRef>
                    <c:extLst>
                      <c:ext uri="{02D57815-91ED-43cb-92C2-25804820EDAC}">
                        <c15:formulaRef>
                          <c15:sqref>'Selected Data'!$A$11:$A$13</c15:sqref>
                        </c15:formulaRef>
                      </c:ext>
                    </c:extLst>
                    <c:strCache>
                      <c:ptCount val="3"/>
                      <c:pt idx="0">
                        <c:v>Expenditure Category</c:v>
                      </c:pt>
                      <c:pt idx="1">
                        <c:v>District/School</c:v>
                      </c:pt>
                      <c:pt idx="2">
                        <c:v>ESD Direct Support</c:v>
                      </c:pt>
                    </c:strCache>
                  </c:strRef>
                </c:cat>
                <c:val>
                  <c:numRef>
                    <c:extLst>
                      <c:ext uri="{02D57815-91ED-43cb-92C2-25804820EDAC}">
                        <c15:formulaRef>
                          <c15:sqref>'Selected Data'!$G$11:$G$13</c15:sqref>
                        </c15:formulaRef>
                      </c:ext>
                    </c:extLst>
                    <c:numCache>
                      <c:formatCode>#,##0</c:formatCode>
                      <c:ptCount val="3"/>
                      <c:pt idx="1">
                        <c:v>0</c:v>
                      </c:pt>
                    </c:numCache>
                  </c:numRef>
                </c:val>
                <c:extLst>
                  <c:ext xmlns:c16="http://schemas.microsoft.com/office/drawing/2014/chart" uri="{C3380CC4-5D6E-409C-BE32-E72D297353CC}">
                    <c16:uniqueId val="{00000005-E7DF-41C0-96B8-75C83392F042}"/>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'Selected Data'!$H$10</c15:sqref>
                        </c15:formulaRef>
                      </c:ext>
                    </c:extLst>
                    <c:strCache>
                      <c:ptCount val="1"/>
                      <c:pt idx="0">
                        <c:v>Capital Project Funds</c:v>
                      </c:pt>
                    </c:strCache>
                  </c:strRef>
                </c:tx>
                <c:spPr>
                  <a:solidFill>
                    <a:schemeClr val="accent1">
                      <a:lumMod val="60000"/>
                    </a:schemeClr>
                  </a:solidFill>
                  <a:ln>
                    <a:noFill/>
                  </a:ln>
                  <a:effectLst/>
                </c:spPr>
                <c:invertIfNegative val="0"/>
                <c:dLbls>
                  <c:dLbl>
                    <c:idx val="1"/>
                    <c:layout>
                      <c:manualLayout>
                        <c:x val="0.15574096633415505"/>
                        <c:y val="0"/>
                      </c:manualLayout>
                    </c:layout>
                    <c:showLegendKey val="0"/>
                    <c:showVal val="1"/>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12-E7DF-41C0-96B8-75C83392F042}"/>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12700" cap="flat" cmpd="sng" algn="ctr">
                            <a:solidFill>
                              <a:schemeClr val="tx1"/>
                            </a:solidFill>
                            <a:round/>
                          </a:ln>
                          <a:effectLst/>
                        </c:spPr>
                      </c15:leaderLines>
                    </c:ext>
                  </c:extLst>
                </c:dLbls>
                <c:cat>
                  <c:strRef>
                    <c:extLst xmlns:c15="http://schemas.microsoft.com/office/drawing/2012/chart">
                      <c:ext xmlns:c15="http://schemas.microsoft.com/office/drawing/2012/chart" uri="{02D57815-91ED-43cb-92C2-25804820EDAC}">
                        <c15:formulaRef>
                          <c15:sqref>'Selected Data'!$A$11:$A$13</c15:sqref>
                        </c15:formulaRef>
                      </c:ext>
                    </c:extLst>
                    <c:strCache>
                      <c:ptCount val="3"/>
                      <c:pt idx="0">
                        <c:v>Expenditure Category</c:v>
                      </c:pt>
                      <c:pt idx="1">
                        <c:v>District/School</c:v>
                      </c:pt>
                      <c:pt idx="2">
                        <c:v>ESD Direct Support</c:v>
                      </c:pt>
                    </c:strCache>
                  </c:strRef>
                </c:cat>
                <c:val>
                  <c:numRef>
                    <c:extLst xmlns:c15="http://schemas.microsoft.com/office/drawing/2012/chart">
                      <c:ext xmlns:c15="http://schemas.microsoft.com/office/drawing/2012/chart" uri="{02D57815-91ED-43cb-92C2-25804820EDAC}">
                        <c15:formulaRef>
                          <c15:sqref>'Selected Data'!$H$11:$H$13</c15:sqref>
                        </c15:formulaRef>
                      </c:ext>
                    </c:extLst>
                    <c:numCache>
                      <c:formatCode>#,##0</c:formatCode>
                      <c:ptCount val="3"/>
                      <c:pt idx="1">
                        <c:v>0</c:v>
                      </c:pt>
                    </c:numCache>
                  </c:numRef>
                </c:val>
                <c:extLst xmlns:c15="http://schemas.microsoft.com/office/drawing/2012/chart">
                  <c:ext xmlns:c16="http://schemas.microsoft.com/office/drawing/2014/chart" uri="{C3380CC4-5D6E-409C-BE32-E72D297353CC}">
                    <c16:uniqueId val="{00000006-E7DF-41C0-96B8-75C83392F042}"/>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'Selected Data'!$N$10</c15:sqref>
                        </c15:formulaRef>
                      </c:ext>
                    </c:extLst>
                    <c:strCache>
                      <c:ptCount val="1"/>
                      <c:pt idx="0">
                        <c:v>Debt Service Funds </c:v>
                      </c:pt>
                    </c:strCache>
                  </c:strRef>
                </c:tx>
                <c:spPr>
                  <a:solidFill>
                    <a:schemeClr val="accent1">
                      <a:lumMod val="80000"/>
                      <a:lumOff val="20000"/>
                    </a:schemeClr>
                  </a:solidFill>
                  <a:ln>
                    <a:noFill/>
                  </a:ln>
                  <a:effectLst/>
                </c:spPr>
                <c:invertIfNegative val="0"/>
                <c:cat>
                  <c:strRef>
                    <c:extLst xmlns:c15="http://schemas.microsoft.com/office/drawing/2012/chart">
                      <c:ext xmlns:c15="http://schemas.microsoft.com/office/drawing/2012/chart" uri="{02D57815-91ED-43cb-92C2-25804820EDAC}">
                        <c15:formulaRef>
                          <c15:sqref>'Selected Data'!$A$11:$A$13</c15:sqref>
                        </c15:formulaRef>
                      </c:ext>
                    </c:extLst>
                    <c:strCache>
                      <c:ptCount val="3"/>
                      <c:pt idx="0">
                        <c:v>Expenditure Category</c:v>
                      </c:pt>
                      <c:pt idx="1">
                        <c:v>District/School</c:v>
                      </c:pt>
                      <c:pt idx="2">
                        <c:v>ESD Direct Support</c:v>
                      </c:pt>
                    </c:strCache>
                  </c:strRef>
                </c:cat>
                <c:val>
                  <c:numRef>
                    <c:extLst xmlns:c15="http://schemas.microsoft.com/office/drawing/2012/chart">
                      <c:ext xmlns:c15="http://schemas.microsoft.com/office/drawing/2012/chart" uri="{02D57815-91ED-43cb-92C2-25804820EDAC}">
                        <c15:formulaRef>
                          <c15:sqref>'Selected Data'!$N$11:$N$13</c15:sqref>
                        </c15:formulaRef>
                      </c:ext>
                    </c:extLst>
                    <c:numCache>
                      <c:formatCode>#,##0</c:formatCode>
                      <c:ptCount val="3"/>
                      <c:pt idx="2">
                        <c:v>0</c:v>
                      </c:pt>
                    </c:numCache>
                  </c:numRef>
                </c:val>
                <c:extLst xmlns:c15="http://schemas.microsoft.com/office/drawing/2012/chart">
                  <c:ext xmlns:c16="http://schemas.microsoft.com/office/drawing/2014/chart" uri="{C3380CC4-5D6E-409C-BE32-E72D297353CC}">
                    <c16:uniqueId val="{0000000C-E7DF-41C0-96B8-75C83392F042}"/>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'Selected Data'!$O$10</c15:sqref>
                        </c15:formulaRef>
                      </c:ext>
                    </c:extLst>
                    <c:strCache>
                      <c:ptCount val="1"/>
                      <c:pt idx="0">
                        <c:v>Capital Project Funds </c:v>
                      </c:pt>
                    </c:strCache>
                  </c:strRef>
                </c:tx>
                <c:spPr>
                  <a:solidFill>
                    <a:schemeClr val="accent2">
                      <a:lumMod val="80000"/>
                      <a:lumOff val="20000"/>
                    </a:schemeClr>
                  </a:solidFill>
                  <a:ln>
                    <a:noFill/>
                  </a:ln>
                  <a:effectLst/>
                </c:spPr>
                <c:invertIfNegative val="0"/>
                <c:cat>
                  <c:strRef>
                    <c:extLst xmlns:c15="http://schemas.microsoft.com/office/drawing/2012/chart">
                      <c:ext xmlns:c15="http://schemas.microsoft.com/office/drawing/2012/chart" uri="{02D57815-91ED-43cb-92C2-25804820EDAC}">
                        <c15:formulaRef>
                          <c15:sqref>'Selected Data'!$A$11:$A$13</c15:sqref>
                        </c15:formulaRef>
                      </c:ext>
                    </c:extLst>
                    <c:strCache>
                      <c:ptCount val="3"/>
                      <c:pt idx="0">
                        <c:v>Expenditure Category</c:v>
                      </c:pt>
                      <c:pt idx="1">
                        <c:v>District/School</c:v>
                      </c:pt>
                      <c:pt idx="2">
                        <c:v>ESD Direct Support</c:v>
                      </c:pt>
                    </c:strCache>
                  </c:strRef>
                </c:cat>
                <c:val>
                  <c:numRef>
                    <c:extLst xmlns:c15="http://schemas.microsoft.com/office/drawing/2012/chart">
                      <c:ext xmlns:c15="http://schemas.microsoft.com/office/drawing/2012/chart" uri="{02D57815-91ED-43cb-92C2-25804820EDAC}">
                        <c15:formulaRef>
                          <c15:sqref>'Selected Data'!$O$11:$O$13</c15:sqref>
                        </c15:formulaRef>
                      </c:ext>
                    </c:extLst>
                    <c:numCache>
                      <c:formatCode>#,##0</c:formatCode>
                      <c:ptCount val="3"/>
                      <c:pt idx="2">
                        <c:v>0</c:v>
                      </c:pt>
                    </c:numCache>
                  </c:numRef>
                </c:val>
                <c:extLst xmlns:c15="http://schemas.microsoft.com/office/drawing/2012/chart">
                  <c:ext xmlns:c16="http://schemas.microsoft.com/office/drawing/2014/chart" uri="{C3380CC4-5D6E-409C-BE32-E72D297353CC}">
                    <c16:uniqueId val="{0000000D-E7DF-41C0-96B8-75C83392F042}"/>
                  </c:ext>
                </c:extLst>
              </c15:ser>
            </c15:filteredBarSeries>
          </c:ext>
        </c:extLst>
      </c:barChart>
      <c:catAx>
        <c:axId val="6280491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28048208"/>
        <c:crosses val="autoZero"/>
        <c:auto val="1"/>
        <c:lblAlgn val="ctr"/>
        <c:lblOffset val="100"/>
        <c:noMultiLvlLbl val="0"/>
      </c:catAx>
      <c:valAx>
        <c:axId val="6280482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crossAx val="6280491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Special</a:t>
            </a:r>
            <a:r>
              <a:rPr lang="en-US" b="1" baseline="0"/>
              <a:t> Education</a:t>
            </a:r>
            <a:endParaRPr lang="en-US" b="1"/>
          </a:p>
        </c:rich>
      </c:tx>
      <c:layout>
        <c:manualLayout>
          <c:xMode val="edge"/>
          <c:yMode val="edge"/>
          <c:x val="0.35707169783674775"/>
          <c:y val="3.4188034188034191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3746285940550191E-2"/>
          <c:y val="0.30039437378020056"/>
          <c:w val="0.91579335711290766"/>
          <c:h val="0.54682683895282325"/>
        </c:manualLayout>
      </c:layout>
      <c:barChart>
        <c:barDir val="bar"/>
        <c:grouping val="stacked"/>
        <c:varyColors val="0"/>
        <c:ser>
          <c:idx val="0"/>
          <c:order val="0"/>
          <c:spPr>
            <a:solidFill>
              <a:schemeClr val="accent1"/>
            </a:solidFill>
            <a:ln>
              <a:noFill/>
            </a:ln>
            <a:effectLst/>
          </c:spPr>
          <c:invertIfNegative val="0"/>
          <c:dLbls>
            <c:dLbl>
              <c:idx val="0"/>
              <c:layout/>
              <c:tx>
                <c:rich>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r>
                      <a:rPr lang="en-US"/>
                      <a:t>&lt;20%</a:t>
                    </a:r>
                  </a:p>
                </c:rich>
              </c:tx>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15:layout/>
                </c:ext>
                <c:ext xmlns:c16="http://schemas.microsoft.com/office/drawing/2014/chart" uri="{C3380CC4-5D6E-409C-BE32-E72D297353CC}">
                  <c16:uniqueId val="{00000000-B6CF-4144-B02E-32EE47B0D446}"/>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Lit>
              <c:formatCode>General</c:formatCode>
              <c:ptCount val="1"/>
              <c:pt idx="0">
                <c:v>1</c:v>
              </c:pt>
            </c:numLit>
          </c:val>
          <c:extLst>
            <c:ext xmlns:c16="http://schemas.microsoft.com/office/drawing/2014/chart" uri="{C3380CC4-5D6E-409C-BE32-E72D297353CC}">
              <c16:uniqueId val="{00000001-B6CF-4144-B02E-32EE47B0D446}"/>
            </c:ext>
          </c:extLst>
        </c:ser>
        <c:ser>
          <c:idx val="1"/>
          <c:order val="1"/>
          <c:spPr>
            <a:solidFill>
              <a:schemeClr val="accent2"/>
            </a:solidFill>
            <a:ln>
              <a:noFill/>
            </a:ln>
            <a:effectLst/>
          </c:spPr>
          <c:invertIfNegative val="0"/>
          <c:dLbls>
            <c:dLbl>
              <c:idx val="0"/>
              <c:layout/>
              <c:tx>
                <c:rich>
                  <a:bodyPr/>
                  <a:lstStyle/>
                  <a:p>
                    <a:r>
                      <a:rPr lang="en-US"/>
                      <a:t>20%&lt;40%</a:t>
                    </a:r>
                  </a:p>
                </c:rich>
              </c:tx>
              <c:showLegendKey val="0"/>
              <c:showVal val="1"/>
              <c:showCatName val="0"/>
              <c:showSerName val="1"/>
              <c:showPercent val="0"/>
              <c:showBubbleSize val="0"/>
              <c:extLst>
                <c:ext xmlns:c15="http://schemas.microsoft.com/office/drawing/2012/chart" uri="{CE6537A1-D6FC-4f65-9D91-7224C49458BB}">
                  <c15:layout/>
                </c:ext>
                <c:ext xmlns:c16="http://schemas.microsoft.com/office/drawing/2014/chart" uri="{C3380CC4-5D6E-409C-BE32-E72D297353CC}">
                  <c16:uniqueId val="{00000002-B6CF-4144-B02E-32EE47B0D446}"/>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Lit>
              <c:formatCode>General</c:formatCode>
              <c:ptCount val="1"/>
              <c:pt idx="0">
                <c:v>1</c:v>
              </c:pt>
            </c:numLit>
          </c:val>
          <c:extLst>
            <c:ext xmlns:c16="http://schemas.microsoft.com/office/drawing/2014/chart" uri="{C3380CC4-5D6E-409C-BE32-E72D297353CC}">
              <c16:uniqueId val="{00000003-B6CF-4144-B02E-32EE47B0D446}"/>
            </c:ext>
          </c:extLst>
        </c:ser>
        <c:ser>
          <c:idx val="2"/>
          <c:order val="2"/>
          <c:spPr>
            <a:solidFill>
              <a:schemeClr val="accent3"/>
            </a:solidFill>
            <a:ln>
              <a:noFill/>
            </a:ln>
            <a:effectLst/>
          </c:spPr>
          <c:invertIfNegative val="0"/>
          <c:dLbls>
            <c:dLbl>
              <c:idx val="0"/>
              <c:layout/>
              <c:tx>
                <c:rich>
                  <a:bodyPr/>
                  <a:lstStyle/>
                  <a:p>
                    <a:r>
                      <a:rPr lang="en-US"/>
                      <a:t>40%&lt;60%</a:t>
                    </a:r>
                  </a:p>
                </c:rich>
              </c:tx>
              <c:showLegendKey val="0"/>
              <c:showVal val="1"/>
              <c:showCatName val="0"/>
              <c:showSerName val="1"/>
              <c:showPercent val="0"/>
              <c:showBubbleSize val="0"/>
              <c:extLst>
                <c:ext xmlns:c15="http://schemas.microsoft.com/office/drawing/2012/chart" uri="{CE6537A1-D6FC-4f65-9D91-7224C49458BB}">
                  <c15:layout/>
                </c:ext>
                <c:ext xmlns:c16="http://schemas.microsoft.com/office/drawing/2014/chart" uri="{C3380CC4-5D6E-409C-BE32-E72D297353CC}">
                  <c16:uniqueId val="{00000004-B6CF-4144-B02E-32EE47B0D446}"/>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Lit>
              <c:formatCode>General</c:formatCode>
              <c:ptCount val="1"/>
              <c:pt idx="0">
                <c:v>1</c:v>
              </c:pt>
            </c:numLit>
          </c:val>
          <c:extLst>
            <c:ext xmlns:c16="http://schemas.microsoft.com/office/drawing/2014/chart" uri="{C3380CC4-5D6E-409C-BE32-E72D297353CC}">
              <c16:uniqueId val="{00000005-B6CF-4144-B02E-32EE47B0D446}"/>
            </c:ext>
          </c:extLst>
        </c:ser>
        <c:ser>
          <c:idx val="3"/>
          <c:order val="3"/>
          <c:spPr>
            <a:solidFill>
              <a:schemeClr val="accent4"/>
            </a:solidFill>
            <a:ln>
              <a:noFill/>
            </a:ln>
            <a:effectLst/>
          </c:spPr>
          <c:invertIfNegative val="0"/>
          <c:dLbls>
            <c:dLbl>
              <c:idx val="0"/>
              <c:layout/>
              <c:tx>
                <c:rich>
                  <a:bodyPr/>
                  <a:lstStyle/>
                  <a:p>
                    <a:r>
                      <a:rPr lang="en-US"/>
                      <a:t>60%&lt;80%</a:t>
                    </a:r>
                  </a:p>
                </c:rich>
              </c:tx>
              <c:showLegendKey val="0"/>
              <c:showVal val="1"/>
              <c:showCatName val="0"/>
              <c:showSerName val="1"/>
              <c:showPercent val="0"/>
              <c:showBubbleSize val="0"/>
              <c:extLst>
                <c:ext xmlns:c15="http://schemas.microsoft.com/office/drawing/2012/chart" uri="{CE6537A1-D6FC-4f65-9D91-7224C49458BB}">
                  <c15:layout/>
                </c:ext>
                <c:ext xmlns:c16="http://schemas.microsoft.com/office/drawing/2014/chart" uri="{C3380CC4-5D6E-409C-BE32-E72D297353CC}">
                  <c16:uniqueId val="{00000006-B6CF-4144-B02E-32EE47B0D446}"/>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Lit>
              <c:formatCode>General</c:formatCode>
              <c:ptCount val="1"/>
              <c:pt idx="0">
                <c:v>1</c:v>
              </c:pt>
            </c:numLit>
          </c:val>
          <c:extLst>
            <c:ext xmlns:c16="http://schemas.microsoft.com/office/drawing/2014/chart" uri="{C3380CC4-5D6E-409C-BE32-E72D297353CC}">
              <c16:uniqueId val="{00000007-B6CF-4144-B02E-32EE47B0D446}"/>
            </c:ext>
          </c:extLst>
        </c:ser>
        <c:ser>
          <c:idx val="4"/>
          <c:order val="4"/>
          <c:spPr>
            <a:solidFill>
              <a:schemeClr val="accent5"/>
            </a:solidFill>
            <a:ln>
              <a:noFill/>
            </a:ln>
            <a:effectLst/>
          </c:spPr>
          <c:invertIfNegative val="0"/>
          <c:dLbls>
            <c:dLbl>
              <c:idx val="0"/>
              <c:layout/>
              <c:tx>
                <c:rich>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r>
                      <a:rPr lang="en-US"/>
                      <a:t>80%+</a:t>
                    </a:r>
                  </a:p>
                </c:rich>
              </c:tx>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15:layout/>
                </c:ext>
                <c:ext xmlns:c16="http://schemas.microsoft.com/office/drawing/2014/chart" uri="{C3380CC4-5D6E-409C-BE32-E72D297353CC}">
                  <c16:uniqueId val="{00000008-B6CF-4144-B02E-32EE47B0D446}"/>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Lit>
              <c:formatCode>General</c:formatCode>
              <c:ptCount val="1"/>
              <c:pt idx="0">
                <c:v>1</c:v>
              </c:pt>
            </c:numLit>
          </c:val>
          <c:extLst>
            <c:ext xmlns:c16="http://schemas.microsoft.com/office/drawing/2014/chart" uri="{C3380CC4-5D6E-409C-BE32-E72D297353CC}">
              <c16:uniqueId val="{00000009-B6CF-4144-B02E-32EE47B0D446}"/>
            </c:ext>
          </c:extLst>
        </c:ser>
        <c:dLbls>
          <c:showLegendKey val="0"/>
          <c:showVal val="0"/>
          <c:showCatName val="0"/>
          <c:showSerName val="0"/>
          <c:showPercent val="0"/>
          <c:showBubbleSize val="0"/>
        </c:dLbls>
        <c:gapWidth val="150"/>
        <c:overlap val="100"/>
        <c:axId val="667787680"/>
        <c:axId val="667788008"/>
      </c:barChart>
      <c:barChart>
        <c:barDir val="bar"/>
        <c:grouping val="stacked"/>
        <c:varyColors val="0"/>
        <c:ser>
          <c:idx val="5"/>
          <c:order val="5"/>
          <c:spPr>
            <a:solidFill>
              <a:schemeClr val="accent6"/>
            </a:solidFill>
            <a:ln>
              <a:noFill/>
            </a:ln>
            <a:effectLst/>
          </c:spPr>
          <c:invertIfNegative val="0"/>
          <c:dPt>
            <c:idx val="0"/>
            <c:invertIfNegative val="0"/>
            <c:bubble3D val="0"/>
            <c:spPr>
              <a:noFill/>
              <a:ln>
                <a:noFill/>
              </a:ln>
              <a:effectLst/>
            </c:spPr>
            <c:extLst>
              <c:ext xmlns:c16="http://schemas.microsoft.com/office/drawing/2014/chart" uri="{C3380CC4-5D6E-409C-BE32-E72D297353CC}">
                <c16:uniqueId val="{0000000B-B6CF-4144-B02E-32EE47B0D446}"/>
              </c:ext>
            </c:extLst>
          </c:dPt>
          <c:val>
            <c:numRef>
              <c:f>[0]!SpEd_Range</c:f>
              <c:numCache>
                <c:formatCode>General</c:formatCode>
                <c:ptCount val="1"/>
                <c:pt idx="0">
                  <c:v>0</c:v>
                </c:pt>
              </c:numCache>
            </c:numRef>
          </c:val>
          <c:extLst>
            <c:ext xmlns:c16="http://schemas.microsoft.com/office/drawing/2014/chart" uri="{C3380CC4-5D6E-409C-BE32-E72D297353CC}">
              <c16:uniqueId val="{0000000C-B6CF-4144-B02E-32EE47B0D446}"/>
            </c:ext>
          </c:extLst>
        </c:ser>
        <c:ser>
          <c:idx val="6"/>
          <c:order val="6"/>
          <c:spPr>
            <a:solidFill>
              <a:schemeClr val="tx2">
                <a:alpha val="25000"/>
              </a:schemeClr>
            </a:solidFill>
            <a:ln w="38100">
              <a:solidFill>
                <a:srgbClr val="3366FF"/>
              </a:solidFill>
            </a:ln>
            <a:effectLst/>
          </c:spPr>
          <c:invertIfNegative val="0"/>
          <c:val>
            <c:numRef>
              <c:f>[0]!ESLMarkerWidth</c:f>
              <c:numCache>
                <c:formatCode>General</c:formatCode>
                <c:ptCount val="1"/>
                <c:pt idx="0">
                  <c:v>0</c:v>
                </c:pt>
              </c:numCache>
            </c:numRef>
          </c:val>
          <c:extLst>
            <c:ext xmlns:c16="http://schemas.microsoft.com/office/drawing/2014/chart" uri="{C3380CC4-5D6E-409C-BE32-E72D297353CC}">
              <c16:uniqueId val="{0000000D-B6CF-4144-B02E-32EE47B0D446}"/>
            </c:ext>
          </c:extLst>
        </c:ser>
        <c:dLbls>
          <c:showLegendKey val="0"/>
          <c:showVal val="0"/>
          <c:showCatName val="0"/>
          <c:showSerName val="0"/>
          <c:showPercent val="0"/>
          <c:showBubbleSize val="0"/>
        </c:dLbls>
        <c:gapWidth val="0"/>
        <c:overlap val="100"/>
        <c:axId val="701773160"/>
        <c:axId val="701771192"/>
      </c:barChart>
      <c:catAx>
        <c:axId val="667787680"/>
        <c:scaling>
          <c:orientation val="minMax"/>
        </c:scaling>
        <c:delete val="1"/>
        <c:axPos val="l"/>
        <c:majorTickMark val="none"/>
        <c:minorTickMark val="none"/>
        <c:tickLblPos val="nextTo"/>
        <c:crossAx val="667788008"/>
        <c:crosses val="autoZero"/>
        <c:auto val="1"/>
        <c:lblAlgn val="ctr"/>
        <c:lblOffset val="100"/>
        <c:noMultiLvlLbl val="0"/>
      </c:catAx>
      <c:valAx>
        <c:axId val="667788008"/>
        <c:scaling>
          <c:orientation val="minMax"/>
          <c:max val="5"/>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67787680"/>
        <c:crosses val="autoZero"/>
        <c:crossBetween val="between"/>
      </c:valAx>
      <c:valAx>
        <c:axId val="701771192"/>
        <c:scaling>
          <c:orientation val="minMax"/>
          <c:max val="5"/>
        </c:scaling>
        <c:delete val="1"/>
        <c:axPos val="t"/>
        <c:numFmt formatCode="General" sourceLinked="1"/>
        <c:majorTickMark val="out"/>
        <c:minorTickMark val="none"/>
        <c:tickLblPos val="nextTo"/>
        <c:crossAx val="701773160"/>
        <c:crosses val="max"/>
        <c:crossBetween val="between"/>
      </c:valAx>
      <c:catAx>
        <c:axId val="701773160"/>
        <c:scaling>
          <c:orientation val="minMax"/>
        </c:scaling>
        <c:delete val="1"/>
        <c:axPos val="l"/>
        <c:majorTickMark val="out"/>
        <c:minorTickMark val="none"/>
        <c:tickLblPos val="nextTo"/>
        <c:crossAx val="701771192"/>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ESL</a:t>
            </a:r>
          </a:p>
        </c:rich>
      </c:tx>
      <c:layout>
        <c:manualLayout>
          <c:xMode val="edge"/>
          <c:yMode val="edge"/>
          <c:x val="0.45934162314759502"/>
          <c:y val="0"/>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960175291047802E-3"/>
          <c:y val="0.29413419476411601"/>
          <c:w val="0.98187355087747452"/>
          <c:h val="0.66082549807856295"/>
        </c:manualLayout>
      </c:layout>
      <c:barChart>
        <c:barDir val="bar"/>
        <c:grouping val="stacked"/>
        <c:varyColors val="0"/>
        <c:ser>
          <c:idx val="0"/>
          <c:order val="0"/>
          <c:spPr>
            <a:solidFill>
              <a:schemeClr val="accent1"/>
            </a:solidFill>
            <a:ln>
              <a:noFill/>
            </a:ln>
            <a:effectLst/>
          </c:spPr>
          <c:invertIfNegative val="0"/>
          <c:dLbls>
            <c:dLbl>
              <c:idx val="0"/>
              <c:layout/>
              <c:tx>
                <c:rich>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r>
                      <a:rPr lang="en-US" sz="800" b="1">
                        <a:solidFill>
                          <a:schemeClr val="bg1"/>
                        </a:solidFill>
                      </a:rPr>
                      <a:t>&lt;10%</a:t>
                    </a:r>
                  </a:p>
                </c:rich>
              </c:tx>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7-1EA1-4698-A3CC-772EF1431EA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Lit>
              <c:formatCode>General</c:formatCode>
              <c:ptCount val="1"/>
              <c:pt idx="0">
                <c:v>1</c:v>
              </c:pt>
            </c:numLit>
          </c:val>
          <c:extLst>
            <c:ext xmlns:c16="http://schemas.microsoft.com/office/drawing/2014/chart" uri="{C3380CC4-5D6E-409C-BE32-E72D297353CC}">
              <c16:uniqueId val="{00000000-1EA1-4698-A3CC-772EF1431EA7}"/>
            </c:ext>
          </c:extLst>
        </c:ser>
        <c:ser>
          <c:idx val="1"/>
          <c:order val="1"/>
          <c:spPr>
            <a:solidFill>
              <a:schemeClr val="accent2"/>
            </a:solidFill>
            <a:ln>
              <a:noFill/>
            </a:ln>
            <a:effectLst/>
          </c:spPr>
          <c:invertIfNegative val="0"/>
          <c:dLbls>
            <c:dLbl>
              <c:idx val="0"/>
              <c:layout/>
              <c:tx>
                <c:rich>
                  <a:bodyPr/>
                  <a:lstStyle/>
                  <a:p>
                    <a:r>
                      <a:rPr lang="en-US"/>
                      <a:t>10&lt;20%</a:t>
                    </a:r>
                  </a:p>
                </c:rich>
              </c:tx>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6-1EA1-4698-A3CC-772EF1431EA7}"/>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Lit>
              <c:formatCode>General</c:formatCode>
              <c:ptCount val="1"/>
              <c:pt idx="0">
                <c:v>1</c:v>
              </c:pt>
            </c:numLit>
          </c:val>
          <c:extLst>
            <c:ext xmlns:c16="http://schemas.microsoft.com/office/drawing/2014/chart" uri="{C3380CC4-5D6E-409C-BE32-E72D297353CC}">
              <c16:uniqueId val="{00000001-1EA1-4698-A3CC-772EF1431EA7}"/>
            </c:ext>
          </c:extLst>
        </c:ser>
        <c:ser>
          <c:idx val="2"/>
          <c:order val="2"/>
          <c:spPr>
            <a:solidFill>
              <a:schemeClr val="accent3"/>
            </a:solidFill>
            <a:ln>
              <a:noFill/>
            </a:ln>
            <a:effectLst/>
          </c:spPr>
          <c:invertIfNegative val="0"/>
          <c:dLbls>
            <c:dLbl>
              <c:idx val="0"/>
              <c:layout/>
              <c:tx>
                <c:rich>
                  <a:bodyPr/>
                  <a:lstStyle/>
                  <a:p>
                    <a:r>
                      <a:rPr lang="en-US"/>
                      <a:t>20&lt;30%</a:t>
                    </a:r>
                  </a:p>
                </c:rich>
              </c:tx>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5-1EA1-4698-A3CC-772EF1431EA7}"/>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Lit>
              <c:formatCode>General</c:formatCode>
              <c:ptCount val="1"/>
              <c:pt idx="0">
                <c:v>1</c:v>
              </c:pt>
            </c:numLit>
          </c:val>
          <c:extLst>
            <c:ext xmlns:c16="http://schemas.microsoft.com/office/drawing/2014/chart" uri="{C3380CC4-5D6E-409C-BE32-E72D297353CC}">
              <c16:uniqueId val="{00000002-1EA1-4698-A3CC-772EF1431EA7}"/>
            </c:ext>
          </c:extLst>
        </c:ser>
        <c:ser>
          <c:idx val="3"/>
          <c:order val="3"/>
          <c:spPr>
            <a:solidFill>
              <a:schemeClr val="accent4"/>
            </a:solidFill>
            <a:ln>
              <a:noFill/>
            </a:ln>
            <a:effectLst/>
          </c:spPr>
          <c:invertIfNegative val="0"/>
          <c:dLbls>
            <c:dLbl>
              <c:idx val="0"/>
              <c:layout/>
              <c:tx>
                <c:rich>
                  <a:bodyPr/>
                  <a:lstStyle/>
                  <a:p>
                    <a:r>
                      <a:rPr lang="en-US"/>
                      <a:t>30&lt;40%</a:t>
                    </a:r>
                  </a:p>
                </c:rich>
              </c:tx>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4-1EA1-4698-A3CC-772EF1431EA7}"/>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Lit>
              <c:formatCode>General</c:formatCode>
              <c:ptCount val="1"/>
              <c:pt idx="0">
                <c:v>1</c:v>
              </c:pt>
            </c:numLit>
          </c:val>
          <c:extLst>
            <c:ext xmlns:c16="http://schemas.microsoft.com/office/drawing/2014/chart" uri="{C3380CC4-5D6E-409C-BE32-E72D297353CC}">
              <c16:uniqueId val="{00000003-1EA1-4698-A3CC-772EF1431EA7}"/>
            </c:ext>
          </c:extLst>
        </c:ser>
        <c:ser>
          <c:idx val="4"/>
          <c:order val="4"/>
          <c:spPr>
            <a:solidFill>
              <a:schemeClr val="accent5"/>
            </a:solidFill>
            <a:ln>
              <a:noFill/>
            </a:ln>
            <a:effectLst/>
          </c:spPr>
          <c:invertIfNegative val="0"/>
          <c:dLbls>
            <c:dLbl>
              <c:idx val="0"/>
              <c:layout/>
              <c:tx>
                <c:rich>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r>
                      <a:rPr lang="en-US" sz="800">
                        <a:solidFill>
                          <a:schemeClr val="bg1"/>
                        </a:solidFill>
                      </a:rPr>
                      <a:t>40&lt;50%</a:t>
                    </a:r>
                  </a:p>
                </c:rich>
              </c:tx>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3-1EA1-4698-A3CC-772EF1431EA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Lit>
              <c:formatCode>General</c:formatCode>
              <c:ptCount val="1"/>
              <c:pt idx="0">
                <c:v>1</c:v>
              </c:pt>
            </c:numLit>
          </c:val>
          <c:extLst>
            <c:ext xmlns:c16="http://schemas.microsoft.com/office/drawing/2014/chart" uri="{C3380CC4-5D6E-409C-BE32-E72D297353CC}">
              <c16:uniqueId val="{00000004-1EA1-4698-A3CC-772EF1431EA7}"/>
            </c:ext>
          </c:extLst>
        </c:ser>
        <c:ser>
          <c:idx val="5"/>
          <c:order val="5"/>
          <c:spPr>
            <a:solidFill>
              <a:schemeClr val="accent6"/>
            </a:solidFill>
            <a:ln>
              <a:noFill/>
            </a:ln>
            <a:effectLst/>
          </c:spPr>
          <c:invertIfNegative val="0"/>
          <c:dLbls>
            <c:dLbl>
              <c:idx val="0"/>
              <c:layout/>
              <c:tx>
                <c:rich>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r>
                      <a:rPr lang="en-US" sz="800">
                        <a:solidFill>
                          <a:schemeClr val="bg1"/>
                        </a:solidFill>
                      </a:rPr>
                      <a:t>50&lt;60%</a:t>
                    </a:r>
                  </a:p>
                </c:rich>
              </c:tx>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2-1EA1-4698-A3CC-772EF1431EA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Lit>
              <c:formatCode>General</c:formatCode>
              <c:ptCount val="1"/>
              <c:pt idx="0">
                <c:v>1</c:v>
              </c:pt>
            </c:numLit>
          </c:val>
          <c:extLst>
            <c:ext xmlns:c16="http://schemas.microsoft.com/office/drawing/2014/chart" uri="{C3380CC4-5D6E-409C-BE32-E72D297353CC}">
              <c16:uniqueId val="{00000005-1EA1-4698-A3CC-772EF1431EA7}"/>
            </c:ext>
          </c:extLst>
        </c:ser>
        <c:ser>
          <c:idx val="6"/>
          <c:order val="6"/>
          <c:spPr>
            <a:solidFill>
              <a:schemeClr val="accent1">
                <a:lumMod val="60000"/>
              </a:schemeClr>
            </a:solidFill>
            <a:ln>
              <a:noFill/>
            </a:ln>
            <a:effectLst/>
          </c:spPr>
          <c:invertIfNegative val="0"/>
          <c:dLbls>
            <c:dLbl>
              <c:idx val="0"/>
              <c:layout/>
              <c:tx>
                <c:rich>
                  <a:bodyPr/>
                  <a:lstStyle/>
                  <a:p>
                    <a:r>
                      <a:rPr lang="en-US"/>
                      <a:t>60-70%</a:t>
                    </a:r>
                  </a:p>
                </c:rich>
              </c:tx>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1-1EA1-4698-A3CC-772EF1431EA7}"/>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Lit>
              <c:formatCode>General</c:formatCode>
              <c:ptCount val="1"/>
              <c:pt idx="0">
                <c:v>1</c:v>
              </c:pt>
            </c:numLit>
          </c:val>
          <c:extLst>
            <c:ext xmlns:c16="http://schemas.microsoft.com/office/drawing/2014/chart" uri="{C3380CC4-5D6E-409C-BE32-E72D297353CC}">
              <c16:uniqueId val="{00000006-1EA1-4698-A3CC-772EF1431EA7}"/>
            </c:ext>
          </c:extLst>
        </c:ser>
        <c:ser>
          <c:idx val="7"/>
          <c:order val="7"/>
          <c:spPr>
            <a:solidFill>
              <a:schemeClr val="accent2">
                <a:lumMod val="60000"/>
              </a:schemeClr>
            </a:solidFill>
            <a:ln>
              <a:noFill/>
            </a:ln>
            <a:effectLst/>
          </c:spPr>
          <c:invertIfNegative val="0"/>
          <c:dLbls>
            <c:dLbl>
              <c:idx val="0"/>
              <c:layout/>
              <c:tx>
                <c:rich>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r>
                      <a:rPr lang="en-US" sz="800">
                        <a:solidFill>
                          <a:schemeClr val="bg1"/>
                        </a:solidFill>
                      </a:rPr>
                      <a:t>70&lt;80%</a:t>
                    </a:r>
                  </a:p>
                </c:rich>
              </c:tx>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0-1EA1-4698-A3CC-772EF1431EA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Lit>
              <c:formatCode>General</c:formatCode>
              <c:ptCount val="1"/>
              <c:pt idx="0">
                <c:v>1</c:v>
              </c:pt>
            </c:numLit>
          </c:val>
          <c:extLst>
            <c:ext xmlns:c16="http://schemas.microsoft.com/office/drawing/2014/chart" uri="{C3380CC4-5D6E-409C-BE32-E72D297353CC}">
              <c16:uniqueId val="{00000007-1EA1-4698-A3CC-772EF1431EA7}"/>
            </c:ext>
          </c:extLst>
        </c:ser>
        <c:ser>
          <c:idx val="8"/>
          <c:order val="8"/>
          <c:spPr>
            <a:solidFill>
              <a:schemeClr val="accent3">
                <a:lumMod val="60000"/>
              </a:schemeClr>
            </a:solidFill>
            <a:ln>
              <a:noFill/>
            </a:ln>
            <a:effectLst/>
          </c:spPr>
          <c:invertIfNegative val="0"/>
          <c:dLbls>
            <c:dLbl>
              <c:idx val="0"/>
              <c:layout/>
              <c:tx>
                <c:rich>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r>
                      <a:rPr lang="en-US" sz="800" b="1">
                        <a:solidFill>
                          <a:schemeClr val="bg1"/>
                        </a:solidFill>
                      </a:rPr>
                      <a:t>80&lt;90%</a:t>
                    </a:r>
                  </a:p>
                </c:rich>
              </c:tx>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F-1EA1-4698-A3CC-772EF1431EA7}"/>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Lit>
              <c:formatCode>General</c:formatCode>
              <c:ptCount val="1"/>
              <c:pt idx="0">
                <c:v>1</c:v>
              </c:pt>
            </c:numLit>
          </c:val>
          <c:extLst>
            <c:ext xmlns:c16="http://schemas.microsoft.com/office/drawing/2014/chart" uri="{C3380CC4-5D6E-409C-BE32-E72D297353CC}">
              <c16:uniqueId val="{00000008-1EA1-4698-A3CC-772EF1431EA7}"/>
            </c:ext>
          </c:extLst>
        </c:ser>
        <c:ser>
          <c:idx val="9"/>
          <c:order val="9"/>
          <c:spPr>
            <a:solidFill>
              <a:schemeClr val="accent4">
                <a:lumMod val="60000"/>
              </a:schemeClr>
            </a:solidFill>
            <a:ln>
              <a:noFill/>
            </a:ln>
            <a:effectLst/>
          </c:spPr>
          <c:invertIfNegative val="0"/>
          <c:dLbls>
            <c:dLbl>
              <c:idx val="0"/>
              <c:layout/>
              <c:tx>
                <c:rich>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r>
                      <a:rPr lang="en-US" sz="800" b="1">
                        <a:solidFill>
                          <a:schemeClr val="bg1"/>
                        </a:solidFill>
                      </a:rPr>
                      <a:t>90%+</a:t>
                    </a:r>
                  </a:p>
                </c:rich>
              </c:tx>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E-1EA1-4698-A3CC-772EF1431EA7}"/>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Lit>
              <c:formatCode>General</c:formatCode>
              <c:ptCount val="1"/>
              <c:pt idx="0">
                <c:v>1</c:v>
              </c:pt>
            </c:numLit>
          </c:val>
          <c:extLst>
            <c:ext xmlns:c16="http://schemas.microsoft.com/office/drawing/2014/chart" uri="{C3380CC4-5D6E-409C-BE32-E72D297353CC}">
              <c16:uniqueId val="{00000009-1EA1-4698-A3CC-772EF1431EA7}"/>
            </c:ext>
          </c:extLst>
        </c:ser>
        <c:dLbls>
          <c:showLegendKey val="0"/>
          <c:showVal val="0"/>
          <c:showCatName val="0"/>
          <c:showSerName val="0"/>
          <c:showPercent val="0"/>
          <c:showBubbleSize val="0"/>
        </c:dLbls>
        <c:gapWidth val="150"/>
        <c:overlap val="100"/>
        <c:axId val="550391808"/>
        <c:axId val="550399680"/>
      </c:barChart>
      <c:barChart>
        <c:barDir val="bar"/>
        <c:grouping val="stacked"/>
        <c:varyColors val="0"/>
        <c:ser>
          <c:idx val="10"/>
          <c:order val="10"/>
          <c:spPr>
            <a:solidFill>
              <a:schemeClr val="accent5">
                <a:lumMod val="60000"/>
              </a:schemeClr>
            </a:solidFill>
            <a:ln>
              <a:noFill/>
            </a:ln>
            <a:effectLst/>
          </c:spPr>
          <c:invertIfNegative val="0"/>
          <c:dPt>
            <c:idx val="0"/>
            <c:invertIfNegative val="0"/>
            <c:bubble3D val="0"/>
            <c:spPr>
              <a:noFill/>
              <a:ln>
                <a:noFill/>
              </a:ln>
              <a:effectLst/>
            </c:spPr>
            <c:extLst>
              <c:ext xmlns:c16="http://schemas.microsoft.com/office/drawing/2014/chart" uri="{C3380CC4-5D6E-409C-BE32-E72D297353CC}">
                <c16:uniqueId val="{0000000C-1EA1-4698-A3CC-772EF1431EA7}"/>
              </c:ext>
            </c:extLst>
          </c:dPt>
          <c:val>
            <c:numRef>
              <c:f>[0]!ESL_Range</c:f>
              <c:numCache>
                <c:formatCode>General</c:formatCode>
                <c:ptCount val="1"/>
                <c:pt idx="0">
                  <c:v>0</c:v>
                </c:pt>
              </c:numCache>
            </c:numRef>
          </c:val>
          <c:extLst>
            <c:ext xmlns:c16="http://schemas.microsoft.com/office/drawing/2014/chart" uri="{C3380CC4-5D6E-409C-BE32-E72D297353CC}">
              <c16:uniqueId val="{0000000A-1EA1-4698-A3CC-772EF1431EA7}"/>
            </c:ext>
          </c:extLst>
        </c:ser>
        <c:ser>
          <c:idx val="11"/>
          <c:order val="11"/>
          <c:spPr>
            <a:solidFill>
              <a:schemeClr val="tx2">
                <a:alpha val="22000"/>
              </a:schemeClr>
            </a:solidFill>
            <a:ln w="47625">
              <a:solidFill>
                <a:srgbClr val="3366FF"/>
              </a:solidFill>
            </a:ln>
            <a:effectLst/>
          </c:spPr>
          <c:invertIfNegative val="0"/>
          <c:val>
            <c:numRef>
              <c:f>[0]!ESLMarkerWidth</c:f>
              <c:numCache>
                <c:formatCode>General</c:formatCode>
                <c:ptCount val="1"/>
                <c:pt idx="0">
                  <c:v>0</c:v>
                </c:pt>
              </c:numCache>
            </c:numRef>
          </c:val>
          <c:extLst>
            <c:ext xmlns:c16="http://schemas.microsoft.com/office/drawing/2014/chart" uri="{C3380CC4-5D6E-409C-BE32-E72D297353CC}">
              <c16:uniqueId val="{0000000D-1EA1-4698-A3CC-772EF1431EA7}"/>
            </c:ext>
          </c:extLst>
        </c:ser>
        <c:dLbls>
          <c:showLegendKey val="0"/>
          <c:showVal val="0"/>
          <c:showCatName val="0"/>
          <c:showSerName val="0"/>
          <c:showPercent val="0"/>
          <c:showBubbleSize val="0"/>
        </c:dLbls>
        <c:gapWidth val="0"/>
        <c:overlap val="100"/>
        <c:axId val="550416080"/>
        <c:axId val="550420016"/>
      </c:barChart>
      <c:catAx>
        <c:axId val="550391808"/>
        <c:scaling>
          <c:orientation val="minMax"/>
        </c:scaling>
        <c:delete val="1"/>
        <c:axPos val="l"/>
        <c:majorTickMark val="none"/>
        <c:minorTickMark val="none"/>
        <c:tickLblPos val="nextTo"/>
        <c:crossAx val="550399680"/>
        <c:crosses val="autoZero"/>
        <c:auto val="1"/>
        <c:lblAlgn val="ctr"/>
        <c:lblOffset val="100"/>
        <c:noMultiLvlLbl val="0"/>
      </c:catAx>
      <c:valAx>
        <c:axId val="550399680"/>
        <c:scaling>
          <c:orientation val="minMax"/>
          <c:max val="10"/>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50391808"/>
        <c:crosses val="autoZero"/>
        <c:crossBetween val="between"/>
        <c:majorUnit val="1"/>
      </c:valAx>
      <c:valAx>
        <c:axId val="550420016"/>
        <c:scaling>
          <c:orientation val="minMax"/>
          <c:max val="10"/>
        </c:scaling>
        <c:delete val="1"/>
        <c:axPos val="t"/>
        <c:numFmt formatCode="General" sourceLinked="1"/>
        <c:majorTickMark val="out"/>
        <c:minorTickMark val="none"/>
        <c:tickLblPos val="nextTo"/>
        <c:crossAx val="550416080"/>
        <c:crosses val="max"/>
        <c:crossBetween val="between"/>
        <c:majorUnit val="1"/>
      </c:valAx>
      <c:catAx>
        <c:axId val="550416080"/>
        <c:scaling>
          <c:orientation val="minMax"/>
        </c:scaling>
        <c:delete val="1"/>
        <c:axPos val="l"/>
        <c:majorTickMark val="out"/>
        <c:minorTickMark val="none"/>
        <c:tickLblPos val="nextTo"/>
        <c:crossAx val="550420016"/>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Poverty (District)</a:t>
            </a:r>
          </a:p>
        </c:rich>
      </c:tx>
      <c:layout>
        <c:manualLayout>
          <c:xMode val="edge"/>
          <c:yMode val="edge"/>
          <c:x val="0.34975934025273459"/>
          <c:y val="0"/>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960175291047802E-3"/>
          <c:y val="0.29413419476411601"/>
          <c:w val="0.98187355087747452"/>
          <c:h val="0.66082549807856295"/>
        </c:manualLayout>
      </c:layout>
      <c:barChart>
        <c:barDir val="bar"/>
        <c:grouping val="stacked"/>
        <c:varyColors val="0"/>
        <c:ser>
          <c:idx val="0"/>
          <c:order val="0"/>
          <c:spPr>
            <a:solidFill>
              <a:schemeClr val="accent1"/>
            </a:solidFill>
            <a:ln>
              <a:noFill/>
            </a:ln>
            <a:effectLst/>
          </c:spPr>
          <c:invertIfNegative val="0"/>
          <c:dLbls>
            <c:dLbl>
              <c:idx val="0"/>
              <c:layout/>
              <c:tx>
                <c:rich>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r>
                      <a:rPr lang="en-US" sz="800" b="1">
                        <a:solidFill>
                          <a:schemeClr val="bg1"/>
                        </a:solidFill>
                      </a:rPr>
                      <a:t>&lt;10%</a:t>
                    </a:r>
                  </a:p>
                </c:rich>
              </c:tx>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0-085C-43FF-B26D-7D1249608A3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Lit>
              <c:formatCode>General</c:formatCode>
              <c:ptCount val="1"/>
              <c:pt idx="0">
                <c:v>1</c:v>
              </c:pt>
            </c:numLit>
          </c:val>
          <c:extLst>
            <c:ext xmlns:c16="http://schemas.microsoft.com/office/drawing/2014/chart" uri="{C3380CC4-5D6E-409C-BE32-E72D297353CC}">
              <c16:uniqueId val="{00000001-085C-43FF-B26D-7D1249608A3E}"/>
            </c:ext>
          </c:extLst>
        </c:ser>
        <c:ser>
          <c:idx val="1"/>
          <c:order val="1"/>
          <c:spPr>
            <a:solidFill>
              <a:schemeClr val="accent2"/>
            </a:solidFill>
            <a:ln>
              <a:noFill/>
            </a:ln>
            <a:effectLst/>
          </c:spPr>
          <c:invertIfNegative val="0"/>
          <c:dLbls>
            <c:dLbl>
              <c:idx val="0"/>
              <c:layout/>
              <c:tx>
                <c:rich>
                  <a:bodyPr/>
                  <a:lstStyle/>
                  <a:p>
                    <a:r>
                      <a:rPr lang="en-US"/>
                      <a:t>10&lt;20%</a:t>
                    </a:r>
                  </a:p>
                </c:rich>
              </c:tx>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2-085C-43FF-B26D-7D1249608A3E}"/>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Lit>
              <c:formatCode>General</c:formatCode>
              <c:ptCount val="1"/>
              <c:pt idx="0">
                <c:v>1</c:v>
              </c:pt>
            </c:numLit>
          </c:val>
          <c:extLst>
            <c:ext xmlns:c16="http://schemas.microsoft.com/office/drawing/2014/chart" uri="{C3380CC4-5D6E-409C-BE32-E72D297353CC}">
              <c16:uniqueId val="{00000003-085C-43FF-B26D-7D1249608A3E}"/>
            </c:ext>
          </c:extLst>
        </c:ser>
        <c:ser>
          <c:idx val="2"/>
          <c:order val="2"/>
          <c:spPr>
            <a:solidFill>
              <a:schemeClr val="accent3"/>
            </a:solidFill>
            <a:ln>
              <a:noFill/>
            </a:ln>
            <a:effectLst/>
          </c:spPr>
          <c:invertIfNegative val="0"/>
          <c:dLbls>
            <c:dLbl>
              <c:idx val="0"/>
              <c:layout/>
              <c:tx>
                <c:rich>
                  <a:bodyPr/>
                  <a:lstStyle/>
                  <a:p>
                    <a:r>
                      <a:rPr lang="en-US"/>
                      <a:t>20&lt;30%</a:t>
                    </a:r>
                  </a:p>
                </c:rich>
              </c:tx>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4-085C-43FF-B26D-7D1249608A3E}"/>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Lit>
              <c:formatCode>General</c:formatCode>
              <c:ptCount val="1"/>
              <c:pt idx="0">
                <c:v>1</c:v>
              </c:pt>
            </c:numLit>
          </c:val>
          <c:extLst>
            <c:ext xmlns:c16="http://schemas.microsoft.com/office/drawing/2014/chart" uri="{C3380CC4-5D6E-409C-BE32-E72D297353CC}">
              <c16:uniqueId val="{00000005-085C-43FF-B26D-7D1249608A3E}"/>
            </c:ext>
          </c:extLst>
        </c:ser>
        <c:ser>
          <c:idx val="3"/>
          <c:order val="3"/>
          <c:spPr>
            <a:solidFill>
              <a:schemeClr val="accent4"/>
            </a:solidFill>
            <a:ln>
              <a:noFill/>
            </a:ln>
            <a:effectLst/>
          </c:spPr>
          <c:invertIfNegative val="0"/>
          <c:dLbls>
            <c:dLbl>
              <c:idx val="0"/>
              <c:layout/>
              <c:tx>
                <c:rich>
                  <a:bodyPr/>
                  <a:lstStyle/>
                  <a:p>
                    <a:r>
                      <a:rPr lang="en-US"/>
                      <a:t>30&lt;40%</a:t>
                    </a:r>
                  </a:p>
                </c:rich>
              </c:tx>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6-085C-43FF-B26D-7D1249608A3E}"/>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Lit>
              <c:formatCode>General</c:formatCode>
              <c:ptCount val="1"/>
              <c:pt idx="0">
                <c:v>1</c:v>
              </c:pt>
            </c:numLit>
          </c:val>
          <c:extLst>
            <c:ext xmlns:c16="http://schemas.microsoft.com/office/drawing/2014/chart" uri="{C3380CC4-5D6E-409C-BE32-E72D297353CC}">
              <c16:uniqueId val="{00000007-085C-43FF-B26D-7D1249608A3E}"/>
            </c:ext>
          </c:extLst>
        </c:ser>
        <c:ser>
          <c:idx val="4"/>
          <c:order val="4"/>
          <c:spPr>
            <a:solidFill>
              <a:schemeClr val="accent5"/>
            </a:solidFill>
            <a:ln>
              <a:noFill/>
            </a:ln>
            <a:effectLst/>
          </c:spPr>
          <c:invertIfNegative val="0"/>
          <c:dLbls>
            <c:dLbl>
              <c:idx val="0"/>
              <c:layout/>
              <c:tx>
                <c:rich>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r>
                      <a:rPr lang="en-US" sz="800">
                        <a:solidFill>
                          <a:schemeClr val="bg1"/>
                        </a:solidFill>
                      </a:rPr>
                      <a:t>40&lt;50%</a:t>
                    </a:r>
                  </a:p>
                </c:rich>
              </c:tx>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8-085C-43FF-B26D-7D1249608A3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Lit>
              <c:formatCode>General</c:formatCode>
              <c:ptCount val="1"/>
              <c:pt idx="0">
                <c:v>1</c:v>
              </c:pt>
            </c:numLit>
          </c:val>
          <c:extLst>
            <c:ext xmlns:c16="http://schemas.microsoft.com/office/drawing/2014/chart" uri="{C3380CC4-5D6E-409C-BE32-E72D297353CC}">
              <c16:uniqueId val="{00000009-085C-43FF-B26D-7D1249608A3E}"/>
            </c:ext>
          </c:extLst>
        </c:ser>
        <c:ser>
          <c:idx val="5"/>
          <c:order val="5"/>
          <c:spPr>
            <a:solidFill>
              <a:schemeClr val="accent6"/>
            </a:solidFill>
            <a:ln>
              <a:noFill/>
            </a:ln>
            <a:effectLst/>
          </c:spPr>
          <c:invertIfNegative val="0"/>
          <c:dLbls>
            <c:dLbl>
              <c:idx val="0"/>
              <c:layout/>
              <c:tx>
                <c:rich>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r>
                      <a:rPr lang="en-US" sz="800">
                        <a:solidFill>
                          <a:schemeClr val="bg1"/>
                        </a:solidFill>
                      </a:rPr>
                      <a:t>50&lt;60%</a:t>
                    </a:r>
                  </a:p>
                </c:rich>
              </c:tx>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A-085C-43FF-B26D-7D1249608A3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Lit>
              <c:formatCode>General</c:formatCode>
              <c:ptCount val="1"/>
              <c:pt idx="0">
                <c:v>1</c:v>
              </c:pt>
            </c:numLit>
          </c:val>
          <c:extLst>
            <c:ext xmlns:c16="http://schemas.microsoft.com/office/drawing/2014/chart" uri="{C3380CC4-5D6E-409C-BE32-E72D297353CC}">
              <c16:uniqueId val="{0000000B-085C-43FF-B26D-7D1249608A3E}"/>
            </c:ext>
          </c:extLst>
        </c:ser>
        <c:ser>
          <c:idx val="6"/>
          <c:order val="6"/>
          <c:spPr>
            <a:solidFill>
              <a:schemeClr val="accent1">
                <a:lumMod val="60000"/>
              </a:schemeClr>
            </a:solidFill>
            <a:ln>
              <a:noFill/>
            </a:ln>
            <a:effectLst/>
          </c:spPr>
          <c:invertIfNegative val="0"/>
          <c:dLbls>
            <c:dLbl>
              <c:idx val="0"/>
              <c:layout/>
              <c:tx>
                <c:rich>
                  <a:bodyPr/>
                  <a:lstStyle/>
                  <a:p>
                    <a:r>
                      <a:rPr lang="en-US"/>
                      <a:t>60-70%</a:t>
                    </a:r>
                  </a:p>
                </c:rich>
              </c:tx>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C-085C-43FF-B26D-7D1249608A3E}"/>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Lit>
              <c:formatCode>General</c:formatCode>
              <c:ptCount val="1"/>
              <c:pt idx="0">
                <c:v>1</c:v>
              </c:pt>
            </c:numLit>
          </c:val>
          <c:extLst>
            <c:ext xmlns:c16="http://schemas.microsoft.com/office/drawing/2014/chart" uri="{C3380CC4-5D6E-409C-BE32-E72D297353CC}">
              <c16:uniqueId val="{0000000D-085C-43FF-B26D-7D1249608A3E}"/>
            </c:ext>
          </c:extLst>
        </c:ser>
        <c:ser>
          <c:idx val="7"/>
          <c:order val="7"/>
          <c:spPr>
            <a:solidFill>
              <a:schemeClr val="accent2">
                <a:lumMod val="60000"/>
              </a:schemeClr>
            </a:solidFill>
            <a:ln>
              <a:noFill/>
            </a:ln>
            <a:effectLst/>
          </c:spPr>
          <c:invertIfNegative val="0"/>
          <c:dLbls>
            <c:dLbl>
              <c:idx val="0"/>
              <c:layout/>
              <c:tx>
                <c:rich>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r>
                      <a:rPr lang="en-US" sz="800">
                        <a:solidFill>
                          <a:schemeClr val="bg1"/>
                        </a:solidFill>
                      </a:rPr>
                      <a:t>70&lt;80%</a:t>
                    </a:r>
                  </a:p>
                </c:rich>
              </c:tx>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E-085C-43FF-B26D-7D1249608A3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Lit>
              <c:formatCode>General</c:formatCode>
              <c:ptCount val="1"/>
              <c:pt idx="0">
                <c:v>1</c:v>
              </c:pt>
            </c:numLit>
          </c:val>
          <c:extLst>
            <c:ext xmlns:c16="http://schemas.microsoft.com/office/drawing/2014/chart" uri="{C3380CC4-5D6E-409C-BE32-E72D297353CC}">
              <c16:uniqueId val="{0000000F-085C-43FF-B26D-7D1249608A3E}"/>
            </c:ext>
          </c:extLst>
        </c:ser>
        <c:ser>
          <c:idx val="8"/>
          <c:order val="8"/>
          <c:spPr>
            <a:solidFill>
              <a:schemeClr val="accent3">
                <a:lumMod val="60000"/>
              </a:schemeClr>
            </a:solidFill>
            <a:ln>
              <a:noFill/>
            </a:ln>
            <a:effectLst/>
          </c:spPr>
          <c:invertIfNegative val="0"/>
          <c:dLbls>
            <c:dLbl>
              <c:idx val="0"/>
              <c:layout/>
              <c:tx>
                <c:rich>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r>
                      <a:rPr lang="en-US" sz="800" b="1">
                        <a:solidFill>
                          <a:schemeClr val="bg1"/>
                        </a:solidFill>
                      </a:rPr>
                      <a:t>80&lt;90%</a:t>
                    </a:r>
                  </a:p>
                </c:rich>
              </c:tx>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0-085C-43FF-B26D-7D1249608A3E}"/>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Lit>
              <c:formatCode>General</c:formatCode>
              <c:ptCount val="1"/>
              <c:pt idx="0">
                <c:v>1</c:v>
              </c:pt>
            </c:numLit>
          </c:val>
          <c:extLst>
            <c:ext xmlns:c16="http://schemas.microsoft.com/office/drawing/2014/chart" uri="{C3380CC4-5D6E-409C-BE32-E72D297353CC}">
              <c16:uniqueId val="{00000011-085C-43FF-B26D-7D1249608A3E}"/>
            </c:ext>
          </c:extLst>
        </c:ser>
        <c:ser>
          <c:idx val="9"/>
          <c:order val="9"/>
          <c:spPr>
            <a:solidFill>
              <a:schemeClr val="accent4">
                <a:lumMod val="60000"/>
              </a:schemeClr>
            </a:solidFill>
            <a:ln>
              <a:noFill/>
            </a:ln>
            <a:effectLst/>
          </c:spPr>
          <c:invertIfNegative val="0"/>
          <c:dLbls>
            <c:dLbl>
              <c:idx val="0"/>
              <c:layout/>
              <c:tx>
                <c:rich>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r>
                      <a:rPr lang="en-US" sz="800" b="1">
                        <a:solidFill>
                          <a:schemeClr val="bg1"/>
                        </a:solidFill>
                      </a:rPr>
                      <a:t>90%+</a:t>
                    </a:r>
                  </a:p>
                </c:rich>
              </c:tx>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2-085C-43FF-B26D-7D1249608A3E}"/>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Lit>
              <c:formatCode>General</c:formatCode>
              <c:ptCount val="1"/>
              <c:pt idx="0">
                <c:v>1</c:v>
              </c:pt>
            </c:numLit>
          </c:val>
          <c:extLst>
            <c:ext xmlns:c16="http://schemas.microsoft.com/office/drawing/2014/chart" uri="{C3380CC4-5D6E-409C-BE32-E72D297353CC}">
              <c16:uniqueId val="{00000013-085C-43FF-B26D-7D1249608A3E}"/>
            </c:ext>
          </c:extLst>
        </c:ser>
        <c:dLbls>
          <c:showLegendKey val="0"/>
          <c:showVal val="0"/>
          <c:showCatName val="0"/>
          <c:showSerName val="0"/>
          <c:showPercent val="0"/>
          <c:showBubbleSize val="0"/>
        </c:dLbls>
        <c:gapWidth val="150"/>
        <c:overlap val="100"/>
        <c:axId val="550391808"/>
        <c:axId val="550399680"/>
      </c:barChart>
      <c:barChart>
        <c:barDir val="bar"/>
        <c:grouping val="stacked"/>
        <c:varyColors val="0"/>
        <c:ser>
          <c:idx val="10"/>
          <c:order val="10"/>
          <c:spPr>
            <a:solidFill>
              <a:schemeClr val="accent5">
                <a:lumMod val="60000"/>
              </a:schemeClr>
            </a:solidFill>
            <a:ln>
              <a:noFill/>
            </a:ln>
            <a:effectLst/>
          </c:spPr>
          <c:invertIfNegative val="0"/>
          <c:dPt>
            <c:idx val="0"/>
            <c:invertIfNegative val="0"/>
            <c:bubble3D val="0"/>
            <c:spPr>
              <a:noFill/>
              <a:ln>
                <a:noFill/>
              </a:ln>
              <a:effectLst/>
            </c:spPr>
            <c:extLst>
              <c:ext xmlns:c16="http://schemas.microsoft.com/office/drawing/2014/chart" uri="{C3380CC4-5D6E-409C-BE32-E72D297353CC}">
                <c16:uniqueId val="{00000015-085C-43FF-B26D-7D1249608A3E}"/>
              </c:ext>
            </c:extLst>
          </c:dPt>
          <c:val>
            <c:numRef>
              <c:f>[0]!Poverty_range</c:f>
              <c:numCache>
                <c:formatCode>General</c:formatCode>
                <c:ptCount val="1"/>
                <c:pt idx="0">
                  <c:v>1.1000000000000001</c:v>
                </c:pt>
              </c:numCache>
            </c:numRef>
          </c:val>
          <c:extLst>
            <c:ext xmlns:c16="http://schemas.microsoft.com/office/drawing/2014/chart" uri="{C3380CC4-5D6E-409C-BE32-E72D297353CC}">
              <c16:uniqueId val="{00000016-085C-43FF-B26D-7D1249608A3E}"/>
            </c:ext>
          </c:extLst>
        </c:ser>
        <c:ser>
          <c:idx val="11"/>
          <c:order val="11"/>
          <c:spPr>
            <a:solidFill>
              <a:schemeClr val="tx2">
                <a:alpha val="22000"/>
              </a:schemeClr>
            </a:solidFill>
            <a:ln w="47625">
              <a:solidFill>
                <a:srgbClr val="3366FF"/>
              </a:solidFill>
            </a:ln>
            <a:effectLst/>
          </c:spPr>
          <c:invertIfNegative val="0"/>
          <c:val>
            <c:numRef>
              <c:f>[0]!Poverty_Marker_Width</c:f>
              <c:numCache>
                <c:formatCode>General</c:formatCode>
                <c:ptCount val="1"/>
                <c:pt idx="0">
                  <c:v>0.8</c:v>
                </c:pt>
              </c:numCache>
            </c:numRef>
          </c:val>
          <c:extLst>
            <c:ext xmlns:c16="http://schemas.microsoft.com/office/drawing/2014/chart" uri="{C3380CC4-5D6E-409C-BE32-E72D297353CC}">
              <c16:uniqueId val="{00000017-085C-43FF-B26D-7D1249608A3E}"/>
            </c:ext>
          </c:extLst>
        </c:ser>
        <c:dLbls>
          <c:showLegendKey val="0"/>
          <c:showVal val="0"/>
          <c:showCatName val="0"/>
          <c:showSerName val="0"/>
          <c:showPercent val="0"/>
          <c:showBubbleSize val="0"/>
        </c:dLbls>
        <c:gapWidth val="0"/>
        <c:overlap val="100"/>
        <c:axId val="550416080"/>
        <c:axId val="550420016"/>
      </c:barChart>
      <c:catAx>
        <c:axId val="550391808"/>
        <c:scaling>
          <c:orientation val="minMax"/>
        </c:scaling>
        <c:delete val="1"/>
        <c:axPos val="l"/>
        <c:majorTickMark val="none"/>
        <c:minorTickMark val="none"/>
        <c:tickLblPos val="nextTo"/>
        <c:crossAx val="550399680"/>
        <c:crosses val="autoZero"/>
        <c:auto val="1"/>
        <c:lblAlgn val="ctr"/>
        <c:lblOffset val="100"/>
        <c:noMultiLvlLbl val="0"/>
      </c:catAx>
      <c:valAx>
        <c:axId val="550399680"/>
        <c:scaling>
          <c:orientation val="minMax"/>
          <c:max val="10"/>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50391808"/>
        <c:crosses val="autoZero"/>
        <c:crossBetween val="between"/>
        <c:majorUnit val="1"/>
      </c:valAx>
      <c:valAx>
        <c:axId val="550420016"/>
        <c:scaling>
          <c:orientation val="minMax"/>
          <c:max val="10"/>
        </c:scaling>
        <c:delete val="1"/>
        <c:axPos val="t"/>
        <c:numFmt formatCode="General" sourceLinked="1"/>
        <c:majorTickMark val="out"/>
        <c:minorTickMark val="none"/>
        <c:tickLblPos val="nextTo"/>
        <c:crossAx val="550416080"/>
        <c:crosses val="max"/>
        <c:crossBetween val="between"/>
        <c:majorUnit val="1"/>
      </c:valAx>
      <c:catAx>
        <c:axId val="550416080"/>
        <c:scaling>
          <c:orientation val="minMax"/>
        </c:scaling>
        <c:delete val="1"/>
        <c:axPos val="l"/>
        <c:majorTickMark val="out"/>
        <c:minorTickMark val="none"/>
        <c:tickLblPos val="nextTo"/>
        <c:crossAx val="550420016"/>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400050</xdr:colOff>
          <xdr:row>1</xdr:row>
          <xdr:rowOff>180975</xdr:rowOff>
        </xdr:to>
        <xdr:sp macro="" textlink="">
          <xdr:nvSpPr>
            <xdr:cNvPr id="5121" name="ComboBox2" descr="School selecto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8</xdr:col>
      <xdr:colOff>419099</xdr:colOff>
      <xdr:row>6</xdr:row>
      <xdr:rowOff>57150</xdr:rowOff>
    </xdr:from>
    <xdr:to>
      <xdr:col>13</xdr:col>
      <xdr:colOff>400050</xdr:colOff>
      <xdr:row>24</xdr:row>
      <xdr:rowOff>123826</xdr:rowOff>
    </xdr:to>
    <xdr:graphicFrame macro="">
      <xdr:nvGraphicFramePr>
        <xdr:cNvPr id="4" name="Chart 3" title="Per pupil expenditure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5</xdr:col>
      <xdr:colOff>600074</xdr:colOff>
      <xdr:row>6</xdr:row>
      <xdr:rowOff>47624</xdr:rowOff>
    </xdr:from>
    <xdr:to>
      <xdr:col>8</xdr:col>
      <xdr:colOff>409574</xdr:colOff>
      <xdr:row>24</xdr:row>
      <xdr:rowOff>123825</xdr:rowOff>
    </xdr:to>
    <xdr:graphicFrame macro="">
      <xdr:nvGraphicFramePr>
        <xdr:cNvPr id="6" name="Chart 5" title="Student related expenditure breakou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76201</xdr:colOff>
      <xdr:row>6</xdr:row>
      <xdr:rowOff>38100</xdr:rowOff>
    </xdr:from>
    <xdr:to>
      <xdr:col>5</xdr:col>
      <xdr:colOff>600075</xdr:colOff>
      <xdr:row>24</xdr:row>
      <xdr:rowOff>133350</xdr:rowOff>
    </xdr:to>
    <xdr:graphicFrame macro="">
      <xdr:nvGraphicFramePr>
        <xdr:cNvPr id="7" name="Chart 6" title="Fund type breakou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5</xdr:col>
      <xdr:colOff>2438401</xdr:colOff>
      <xdr:row>0</xdr:row>
      <xdr:rowOff>104775</xdr:rowOff>
    </xdr:from>
    <xdr:to>
      <xdr:col>8</xdr:col>
      <xdr:colOff>962025</xdr:colOff>
      <xdr:row>4</xdr:row>
      <xdr:rowOff>85725</xdr:rowOff>
    </xdr:to>
    <xdr:graphicFrame macro="">
      <xdr:nvGraphicFramePr>
        <xdr:cNvPr id="9" name="Chart 8" descr="20% increments" title="Special Education Percentage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3</xdr:col>
      <xdr:colOff>438150</xdr:colOff>
      <xdr:row>0</xdr:row>
      <xdr:rowOff>104776</xdr:rowOff>
    </xdr:from>
    <xdr:to>
      <xdr:col>5</xdr:col>
      <xdr:colOff>2416418</xdr:colOff>
      <xdr:row>4</xdr:row>
      <xdr:rowOff>85726</xdr:rowOff>
    </xdr:to>
    <xdr:graphicFrame macro="">
      <xdr:nvGraphicFramePr>
        <xdr:cNvPr id="2" name="Chart 1" descr="10% increments" title="School ESL percentage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8</xdr:col>
      <xdr:colOff>981075</xdr:colOff>
      <xdr:row>0</xdr:row>
      <xdr:rowOff>104775</xdr:rowOff>
    </xdr:from>
    <xdr:to>
      <xdr:col>12</xdr:col>
      <xdr:colOff>844793</xdr:colOff>
      <xdr:row>4</xdr:row>
      <xdr:rowOff>85725</xdr:rowOff>
    </xdr:to>
    <xdr:graphicFrame macro="">
      <xdr:nvGraphicFramePr>
        <xdr:cNvPr id="11" name="Chart 10" descr="10% increments" title="District Poverty Percentage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3:T28"/>
  <sheetViews>
    <sheetView showGridLines="0" tabSelected="1" zoomScaleNormal="100" workbookViewId="0">
      <pane ySplit="6" topLeftCell="A7" activePane="bottomLeft" state="frozen"/>
      <selection pane="bottomLeft" activeCell="D34" sqref="D34"/>
    </sheetView>
  </sheetViews>
  <sheetFormatPr defaultColWidth="9.1328125" defaultRowHeight="14.25" x14ac:dyDescent="0.45"/>
  <cols>
    <col min="1" max="1" width="1.73046875" style="2" customWidth="1"/>
    <col min="2" max="2" width="47.1328125" style="2" customWidth="1"/>
    <col min="3" max="3" width="7.1328125" style="1" customWidth="1"/>
    <col min="4" max="5" width="14.73046875" style="2" customWidth="1"/>
    <col min="6" max="6" width="50.73046875" style="2" customWidth="1"/>
    <col min="7" max="8" width="14.73046875" style="2" customWidth="1"/>
    <col min="9" max="17" width="15.265625" style="2" customWidth="1"/>
    <col min="18" max="18" width="15.73046875" style="2" customWidth="1"/>
    <col min="19" max="19" width="9.1328125" style="2"/>
    <col min="20" max="20" width="13.1328125" style="2" customWidth="1"/>
    <col min="21" max="22" width="10.73046875" style="2" bestFit="1" customWidth="1"/>
    <col min="23" max="24" width="11.59765625" style="2" bestFit="1" customWidth="1"/>
    <col min="25" max="25" width="10.265625" style="2" customWidth="1"/>
    <col min="26" max="26" width="11.1328125" style="2" bestFit="1" customWidth="1"/>
    <col min="27" max="16384" width="9.1328125" style="2"/>
  </cols>
  <sheetData>
    <row r="3" spans="2:20" x14ac:dyDescent="0.45">
      <c r="B3" s="10" t="str">
        <f>"School Type:  "&amp; 'Selected Data'!F2</f>
        <v>School Type:  Regular</v>
      </c>
    </row>
    <row r="4" spans="2:20" x14ac:dyDescent="0.45">
      <c r="B4" s="10" t="str">
        <f>"Grade Band:  "&amp; 'Selected Data'!G2</f>
        <v>Grade Band:  Elementary</v>
      </c>
    </row>
    <row r="5" spans="2:20" x14ac:dyDescent="0.45">
      <c r="B5" s="10" t="str">
        <f>"Virtual Status:  "&amp;'Selected Data'!H2</f>
        <v>Virtual Status:  Not Virtual</v>
      </c>
    </row>
    <row r="6" spans="2:20" ht="15.75" customHeight="1" x14ac:dyDescent="0.55000000000000004">
      <c r="B6" s="10" t="str">
        <f>"ADMr:  "&amp;TEXT('Selected Data'!J2,"#,##0.00")</f>
        <v>ADMr:  6.39</v>
      </c>
      <c r="C6" s="8" t="str">
        <f>IF( 'Selected Data'!G2="District","Students reported with the District ID as the School.","")</f>
        <v/>
      </c>
    </row>
    <row r="12" spans="2:20" x14ac:dyDescent="0.45">
      <c r="T12" s="3"/>
    </row>
    <row r="13" spans="2:20" x14ac:dyDescent="0.45">
      <c r="T13" s="3"/>
    </row>
    <row r="26" spans="2:6" x14ac:dyDescent="0.45">
      <c r="B26" s="2" t="s">
        <v>2974</v>
      </c>
      <c r="F26" s="1" t="s">
        <v>2975</v>
      </c>
    </row>
    <row r="27" spans="2:6" x14ac:dyDescent="0.45">
      <c r="B27" s="2" t="str">
        <f>'Selected Data'!AU2</f>
        <v>No notes provided</v>
      </c>
      <c r="F27" s="2" t="str">
        <f>'Selected Data'!AV2</f>
        <v>Expenditure data incorrectly reported. No expenses reported specifically at the school; only proportional expenses reported at district are reflected.</v>
      </c>
    </row>
    <row r="28" spans="2:6" x14ac:dyDescent="0.45">
      <c r="B28" s="7"/>
    </row>
  </sheetData>
  <sheetProtection selectLockedCells="1"/>
  <pageMargins left="0.7" right="0.7" top="0.75" bottom="0.75" header="0.3" footer="0.3"/>
  <pageSetup orientation="landscape" r:id="rId1"/>
  <drawing r:id="rId2"/>
  <legacyDrawing r:id="rId3"/>
  <controls>
    <mc:AlternateContent xmlns:mc="http://schemas.openxmlformats.org/markup-compatibility/2006">
      <mc:Choice Requires="x14">
        <control shapeId="5121" r:id="rId4" name="ComboBox2">
          <controlPr autoLine="0" autoPict="0" altText="School selector" linkedCell="'Selected Data'!$A$2" listFillRange="Institution" r:id="rId5">
            <anchor moveWithCells="1">
              <from>
                <xdr:col>1</xdr:col>
                <xdr:colOff>0</xdr:colOff>
                <xdr:row>0</xdr:row>
                <xdr:rowOff>85725</xdr:rowOff>
              </from>
              <to>
                <xdr:col>3</xdr:col>
                <xdr:colOff>400050</xdr:colOff>
                <xdr:row>1</xdr:row>
                <xdr:rowOff>180975</xdr:rowOff>
              </to>
            </anchor>
          </controlPr>
        </control>
      </mc:Choice>
      <mc:Fallback>
        <control shapeId="5121" r:id="rId4" name="ComboBox2"/>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id="{5BFD1C45-8799-4957-A1E5-CB4B6896374B}">
            <xm:f xml:space="preserve"> 'Selected Data'!G2="District"</xm:f>
            <x14:dxf>
              <fill>
                <patternFill>
                  <bgColor rgb="FFFFC000"/>
                </patternFill>
              </fill>
            </x14:dxf>
          </x14:cfRule>
          <xm:sqref>B4</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V1373"/>
  <sheetViews>
    <sheetView zoomScale="95" zoomScaleNormal="95" workbookViewId="0">
      <pane xSplit="9" ySplit="1" topLeftCell="J2" activePane="bottomRight" state="frozen"/>
      <selection pane="topRight" activeCell="J1" sqref="J1"/>
      <selection pane="bottomLeft" activeCell="A2" sqref="A2"/>
      <selection pane="bottomRight"/>
    </sheetView>
  </sheetViews>
  <sheetFormatPr defaultRowHeight="14.25" x14ac:dyDescent="0.45"/>
  <cols>
    <col min="1" max="1" width="9.1328125" style="5"/>
    <col min="5" max="5" width="20.59765625" customWidth="1"/>
    <col min="10" max="13" width="11.86328125" customWidth="1"/>
    <col min="14" max="45" width="11.86328125" style="6" customWidth="1"/>
    <col min="46" max="46" width="12.1328125" style="6" bestFit="1" customWidth="1"/>
  </cols>
  <sheetData>
    <row r="1" spans="1:48" s="4" customFormat="1" x14ac:dyDescent="0.45">
      <c r="A1" s="4" t="s">
        <v>0</v>
      </c>
      <c r="B1" s="4" t="s">
        <v>2713</v>
      </c>
      <c r="C1" s="4" t="s">
        <v>1</v>
      </c>
      <c r="D1" s="4" t="s">
        <v>2714</v>
      </c>
      <c r="E1" s="4" t="s">
        <v>2</v>
      </c>
      <c r="F1" s="4" t="s">
        <v>2715</v>
      </c>
      <c r="G1" s="4" t="s">
        <v>2716</v>
      </c>
      <c r="H1" s="4" t="s">
        <v>2717</v>
      </c>
      <c r="I1" s="4" t="s">
        <v>2718</v>
      </c>
      <c r="J1" s="4" t="s">
        <v>2719</v>
      </c>
      <c r="K1" s="4" t="s">
        <v>2720</v>
      </c>
      <c r="L1" s="4" t="s">
        <v>2798</v>
      </c>
      <c r="M1" s="4" t="s">
        <v>2799</v>
      </c>
      <c r="N1" s="11" t="s">
        <v>4</v>
      </c>
      <c r="O1" s="11" t="s">
        <v>5</v>
      </c>
      <c r="P1" s="11" t="s">
        <v>6</v>
      </c>
      <c r="Q1" s="11" t="s">
        <v>7</v>
      </c>
      <c r="R1" s="11" t="s">
        <v>8</v>
      </c>
      <c r="S1" s="11" t="s">
        <v>2721</v>
      </c>
      <c r="T1" s="11" t="s">
        <v>9</v>
      </c>
      <c r="U1" s="11" t="s">
        <v>10</v>
      </c>
      <c r="V1" s="11" t="s">
        <v>2722</v>
      </c>
      <c r="W1" s="11" t="s">
        <v>2723</v>
      </c>
      <c r="X1" s="11" t="s">
        <v>2724</v>
      </c>
      <c r="Y1" s="11" t="s">
        <v>2725</v>
      </c>
      <c r="Z1" s="11" t="s">
        <v>2726</v>
      </c>
      <c r="AA1" s="11" t="s">
        <v>2727</v>
      </c>
      <c r="AB1" s="11" t="s">
        <v>2728</v>
      </c>
      <c r="AC1" s="11" t="s">
        <v>2783</v>
      </c>
      <c r="AD1" s="11" t="s">
        <v>2784</v>
      </c>
      <c r="AE1" s="11" t="s">
        <v>2785</v>
      </c>
      <c r="AF1" s="11" t="s">
        <v>2786</v>
      </c>
      <c r="AG1" s="11" t="s">
        <v>2787</v>
      </c>
      <c r="AH1" s="11" t="s">
        <v>2788</v>
      </c>
      <c r="AI1" s="11" t="s">
        <v>2789</v>
      </c>
      <c r="AJ1" s="11" t="s">
        <v>11</v>
      </c>
      <c r="AK1" s="11" t="s">
        <v>2729</v>
      </c>
      <c r="AL1" s="11" t="s">
        <v>2730</v>
      </c>
      <c r="AM1" s="11" t="s">
        <v>2731</v>
      </c>
      <c r="AN1" s="11" t="s">
        <v>2732</v>
      </c>
      <c r="AO1" s="11" t="s">
        <v>2733</v>
      </c>
      <c r="AP1" s="11" t="s">
        <v>2734</v>
      </c>
      <c r="AQ1" s="11" t="s">
        <v>2735</v>
      </c>
      <c r="AR1" s="11" t="s">
        <v>2736</v>
      </c>
      <c r="AS1" s="11" t="s">
        <v>2737</v>
      </c>
      <c r="AT1" s="11" t="s">
        <v>2738</v>
      </c>
      <c r="AU1" s="4" t="s">
        <v>2971</v>
      </c>
      <c r="AV1" s="4" t="s">
        <v>2972</v>
      </c>
    </row>
    <row r="2" spans="1:48" x14ac:dyDescent="0.45">
      <c r="A2" s="5" t="s">
        <v>12</v>
      </c>
      <c r="B2">
        <v>2063</v>
      </c>
      <c r="C2" t="s">
        <v>13</v>
      </c>
      <c r="D2">
        <v>498</v>
      </c>
      <c r="E2" t="s">
        <v>14</v>
      </c>
      <c r="F2" t="s">
        <v>2739</v>
      </c>
      <c r="G2" t="s">
        <v>2740</v>
      </c>
      <c r="H2" t="s">
        <v>2741</v>
      </c>
      <c r="I2" t="s">
        <v>2742</v>
      </c>
      <c r="J2">
        <v>6.3941176470579997</v>
      </c>
      <c r="K2">
        <v>0</v>
      </c>
      <c r="L2">
        <v>0</v>
      </c>
      <c r="M2">
        <v>2</v>
      </c>
      <c r="N2" s="6">
        <v>74117.744445399294</v>
      </c>
      <c r="O2" s="6">
        <v>17577.666752946501</v>
      </c>
      <c r="P2" s="6">
        <v>41787.471783708403</v>
      </c>
      <c r="Q2" s="6">
        <v>14187.4628102267</v>
      </c>
      <c r="R2" s="6">
        <v>49390.426112157496</v>
      </c>
      <c r="S2" s="6">
        <v>28103.3565650817</v>
      </c>
      <c r="T2" s="6">
        <v>0</v>
      </c>
      <c r="U2" s="6">
        <v>197060.77190443801</v>
      </c>
      <c r="V2" s="6">
        <v>185136.78614666901</v>
      </c>
      <c r="W2" s="6">
        <v>11923.9857577697</v>
      </c>
      <c r="X2" s="6">
        <v>0</v>
      </c>
      <c r="Y2" s="6">
        <v>0</v>
      </c>
      <c r="Z2" s="6">
        <v>0</v>
      </c>
      <c r="AA2" s="6">
        <v>0</v>
      </c>
      <c r="AB2" s="6">
        <v>0</v>
      </c>
      <c r="AC2" s="6">
        <v>27853.687973792701</v>
      </c>
      <c r="AD2" s="6">
        <v>249.66859128907601</v>
      </c>
      <c r="AE2" s="6">
        <v>0</v>
      </c>
      <c r="AF2" s="6">
        <v>0</v>
      </c>
      <c r="AG2" s="6">
        <v>0</v>
      </c>
      <c r="AH2" s="6">
        <v>0</v>
      </c>
      <c r="AI2" s="6">
        <v>0</v>
      </c>
      <c r="AJ2" s="6">
        <v>225164.12846951999</v>
      </c>
      <c r="AK2" s="6">
        <v>35214.261122192598</v>
      </c>
      <c r="AL2" s="6">
        <v>330.98244656580999</v>
      </c>
      <c r="AM2" s="6">
        <v>93035.839999999997</v>
      </c>
      <c r="AN2" s="6">
        <v>35214.261122192598</v>
      </c>
      <c r="AO2" s="6">
        <v>35214.261122192598</v>
      </c>
      <c r="AP2" s="6">
        <v>330.98244656580999</v>
      </c>
      <c r="AQ2" s="6">
        <v>93035.839999999997</v>
      </c>
      <c r="AR2" s="6">
        <v>35214.261122192598</v>
      </c>
      <c r="AS2" s="6">
        <v>35214.261122192598</v>
      </c>
      <c r="AT2" s="6">
        <v>0</v>
      </c>
      <c r="AU2" t="s">
        <v>2973</v>
      </c>
      <c r="AV2" t="s">
        <v>2976</v>
      </c>
    </row>
    <row r="3" spans="1:48" x14ac:dyDescent="0.45">
      <c r="A3" s="5" t="s">
        <v>15</v>
      </c>
      <c r="B3">
        <v>2063</v>
      </c>
      <c r="C3" t="s">
        <v>13</v>
      </c>
      <c r="D3">
        <v>2063</v>
      </c>
      <c r="E3" t="s">
        <v>13</v>
      </c>
      <c r="F3" t="s">
        <v>1</v>
      </c>
      <c r="G3" t="s">
        <v>1</v>
      </c>
      <c r="H3" t="s">
        <v>2743</v>
      </c>
      <c r="I3" t="s">
        <v>2742</v>
      </c>
      <c r="J3">
        <v>5.2289156626500004</v>
      </c>
      <c r="K3">
        <v>0</v>
      </c>
      <c r="L3">
        <v>0</v>
      </c>
      <c r="M3">
        <v>2</v>
      </c>
      <c r="N3" s="6">
        <v>60611.245554600697</v>
      </c>
      <c r="O3" s="6">
        <v>14374.4832470535</v>
      </c>
      <c r="P3" s="6">
        <v>34172.528216291597</v>
      </c>
      <c r="Q3" s="6">
        <v>11602.077189773299</v>
      </c>
      <c r="R3" s="6">
        <v>40389.9938878424</v>
      </c>
      <c r="S3" s="6">
        <v>22982.073434918198</v>
      </c>
      <c r="T3" s="6">
        <v>0</v>
      </c>
      <c r="U3" s="6">
        <v>161150.32809556101</v>
      </c>
      <c r="V3" s="6">
        <v>151399.253853331</v>
      </c>
      <c r="W3" s="6">
        <v>9751.0742422302992</v>
      </c>
      <c r="X3" s="6">
        <v>0</v>
      </c>
      <c r="Y3" s="6">
        <v>0</v>
      </c>
      <c r="Z3" s="6">
        <v>0</v>
      </c>
      <c r="AA3" s="6">
        <v>0</v>
      </c>
      <c r="AB3" s="6">
        <v>0</v>
      </c>
      <c r="AC3" s="6">
        <v>22777.902026207299</v>
      </c>
      <c r="AD3" s="6">
        <v>204.171408710924</v>
      </c>
      <c r="AE3" s="6">
        <v>0</v>
      </c>
      <c r="AF3" s="6">
        <v>0</v>
      </c>
      <c r="AG3" s="6">
        <v>0</v>
      </c>
      <c r="AH3" s="6">
        <v>0</v>
      </c>
      <c r="AI3" s="6">
        <v>0</v>
      </c>
      <c r="AJ3" s="6">
        <v>184132.40153048001</v>
      </c>
      <c r="AK3" s="6">
        <v>35214.261122192598</v>
      </c>
      <c r="AL3" s="6">
        <v>330.98244656580999</v>
      </c>
      <c r="AM3" s="6">
        <v>93035.839999999997</v>
      </c>
      <c r="AN3" s="6">
        <v>35214.261122192598</v>
      </c>
      <c r="AO3" s="6">
        <v>35214.261122192598</v>
      </c>
      <c r="AP3" s="6">
        <v>634.54287297753501</v>
      </c>
      <c r="AQ3" s="6">
        <v>40331.279999999999</v>
      </c>
      <c r="AR3" s="6">
        <v>35214.261122192598</v>
      </c>
      <c r="AS3" s="6">
        <v>35214.261122192598</v>
      </c>
      <c r="AT3" s="6">
        <v>0</v>
      </c>
      <c r="AU3" t="s">
        <v>2973</v>
      </c>
      <c r="AV3" t="s">
        <v>2977</v>
      </c>
    </row>
    <row r="4" spans="1:48" x14ac:dyDescent="0.45">
      <c r="A4" s="5" t="s">
        <v>16</v>
      </c>
      <c r="B4">
        <v>2113</v>
      </c>
      <c r="C4" t="s">
        <v>17</v>
      </c>
      <c r="D4">
        <v>707</v>
      </c>
      <c r="E4" t="s">
        <v>18</v>
      </c>
      <c r="F4" t="s">
        <v>2739</v>
      </c>
      <c r="G4" t="s">
        <v>2740</v>
      </c>
      <c r="H4" t="s">
        <v>2741</v>
      </c>
      <c r="I4" t="s">
        <v>2742</v>
      </c>
      <c r="J4">
        <v>200.73999999998</v>
      </c>
      <c r="K4">
        <v>1</v>
      </c>
      <c r="L4">
        <v>1</v>
      </c>
      <c r="M4">
        <v>2</v>
      </c>
      <c r="N4" s="6">
        <v>1327750.50456592</v>
      </c>
      <c r="O4" s="6">
        <v>287444.68818569201</v>
      </c>
      <c r="P4" s="6">
        <v>803397.69893103302</v>
      </c>
      <c r="Q4" s="6">
        <v>130028.010267836</v>
      </c>
      <c r="R4" s="6">
        <v>126134.274317453</v>
      </c>
      <c r="S4" s="6">
        <v>150498.856013607</v>
      </c>
      <c r="T4" s="6">
        <v>1386764.35</v>
      </c>
      <c r="U4" s="6">
        <v>1287990.82626793</v>
      </c>
      <c r="V4" s="6">
        <v>2318492.9964235802</v>
      </c>
      <c r="W4" s="6">
        <v>356262.17984435603</v>
      </c>
      <c r="X4" s="6">
        <v>0</v>
      </c>
      <c r="Y4" s="6">
        <v>0</v>
      </c>
      <c r="Z4" s="6">
        <v>0</v>
      </c>
      <c r="AA4" s="6">
        <v>0</v>
      </c>
      <c r="AB4" s="6">
        <v>0</v>
      </c>
      <c r="AC4" s="6">
        <v>109145.301509071</v>
      </c>
      <c r="AD4" s="6">
        <v>41353.554504535699</v>
      </c>
      <c r="AE4" s="6">
        <v>0</v>
      </c>
      <c r="AF4" s="6">
        <v>0</v>
      </c>
      <c r="AG4" s="6">
        <v>0</v>
      </c>
      <c r="AH4" s="6">
        <v>0</v>
      </c>
      <c r="AI4" s="6">
        <v>0</v>
      </c>
      <c r="AJ4" s="6">
        <v>2825254.0322815399</v>
      </c>
      <c r="AK4" s="6">
        <v>14074.1956375502</v>
      </c>
      <c r="AL4" s="6">
        <v>330.98244656580999</v>
      </c>
      <c r="AM4" s="6">
        <v>93035.839999999997</v>
      </c>
      <c r="AN4" s="6">
        <v>14074.1956375502</v>
      </c>
      <c r="AO4" s="6">
        <v>21201.517081740101</v>
      </c>
      <c r="AP4" s="6">
        <v>330.98244656580999</v>
      </c>
      <c r="AQ4" s="6">
        <v>93035.839999999997</v>
      </c>
      <c r="AR4" s="6">
        <v>14074.1956375502</v>
      </c>
      <c r="AS4" s="6">
        <v>14074.1956375502</v>
      </c>
      <c r="AT4" s="6">
        <v>0</v>
      </c>
      <c r="AU4" t="s">
        <v>2973</v>
      </c>
      <c r="AV4" t="s">
        <v>2973</v>
      </c>
    </row>
    <row r="5" spans="1:48" x14ac:dyDescent="0.45">
      <c r="A5" s="5" t="s">
        <v>19</v>
      </c>
      <c r="B5">
        <v>2113</v>
      </c>
      <c r="C5" t="s">
        <v>17</v>
      </c>
      <c r="D5">
        <v>708</v>
      </c>
      <c r="E5" t="s">
        <v>20</v>
      </c>
      <c r="F5" t="s">
        <v>2739</v>
      </c>
      <c r="G5" t="s">
        <v>2744</v>
      </c>
      <c r="H5" t="s">
        <v>2745</v>
      </c>
      <c r="I5" t="s">
        <v>2742</v>
      </c>
      <c r="J5">
        <v>88.524097142789003</v>
      </c>
      <c r="K5">
        <v>1</v>
      </c>
      <c r="L5">
        <v>1</v>
      </c>
      <c r="M5">
        <v>2</v>
      </c>
      <c r="N5" s="6">
        <v>851634.44543407997</v>
      </c>
      <c r="O5" s="6">
        <v>435570.46181430802</v>
      </c>
      <c r="P5" s="6">
        <v>410307.23106896703</v>
      </c>
      <c r="Q5" s="6">
        <v>57340.8997321641</v>
      </c>
      <c r="R5" s="6">
        <v>55623.805682547099</v>
      </c>
      <c r="S5" s="6">
        <v>66368.313986392895</v>
      </c>
      <c r="T5" s="6">
        <v>1242487.28</v>
      </c>
      <c r="U5" s="6">
        <v>567989.56373206596</v>
      </c>
      <c r="V5" s="6">
        <v>1595777.3935764199</v>
      </c>
      <c r="W5" s="6">
        <v>214699.45015564401</v>
      </c>
      <c r="X5" s="6">
        <v>0</v>
      </c>
      <c r="Y5" s="6">
        <v>0</v>
      </c>
      <c r="Z5" s="6">
        <v>0</v>
      </c>
      <c r="AA5" s="6">
        <v>0</v>
      </c>
      <c r="AB5" s="6">
        <v>0</v>
      </c>
      <c r="AC5" s="6">
        <v>48131.8584909286</v>
      </c>
      <c r="AD5" s="6">
        <v>18236.455495464299</v>
      </c>
      <c r="AE5" s="6">
        <v>0</v>
      </c>
      <c r="AF5" s="6">
        <v>0</v>
      </c>
      <c r="AG5" s="6">
        <v>0</v>
      </c>
      <c r="AH5" s="6">
        <v>0</v>
      </c>
      <c r="AI5" s="6">
        <v>0</v>
      </c>
      <c r="AJ5" s="6">
        <v>1876845.1577184601</v>
      </c>
      <c r="AK5" s="6">
        <v>21201.517081740101</v>
      </c>
      <c r="AL5" s="6">
        <v>330.98244656580999</v>
      </c>
      <c r="AM5" s="6">
        <v>93035.839999999997</v>
      </c>
      <c r="AN5" s="6">
        <v>14074.1956375502</v>
      </c>
      <c r="AO5" s="6">
        <v>21201.517081740101</v>
      </c>
      <c r="AP5" s="6">
        <v>330.98244656580999</v>
      </c>
      <c r="AQ5" s="6">
        <v>40734.411818744898</v>
      </c>
      <c r="AR5" s="6">
        <v>21201.517081740101</v>
      </c>
      <c r="AS5" s="6">
        <v>21201.517081740101</v>
      </c>
      <c r="AT5" s="6">
        <v>0</v>
      </c>
      <c r="AU5" t="s">
        <v>2973</v>
      </c>
      <c r="AV5" t="s">
        <v>2973</v>
      </c>
    </row>
    <row r="6" spans="1:48" x14ac:dyDescent="0.45">
      <c r="A6" s="5" t="s">
        <v>21</v>
      </c>
      <c r="B6">
        <v>1899</v>
      </c>
      <c r="C6" t="s">
        <v>22</v>
      </c>
      <c r="D6">
        <v>17</v>
      </c>
      <c r="E6" t="s">
        <v>23</v>
      </c>
      <c r="F6" t="s">
        <v>3</v>
      </c>
      <c r="G6" t="s">
        <v>2748</v>
      </c>
      <c r="H6" t="s">
        <v>2745</v>
      </c>
      <c r="I6" t="s">
        <v>2742</v>
      </c>
      <c r="J6">
        <v>281.82210274774002</v>
      </c>
      <c r="K6">
        <v>1</v>
      </c>
      <c r="L6">
        <v>1</v>
      </c>
      <c r="M6">
        <v>1</v>
      </c>
      <c r="N6" s="6">
        <v>1606105.35</v>
      </c>
      <c r="O6" s="6">
        <v>382639.31</v>
      </c>
      <c r="P6" s="6">
        <v>1335671.82</v>
      </c>
      <c r="Q6" s="6">
        <v>220488.35</v>
      </c>
      <c r="R6" s="6">
        <v>177565.4</v>
      </c>
      <c r="S6" s="6">
        <v>143234</v>
      </c>
      <c r="T6" s="6">
        <v>1302974.69</v>
      </c>
      <c r="U6" s="6">
        <v>2419495.54</v>
      </c>
      <c r="V6" s="6">
        <v>3377837.06</v>
      </c>
      <c r="W6" s="6">
        <v>344633.17</v>
      </c>
      <c r="X6" s="6">
        <v>0</v>
      </c>
      <c r="Y6" s="6">
        <v>0</v>
      </c>
      <c r="Z6" s="6">
        <v>0</v>
      </c>
      <c r="AA6" s="6">
        <v>0</v>
      </c>
      <c r="AB6" s="6">
        <v>0</v>
      </c>
      <c r="AC6" s="6">
        <v>143234</v>
      </c>
      <c r="AD6" s="6">
        <v>0</v>
      </c>
      <c r="AE6" s="6">
        <v>0</v>
      </c>
      <c r="AF6" s="6">
        <v>0</v>
      </c>
      <c r="AG6" s="6">
        <v>0</v>
      </c>
      <c r="AH6" s="6">
        <v>0</v>
      </c>
      <c r="AI6" s="6">
        <v>0</v>
      </c>
      <c r="AJ6" s="6">
        <v>3865704.23</v>
      </c>
      <c r="AK6" s="6">
        <v>13716.824167834</v>
      </c>
      <c r="AL6" s="6">
        <v>330.98244656580999</v>
      </c>
      <c r="AM6" s="6">
        <v>93035.839999999997</v>
      </c>
      <c r="AN6" s="6">
        <v>13716.824167834</v>
      </c>
      <c r="AO6" s="6">
        <v>13716.824167834</v>
      </c>
      <c r="AP6" s="6">
        <v>330.98244656580999</v>
      </c>
      <c r="AQ6" s="6">
        <v>56162.493707719797</v>
      </c>
      <c r="AR6" s="6">
        <v>13716.824167834</v>
      </c>
      <c r="AS6" s="6">
        <v>13716.824167834</v>
      </c>
      <c r="AT6" s="6">
        <v>0</v>
      </c>
      <c r="AU6" t="s">
        <v>2973</v>
      </c>
      <c r="AV6" t="s">
        <v>2973</v>
      </c>
    </row>
    <row r="7" spans="1:48" x14ac:dyDescent="0.45">
      <c r="A7" s="5" t="s">
        <v>24</v>
      </c>
      <c r="B7">
        <v>2252</v>
      </c>
      <c r="C7" t="s">
        <v>25</v>
      </c>
      <c r="D7">
        <v>1208</v>
      </c>
      <c r="E7" t="s">
        <v>26</v>
      </c>
      <c r="F7" t="s">
        <v>2739</v>
      </c>
      <c r="G7" t="s">
        <v>2740</v>
      </c>
      <c r="H7" t="s">
        <v>2741</v>
      </c>
      <c r="I7" t="s">
        <v>2742</v>
      </c>
      <c r="J7">
        <v>329.507352179365</v>
      </c>
      <c r="K7">
        <v>1</v>
      </c>
      <c r="L7">
        <v>1</v>
      </c>
      <c r="M7">
        <v>2</v>
      </c>
      <c r="N7" s="6">
        <v>1961485.84</v>
      </c>
      <c r="O7" s="6">
        <v>511241.890029423</v>
      </c>
      <c r="P7" s="6">
        <v>713983.320374734</v>
      </c>
      <c r="Q7" s="6">
        <v>195966.501390299</v>
      </c>
      <c r="R7" s="6">
        <v>121242.110784556</v>
      </c>
      <c r="S7" s="6">
        <v>180885.79519871101</v>
      </c>
      <c r="T7" s="6">
        <v>3022032.68</v>
      </c>
      <c r="U7" s="6">
        <v>481886.98257901199</v>
      </c>
      <c r="V7" s="6">
        <v>2976472.4419797701</v>
      </c>
      <c r="W7" s="6">
        <v>527447.22059923597</v>
      </c>
      <c r="X7" s="6">
        <v>0</v>
      </c>
      <c r="Y7" s="6">
        <v>0</v>
      </c>
      <c r="Z7" s="6">
        <v>0</v>
      </c>
      <c r="AA7" s="6">
        <v>0</v>
      </c>
      <c r="AB7" s="6">
        <v>0</v>
      </c>
      <c r="AC7" s="6">
        <v>106443.46910373399</v>
      </c>
      <c r="AD7" s="6">
        <v>74442.326094976903</v>
      </c>
      <c r="AE7" s="6">
        <v>0</v>
      </c>
      <c r="AF7" s="6">
        <v>0</v>
      </c>
      <c r="AG7" s="6">
        <v>0</v>
      </c>
      <c r="AH7" s="6">
        <v>0</v>
      </c>
      <c r="AI7" s="6">
        <v>0</v>
      </c>
      <c r="AJ7" s="6">
        <v>3684805.4577777199</v>
      </c>
      <c r="AK7" s="6">
        <v>11182.771593429999</v>
      </c>
      <c r="AL7" s="6">
        <v>330.98244656580999</v>
      </c>
      <c r="AM7" s="6">
        <v>93035.839999999997</v>
      </c>
      <c r="AN7" s="6">
        <v>2011.40512766752</v>
      </c>
      <c r="AO7" s="6">
        <v>15693.2484171428</v>
      </c>
      <c r="AP7" s="6">
        <v>330.98244656580999</v>
      </c>
      <c r="AQ7" s="6">
        <v>93035.839999999997</v>
      </c>
      <c r="AR7" s="6">
        <v>11182.771593429999</v>
      </c>
      <c r="AS7" s="6">
        <v>11182.771593429999</v>
      </c>
      <c r="AT7" s="6">
        <v>0</v>
      </c>
      <c r="AU7" t="s">
        <v>2973</v>
      </c>
      <c r="AV7" t="s">
        <v>2973</v>
      </c>
    </row>
    <row r="8" spans="1:48" x14ac:dyDescent="0.45">
      <c r="A8" s="5" t="s">
        <v>27</v>
      </c>
      <c r="B8">
        <v>2252</v>
      </c>
      <c r="C8" t="s">
        <v>25</v>
      </c>
      <c r="D8">
        <v>1210</v>
      </c>
      <c r="E8" t="s">
        <v>28</v>
      </c>
      <c r="F8" t="s">
        <v>2739</v>
      </c>
      <c r="G8" t="s">
        <v>2744</v>
      </c>
      <c r="H8" t="s">
        <v>2745</v>
      </c>
      <c r="I8" t="s">
        <v>2742</v>
      </c>
      <c r="J8">
        <v>246.23418706977401</v>
      </c>
      <c r="K8">
        <v>1</v>
      </c>
      <c r="L8">
        <v>1</v>
      </c>
      <c r="M8">
        <v>2</v>
      </c>
      <c r="N8" s="6">
        <v>1798980.43</v>
      </c>
      <c r="O8" s="6">
        <v>869153.36120386701</v>
      </c>
      <c r="P8" s="6">
        <v>819773.83791366802</v>
      </c>
      <c r="Q8" s="6">
        <v>146441.80727257801</v>
      </c>
      <c r="R8" s="6">
        <v>94692.529869870195</v>
      </c>
      <c r="S8" s="6">
        <v>135172.30021920399</v>
      </c>
      <c r="T8" s="6">
        <v>3368937.56</v>
      </c>
      <c r="U8" s="6">
        <v>360104.40625998302</v>
      </c>
      <c r="V8" s="6">
        <v>3390256.6001066901</v>
      </c>
      <c r="W8" s="6">
        <v>338785.36615329201</v>
      </c>
      <c r="X8" s="6">
        <v>0</v>
      </c>
      <c r="Y8" s="6">
        <v>0</v>
      </c>
      <c r="Z8" s="6">
        <v>0</v>
      </c>
      <c r="AA8" s="6">
        <v>0</v>
      </c>
      <c r="AB8" s="6">
        <v>0</v>
      </c>
      <c r="AC8" s="6">
        <v>79543.053926691195</v>
      </c>
      <c r="AD8" s="6">
        <v>55629.2462925129</v>
      </c>
      <c r="AE8" s="6">
        <v>0</v>
      </c>
      <c r="AF8" s="6">
        <v>0</v>
      </c>
      <c r="AG8" s="6">
        <v>0</v>
      </c>
      <c r="AH8" s="6">
        <v>0</v>
      </c>
      <c r="AI8" s="6">
        <v>0</v>
      </c>
      <c r="AJ8" s="6">
        <v>3864214.26647919</v>
      </c>
      <c r="AK8" s="6">
        <v>15693.2484171428</v>
      </c>
      <c r="AL8" s="6">
        <v>330.98244656580999</v>
      </c>
      <c r="AM8" s="6">
        <v>93035.839999999997</v>
      </c>
      <c r="AN8" s="6">
        <v>2011.40512766752</v>
      </c>
      <c r="AO8" s="6">
        <v>15693.2484171428</v>
      </c>
      <c r="AP8" s="6">
        <v>330.98244656580999</v>
      </c>
      <c r="AQ8" s="6">
        <v>40734.411818744898</v>
      </c>
      <c r="AR8" s="6">
        <v>15693.2484171428</v>
      </c>
      <c r="AS8" s="6">
        <v>15693.2484171428</v>
      </c>
      <c r="AT8" s="6">
        <v>0</v>
      </c>
      <c r="AU8" t="s">
        <v>2973</v>
      </c>
      <c r="AV8" t="s">
        <v>2973</v>
      </c>
    </row>
    <row r="9" spans="1:48" x14ac:dyDescent="0.45">
      <c r="A9" s="5" t="s">
        <v>29</v>
      </c>
      <c r="B9">
        <v>2252</v>
      </c>
      <c r="C9" t="s">
        <v>25</v>
      </c>
      <c r="D9">
        <v>1209</v>
      </c>
      <c r="E9" t="s">
        <v>30</v>
      </c>
      <c r="F9" t="s">
        <v>2739</v>
      </c>
      <c r="G9" t="s">
        <v>2747</v>
      </c>
      <c r="H9" t="s">
        <v>2741</v>
      </c>
      <c r="I9" t="s">
        <v>2742</v>
      </c>
      <c r="J9">
        <v>205.88584103796899</v>
      </c>
      <c r="K9">
        <v>1</v>
      </c>
      <c r="L9">
        <v>1</v>
      </c>
      <c r="M9">
        <v>2</v>
      </c>
      <c r="N9" s="6">
        <v>1195169.8</v>
      </c>
      <c r="O9" s="6">
        <v>468225.20242916897</v>
      </c>
      <c r="P9" s="6">
        <v>468192.33489268098</v>
      </c>
      <c r="Q9" s="6">
        <v>122445.607623491</v>
      </c>
      <c r="R9" s="6">
        <v>75755.620574162502</v>
      </c>
      <c r="S9" s="6">
        <v>113022.74085840701</v>
      </c>
      <c r="T9" s="6">
        <v>2028691.47</v>
      </c>
      <c r="U9" s="6">
        <v>301097.09551950399</v>
      </c>
      <c r="V9" s="6">
        <v>2116764.8059879802</v>
      </c>
      <c r="W9" s="6">
        <v>213023.75953152799</v>
      </c>
      <c r="X9" s="6">
        <v>0</v>
      </c>
      <c r="Y9" s="6">
        <v>0</v>
      </c>
      <c r="Z9" s="6">
        <v>0</v>
      </c>
      <c r="AA9" s="6">
        <v>0</v>
      </c>
      <c r="AB9" s="6">
        <v>0</v>
      </c>
      <c r="AC9" s="6">
        <v>66508.995973758603</v>
      </c>
      <c r="AD9" s="6">
        <v>46513.744884648702</v>
      </c>
      <c r="AE9" s="6">
        <v>0</v>
      </c>
      <c r="AF9" s="6">
        <v>0</v>
      </c>
      <c r="AG9" s="6">
        <v>0</v>
      </c>
      <c r="AH9" s="6">
        <v>0</v>
      </c>
      <c r="AI9" s="6">
        <v>0</v>
      </c>
      <c r="AJ9" s="6">
        <v>2442811.3063779101</v>
      </c>
      <c r="AK9" s="6">
        <v>11864.882471094301</v>
      </c>
      <c r="AL9" s="6">
        <v>330.98244656580999</v>
      </c>
      <c r="AM9" s="6">
        <v>93035.839999999997</v>
      </c>
      <c r="AN9" s="6">
        <v>2011.40512766752</v>
      </c>
      <c r="AO9" s="6">
        <v>15693.2484171428</v>
      </c>
      <c r="AP9" s="6">
        <v>3753.1860850462999</v>
      </c>
      <c r="AQ9" s="6">
        <v>20687.885194392002</v>
      </c>
      <c r="AR9" s="6">
        <v>11864.882471094301</v>
      </c>
      <c r="AS9" s="6">
        <v>11864.882471094301</v>
      </c>
      <c r="AT9" s="6">
        <v>0</v>
      </c>
      <c r="AU9" t="s">
        <v>2973</v>
      </c>
      <c r="AV9" t="s">
        <v>2973</v>
      </c>
    </row>
    <row r="10" spans="1:48" x14ac:dyDescent="0.45">
      <c r="A10" s="5" t="s">
        <v>31</v>
      </c>
      <c r="B10">
        <v>2252</v>
      </c>
      <c r="C10" t="s">
        <v>25</v>
      </c>
      <c r="D10">
        <v>2252</v>
      </c>
      <c r="E10" t="s">
        <v>25</v>
      </c>
      <c r="F10" t="s">
        <v>1</v>
      </c>
      <c r="G10" t="s">
        <v>1</v>
      </c>
      <c r="H10" t="s">
        <v>2743</v>
      </c>
      <c r="I10" t="s">
        <v>2742</v>
      </c>
      <c r="J10">
        <v>6.3121387283230002</v>
      </c>
      <c r="K10">
        <v>0</v>
      </c>
      <c r="L10">
        <v>0</v>
      </c>
      <c r="M10">
        <v>2</v>
      </c>
      <c r="N10" s="6">
        <v>0</v>
      </c>
      <c r="O10" s="6">
        <v>76.170968944282095</v>
      </c>
      <c r="P10" s="6">
        <v>3078.4558175905699</v>
      </c>
      <c r="Q10" s="6">
        <v>3753.9913288682501</v>
      </c>
      <c r="R10" s="6">
        <v>2322.5491568705302</v>
      </c>
      <c r="S10" s="6">
        <v>3465.1009324240099</v>
      </c>
      <c r="T10" s="6">
        <v>0</v>
      </c>
      <c r="U10" s="6">
        <v>9231.1672722736203</v>
      </c>
      <c r="V10" s="6">
        <v>8392.4605893390708</v>
      </c>
      <c r="W10" s="6">
        <v>838.70668293455401</v>
      </c>
      <c r="X10" s="6">
        <v>0</v>
      </c>
      <c r="Y10" s="6">
        <v>0</v>
      </c>
      <c r="Z10" s="6">
        <v>0</v>
      </c>
      <c r="AA10" s="6">
        <v>0</v>
      </c>
      <c r="AB10" s="6">
        <v>0</v>
      </c>
      <c r="AC10" s="6">
        <v>2039.06207027816</v>
      </c>
      <c r="AD10" s="6">
        <v>1426.0388621458501</v>
      </c>
      <c r="AE10" s="6">
        <v>0</v>
      </c>
      <c r="AF10" s="6">
        <v>0</v>
      </c>
      <c r="AG10" s="6">
        <v>0</v>
      </c>
      <c r="AH10" s="6">
        <v>0</v>
      </c>
      <c r="AI10" s="6">
        <v>0</v>
      </c>
      <c r="AJ10" s="6">
        <v>12696.268204697601</v>
      </c>
      <c r="AK10" s="6">
        <v>2011.40512766752</v>
      </c>
      <c r="AL10" s="6">
        <v>330.98244656580999</v>
      </c>
      <c r="AM10" s="6">
        <v>93035.839999999997</v>
      </c>
      <c r="AN10" s="6">
        <v>2011.40512766752</v>
      </c>
      <c r="AO10" s="6">
        <v>15693.2484171428</v>
      </c>
      <c r="AP10" s="6">
        <v>634.54287297753501</v>
      </c>
      <c r="AQ10" s="6">
        <v>40331.279999999999</v>
      </c>
      <c r="AR10" s="6">
        <v>2011.40512766752</v>
      </c>
      <c r="AS10" s="6">
        <v>2011.40512766752</v>
      </c>
      <c r="AT10" s="6">
        <v>0</v>
      </c>
      <c r="AU10" t="s">
        <v>2973</v>
      </c>
      <c r="AV10" t="s">
        <v>2977</v>
      </c>
    </row>
    <row r="11" spans="1:48" x14ac:dyDescent="0.45">
      <c r="A11" s="5" t="s">
        <v>32</v>
      </c>
      <c r="B11">
        <v>2252</v>
      </c>
      <c r="C11" t="s">
        <v>25</v>
      </c>
      <c r="D11">
        <v>4505</v>
      </c>
      <c r="E11" t="s">
        <v>33</v>
      </c>
      <c r="F11" t="s">
        <v>3</v>
      </c>
      <c r="G11" t="s">
        <v>2748</v>
      </c>
      <c r="H11" t="s">
        <v>2741</v>
      </c>
      <c r="I11" t="s">
        <v>2742</v>
      </c>
      <c r="J11">
        <v>38.268904708294201</v>
      </c>
      <c r="K11">
        <v>1</v>
      </c>
      <c r="L11">
        <v>3</v>
      </c>
      <c r="M11">
        <v>2</v>
      </c>
      <c r="N11" s="6">
        <v>0</v>
      </c>
      <c r="O11" s="6">
        <v>461.80536859677301</v>
      </c>
      <c r="P11" s="6">
        <v>18663.9010013277</v>
      </c>
      <c r="Q11" s="6">
        <v>22759.502384762902</v>
      </c>
      <c r="R11" s="6">
        <v>14081.029614540999</v>
      </c>
      <c r="S11" s="6">
        <v>21008.0327912543</v>
      </c>
      <c r="T11" s="6">
        <v>0</v>
      </c>
      <c r="U11" s="6">
        <v>55966.238369228297</v>
      </c>
      <c r="V11" s="6">
        <v>50881.371336218901</v>
      </c>
      <c r="W11" s="6">
        <v>5084.8670330094701</v>
      </c>
      <c r="X11" s="6">
        <v>0</v>
      </c>
      <c r="Y11" s="6">
        <v>0</v>
      </c>
      <c r="Z11" s="6">
        <v>0</v>
      </c>
      <c r="AA11" s="6">
        <v>0</v>
      </c>
      <c r="AB11" s="6">
        <v>0</v>
      </c>
      <c r="AC11" s="6">
        <v>12362.3189255385</v>
      </c>
      <c r="AD11" s="6">
        <v>8645.7138657157902</v>
      </c>
      <c r="AE11" s="6">
        <v>0</v>
      </c>
      <c r="AF11" s="6">
        <v>0</v>
      </c>
      <c r="AG11" s="6">
        <v>0</v>
      </c>
      <c r="AH11" s="6">
        <v>0</v>
      </c>
      <c r="AI11" s="6">
        <v>0</v>
      </c>
      <c r="AJ11" s="6">
        <v>76974.271160482604</v>
      </c>
      <c r="AK11" s="6">
        <v>2011.40512766752</v>
      </c>
      <c r="AL11" s="6">
        <v>330.98244656580999</v>
      </c>
      <c r="AM11" s="6">
        <v>93035.839999999997</v>
      </c>
      <c r="AN11" s="6">
        <v>2011.40512766752</v>
      </c>
      <c r="AO11" s="6">
        <v>15693.2484171428</v>
      </c>
      <c r="AP11" s="6">
        <v>330.98244656580999</v>
      </c>
      <c r="AQ11" s="6">
        <v>56162.493707719797</v>
      </c>
      <c r="AR11" s="6">
        <v>2011.40512766752</v>
      </c>
      <c r="AS11" s="6">
        <v>2011.40512766752</v>
      </c>
      <c r="AT11" s="6">
        <v>0</v>
      </c>
      <c r="AU11" t="s">
        <v>2973</v>
      </c>
      <c r="AV11" t="s">
        <v>2976</v>
      </c>
    </row>
    <row r="12" spans="1:48" x14ac:dyDescent="0.45">
      <c r="A12" s="5" t="s">
        <v>34</v>
      </c>
      <c r="B12">
        <v>2111</v>
      </c>
      <c r="C12" t="s">
        <v>35</v>
      </c>
      <c r="D12">
        <v>705</v>
      </c>
      <c r="E12" t="s">
        <v>36</v>
      </c>
      <c r="F12" t="s">
        <v>3</v>
      </c>
      <c r="G12" t="s">
        <v>2740</v>
      </c>
      <c r="H12" t="s">
        <v>2745</v>
      </c>
      <c r="I12" t="s">
        <v>2742</v>
      </c>
      <c r="J12">
        <v>89.762195121933999</v>
      </c>
      <c r="K12">
        <v>2</v>
      </c>
      <c r="L12">
        <v>1</v>
      </c>
      <c r="M12">
        <v>2</v>
      </c>
      <c r="N12" s="6">
        <v>961103.47</v>
      </c>
      <c r="O12" s="6">
        <v>184061.15</v>
      </c>
      <c r="P12" s="6">
        <v>361579.14</v>
      </c>
      <c r="Q12" s="6">
        <v>51409.51</v>
      </c>
      <c r="R12" s="6">
        <v>235686.91</v>
      </c>
      <c r="S12" s="6">
        <v>56957.961177442099</v>
      </c>
      <c r="T12" s="6">
        <v>1793840.18</v>
      </c>
      <c r="U12" s="6">
        <v>0</v>
      </c>
      <c r="V12" s="6">
        <v>1658692.34</v>
      </c>
      <c r="W12" s="6">
        <v>135147.84</v>
      </c>
      <c r="X12" s="6">
        <v>0</v>
      </c>
      <c r="Y12" s="6">
        <v>0</v>
      </c>
      <c r="Z12" s="6">
        <v>0</v>
      </c>
      <c r="AA12" s="6">
        <v>0</v>
      </c>
      <c r="AB12" s="6">
        <v>0</v>
      </c>
      <c r="AC12" s="6">
        <v>39219.853637820001</v>
      </c>
      <c r="AD12" s="6">
        <v>17738.1075396222</v>
      </c>
      <c r="AE12" s="6">
        <v>0</v>
      </c>
      <c r="AF12" s="6">
        <v>0</v>
      </c>
      <c r="AG12" s="6">
        <v>0</v>
      </c>
      <c r="AH12" s="6">
        <v>0</v>
      </c>
      <c r="AI12" s="6">
        <v>0</v>
      </c>
      <c r="AJ12" s="6">
        <v>1850798.1411774401</v>
      </c>
      <c r="AK12" s="6">
        <v>20618.9046364485</v>
      </c>
      <c r="AL12" s="6">
        <v>330.98244656580999</v>
      </c>
      <c r="AM12" s="6">
        <v>93035.839999999997</v>
      </c>
      <c r="AN12" s="6">
        <v>634.54287297753501</v>
      </c>
      <c r="AO12" s="6">
        <v>20618.9046364485</v>
      </c>
      <c r="AP12" s="6">
        <v>330.98244656580999</v>
      </c>
      <c r="AQ12" s="6">
        <v>93035.839999999997</v>
      </c>
      <c r="AR12" s="6">
        <v>20618.9046364485</v>
      </c>
      <c r="AS12" s="6">
        <v>20618.9046364485</v>
      </c>
      <c r="AT12" s="6">
        <v>0</v>
      </c>
      <c r="AU12" t="s">
        <v>2973</v>
      </c>
      <c r="AV12" t="s">
        <v>2973</v>
      </c>
    </row>
    <row r="13" spans="1:48" x14ac:dyDescent="0.45">
      <c r="A13" s="5" t="s">
        <v>37</v>
      </c>
      <c r="B13">
        <v>2111</v>
      </c>
      <c r="C13" t="s">
        <v>35</v>
      </c>
      <c r="D13">
        <v>2111</v>
      </c>
      <c r="E13" t="s">
        <v>35</v>
      </c>
      <c r="F13" t="s">
        <v>1</v>
      </c>
      <c r="G13" t="s">
        <v>1</v>
      </c>
      <c r="H13" t="s">
        <v>2743</v>
      </c>
      <c r="I13" t="s">
        <v>2742</v>
      </c>
      <c r="J13">
        <v>13.409556997513</v>
      </c>
      <c r="K13">
        <v>1</v>
      </c>
      <c r="L13">
        <v>1</v>
      </c>
      <c r="M13">
        <v>2</v>
      </c>
      <c r="N13" s="6">
        <v>0</v>
      </c>
      <c r="O13" s="6">
        <v>0</v>
      </c>
      <c r="P13" s="6">
        <v>0</v>
      </c>
      <c r="Q13" s="6">
        <v>0</v>
      </c>
      <c r="R13" s="6">
        <v>0</v>
      </c>
      <c r="S13" s="6">
        <v>8508.9388225579096</v>
      </c>
      <c r="T13" s="6">
        <v>0</v>
      </c>
      <c r="U13" s="6">
        <v>0</v>
      </c>
      <c r="V13" s="6">
        <v>0</v>
      </c>
      <c r="W13" s="6">
        <v>0</v>
      </c>
      <c r="X13" s="6">
        <v>0</v>
      </c>
      <c r="Y13" s="6">
        <v>0</v>
      </c>
      <c r="Z13" s="6">
        <v>0</v>
      </c>
      <c r="AA13" s="6">
        <v>0</v>
      </c>
      <c r="AB13" s="6">
        <v>0</v>
      </c>
      <c r="AC13" s="6">
        <v>5859.04636218006</v>
      </c>
      <c r="AD13" s="6">
        <v>2649.8924603778501</v>
      </c>
      <c r="AE13" s="6">
        <v>0</v>
      </c>
      <c r="AF13" s="6">
        <v>0</v>
      </c>
      <c r="AG13" s="6">
        <v>0</v>
      </c>
      <c r="AH13" s="6">
        <v>0</v>
      </c>
      <c r="AI13" s="6">
        <v>0</v>
      </c>
      <c r="AJ13" s="6">
        <v>8508.9388225579096</v>
      </c>
      <c r="AK13" s="6">
        <v>634.54287297753501</v>
      </c>
      <c r="AL13" s="6">
        <v>330.98244656580999</v>
      </c>
      <c r="AM13" s="6">
        <v>93035.839999999997</v>
      </c>
      <c r="AN13" s="6">
        <v>634.54287297753501</v>
      </c>
      <c r="AO13" s="6">
        <v>20618.9046364485</v>
      </c>
      <c r="AP13" s="6">
        <v>634.54287297753501</v>
      </c>
      <c r="AQ13" s="6">
        <v>40331.279999999999</v>
      </c>
      <c r="AR13" s="6">
        <v>634.54287297753501</v>
      </c>
      <c r="AS13" s="6">
        <v>634.54287297753501</v>
      </c>
      <c r="AT13" s="6">
        <v>0</v>
      </c>
      <c r="AU13" t="s">
        <v>2973</v>
      </c>
      <c r="AV13" t="s">
        <v>2978</v>
      </c>
    </row>
    <row r="14" spans="1:48" x14ac:dyDescent="0.45">
      <c r="A14" s="5" t="s">
        <v>38</v>
      </c>
      <c r="B14">
        <v>2005</v>
      </c>
      <c r="C14" t="s">
        <v>39</v>
      </c>
      <c r="D14">
        <v>323</v>
      </c>
      <c r="E14" t="s">
        <v>40</v>
      </c>
      <c r="F14" t="s">
        <v>3</v>
      </c>
      <c r="G14" t="s">
        <v>2748</v>
      </c>
      <c r="H14" t="s">
        <v>2745</v>
      </c>
      <c r="I14" t="s">
        <v>2742</v>
      </c>
      <c r="J14">
        <v>163.80555555554301</v>
      </c>
      <c r="K14">
        <v>1</v>
      </c>
      <c r="L14">
        <v>1</v>
      </c>
      <c r="M14">
        <v>2</v>
      </c>
      <c r="N14" s="6">
        <v>1417193.42006068</v>
      </c>
      <c r="O14" s="6">
        <v>531458.65379066404</v>
      </c>
      <c r="P14" s="6">
        <v>1186965.44448172</v>
      </c>
      <c r="Q14" s="6">
        <v>187310.90456767299</v>
      </c>
      <c r="R14" s="6">
        <v>291387.16711107502</v>
      </c>
      <c r="S14" s="6">
        <v>219765.376538009</v>
      </c>
      <c r="T14" s="6">
        <v>722664.31</v>
      </c>
      <c r="U14" s="6">
        <v>2891651.2800118099</v>
      </c>
      <c r="V14" s="6">
        <v>3337752.1840300201</v>
      </c>
      <c r="W14" s="6">
        <v>275569.473738414</v>
      </c>
      <c r="X14" s="6">
        <v>0</v>
      </c>
      <c r="Y14" s="6">
        <v>0</v>
      </c>
      <c r="Z14" s="6">
        <v>0</v>
      </c>
      <c r="AA14" s="6">
        <v>0</v>
      </c>
      <c r="AB14" s="6">
        <v>993.93224338446498</v>
      </c>
      <c r="AC14" s="6">
        <v>219765.376538009</v>
      </c>
      <c r="AD14" s="6">
        <v>0</v>
      </c>
      <c r="AE14" s="6">
        <v>0</v>
      </c>
      <c r="AF14" s="6">
        <v>0</v>
      </c>
      <c r="AG14" s="6">
        <v>0</v>
      </c>
      <c r="AH14" s="6">
        <v>0</v>
      </c>
      <c r="AI14" s="6">
        <v>0</v>
      </c>
      <c r="AJ14" s="6">
        <v>3834080.96654983</v>
      </c>
      <c r="AK14" s="6">
        <v>23406.293843616098</v>
      </c>
      <c r="AL14" s="6">
        <v>330.98244656580999</v>
      </c>
      <c r="AM14" s="6">
        <v>93035.839999999997</v>
      </c>
      <c r="AN14" s="6">
        <v>18994.573450195399</v>
      </c>
      <c r="AO14" s="6">
        <v>23406.293843616098</v>
      </c>
      <c r="AP14" s="6">
        <v>330.98244656580999</v>
      </c>
      <c r="AQ14" s="6">
        <v>56162.493707719797</v>
      </c>
      <c r="AR14" s="6">
        <v>23406.293843616098</v>
      </c>
      <c r="AS14" s="6">
        <v>23406.293843616098</v>
      </c>
      <c r="AT14" s="6">
        <v>0</v>
      </c>
      <c r="AU14" t="s">
        <v>2973</v>
      </c>
      <c r="AV14" t="s">
        <v>2973</v>
      </c>
    </row>
    <row r="15" spans="1:48" x14ac:dyDescent="0.45">
      <c r="A15" s="5" t="s">
        <v>41</v>
      </c>
      <c r="B15">
        <v>2005</v>
      </c>
      <c r="C15" t="s">
        <v>39</v>
      </c>
      <c r="D15">
        <v>2005</v>
      </c>
      <c r="E15" t="s">
        <v>39</v>
      </c>
      <c r="F15" t="s">
        <v>1</v>
      </c>
      <c r="G15" t="s">
        <v>1</v>
      </c>
      <c r="H15" t="s">
        <v>2743</v>
      </c>
      <c r="I15" t="s">
        <v>2742</v>
      </c>
      <c r="J15">
        <v>0.99999999999900002</v>
      </c>
      <c r="K15">
        <v>0</v>
      </c>
      <c r="L15">
        <v>0</v>
      </c>
      <c r="M15">
        <v>2</v>
      </c>
      <c r="N15" s="6">
        <v>5677.9199393172203</v>
      </c>
      <c r="O15" s="6">
        <v>1903.8062093358601</v>
      </c>
      <c r="P15" s="6">
        <v>7246.1855182808904</v>
      </c>
      <c r="Q15" s="6">
        <v>1143.4954323266099</v>
      </c>
      <c r="R15" s="6">
        <v>1681.5428889248001</v>
      </c>
      <c r="S15" s="6">
        <v>1341.6234619910199</v>
      </c>
      <c r="T15" s="6">
        <v>0</v>
      </c>
      <c r="U15" s="6">
        <v>17652.949988185399</v>
      </c>
      <c r="V15" s="6">
        <v>15964.5859699837</v>
      </c>
      <c r="W15" s="6">
        <v>1682.29626158618</v>
      </c>
      <c r="X15" s="6">
        <v>0</v>
      </c>
      <c r="Y15" s="6">
        <v>0</v>
      </c>
      <c r="Z15" s="6">
        <v>0</v>
      </c>
      <c r="AA15" s="6">
        <v>0</v>
      </c>
      <c r="AB15" s="6">
        <v>6.0677566155346296</v>
      </c>
      <c r="AC15" s="6">
        <v>1341.6234619910199</v>
      </c>
      <c r="AD15" s="6">
        <v>0</v>
      </c>
      <c r="AE15" s="6">
        <v>0</v>
      </c>
      <c r="AF15" s="6">
        <v>0</v>
      </c>
      <c r="AG15" s="6">
        <v>0</v>
      </c>
      <c r="AH15" s="6">
        <v>0</v>
      </c>
      <c r="AI15" s="6">
        <v>0</v>
      </c>
      <c r="AJ15" s="6">
        <v>18994.573450176398</v>
      </c>
      <c r="AK15" s="6">
        <v>18994.573450195399</v>
      </c>
      <c r="AL15" s="6">
        <v>330.98244656580999</v>
      </c>
      <c r="AM15" s="6">
        <v>93035.839999999997</v>
      </c>
      <c r="AN15" s="6">
        <v>18994.573450195399</v>
      </c>
      <c r="AO15" s="6">
        <v>23406.293843616098</v>
      </c>
      <c r="AP15" s="6">
        <v>634.54287297753501</v>
      </c>
      <c r="AQ15" s="6">
        <v>40331.279999999999</v>
      </c>
      <c r="AR15" s="6">
        <v>18994.573450195399</v>
      </c>
      <c r="AS15" s="6">
        <v>18994.573450195399</v>
      </c>
      <c r="AT15" s="6">
        <v>0</v>
      </c>
      <c r="AU15" t="s">
        <v>2973</v>
      </c>
      <c r="AV15" t="s">
        <v>2977</v>
      </c>
    </row>
    <row r="16" spans="1:48" x14ac:dyDescent="0.45">
      <c r="A16" s="5" t="s">
        <v>42</v>
      </c>
      <c r="B16">
        <v>2115</v>
      </c>
      <c r="C16" t="s">
        <v>43</v>
      </c>
      <c r="D16">
        <v>711</v>
      </c>
      <c r="E16" t="s">
        <v>44</v>
      </c>
      <c r="F16" t="s">
        <v>2739</v>
      </c>
      <c r="G16" t="s">
        <v>2740</v>
      </c>
      <c r="H16" t="s">
        <v>2741</v>
      </c>
      <c r="I16" t="s">
        <v>2742</v>
      </c>
      <c r="J16">
        <v>18.521428571426</v>
      </c>
      <c r="K16">
        <v>1</v>
      </c>
      <c r="L16">
        <v>1</v>
      </c>
      <c r="M16">
        <v>3</v>
      </c>
      <c r="N16" s="6">
        <v>175363.01</v>
      </c>
      <c r="O16" s="6">
        <v>5848.01</v>
      </c>
      <c r="P16" s="6">
        <v>174329.18</v>
      </c>
      <c r="Q16" s="6">
        <v>8650.1299999999992</v>
      </c>
      <c r="R16" s="6">
        <v>52043.14</v>
      </c>
      <c r="S16" s="6">
        <v>19253.349999999999</v>
      </c>
      <c r="T16" s="6">
        <v>0</v>
      </c>
      <c r="U16" s="6">
        <v>416233.47</v>
      </c>
      <c r="V16" s="6">
        <v>379206.40000000002</v>
      </c>
      <c r="W16" s="6">
        <v>37027.07</v>
      </c>
      <c r="X16" s="6">
        <v>0</v>
      </c>
      <c r="Y16" s="6">
        <v>0</v>
      </c>
      <c r="Z16" s="6">
        <v>0</v>
      </c>
      <c r="AA16" s="6">
        <v>0</v>
      </c>
      <c r="AB16" s="6">
        <v>0</v>
      </c>
      <c r="AC16" s="6">
        <v>15587.35</v>
      </c>
      <c r="AD16" s="6">
        <v>3666</v>
      </c>
      <c r="AE16" s="6">
        <v>0</v>
      </c>
      <c r="AF16" s="6">
        <v>0</v>
      </c>
      <c r="AG16" s="6">
        <v>0</v>
      </c>
      <c r="AH16" s="6">
        <v>0</v>
      </c>
      <c r="AI16" s="6">
        <v>0</v>
      </c>
      <c r="AJ16" s="6">
        <v>435486.82</v>
      </c>
      <c r="AK16" s="6">
        <v>23512.593443890699</v>
      </c>
      <c r="AL16" s="6">
        <v>330.98244656580999</v>
      </c>
      <c r="AM16" s="6">
        <v>93035.839999999997</v>
      </c>
      <c r="AN16" s="6">
        <v>23512.593443890699</v>
      </c>
      <c r="AO16" s="6">
        <v>23512.593443890699</v>
      </c>
      <c r="AP16" s="6">
        <v>330.98244656580999</v>
      </c>
      <c r="AQ16" s="6">
        <v>93035.839999999997</v>
      </c>
      <c r="AR16" s="6">
        <v>23512.593443890699</v>
      </c>
      <c r="AS16" s="6">
        <v>23512.593443890699</v>
      </c>
      <c r="AT16" s="6">
        <v>0</v>
      </c>
      <c r="AU16" t="s">
        <v>2973</v>
      </c>
      <c r="AV16" t="s">
        <v>2976</v>
      </c>
    </row>
    <row r="17" spans="1:48" x14ac:dyDescent="0.45">
      <c r="A17" s="5" t="s">
        <v>45</v>
      </c>
      <c r="B17">
        <v>2041</v>
      </c>
      <c r="C17" t="s">
        <v>46</v>
      </c>
      <c r="D17">
        <v>381</v>
      </c>
      <c r="E17" t="s">
        <v>47</v>
      </c>
      <c r="F17" t="s">
        <v>2739</v>
      </c>
      <c r="G17" t="s">
        <v>2744</v>
      </c>
      <c r="H17" t="s">
        <v>2745</v>
      </c>
      <c r="I17" t="s">
        <v>2742</v>
      </c>
      <c r="J17">
        <v>970.70344846388798</v>
      </c>
      <c r="K17">
        <v>1</v>
      </c>
      <c r="L17">
        <v>1</v>
      </c>
      <c r="M17">
        <v>2</v>
      </c>
      <c r="N17" s="6">
        <v>6870821.3757182797</v>
      </c>
      <c r="O17" s="6">
        <v>3582780.1552382102</v>
      </c>
      <c r="P17" s="6">
        <v>2487636.6467539701</v>
      </c>
      <c r="Q17" s="6">
        <v>654793.41681474796</v>
      </c>
      <c r="R17" s="6">
        <v>2133064.1267642099</v>
      </c>
      <c r="S17" s="6">
        <v>468374.725343592</v>
      </c>
      <c r="T17" s="6">
        <v>9172401.75</v>
      </c>
      <c r="U17" s="6">
        <v>6556693.9712894196</v>
      </c>
      <c r="V17" s="6">
        <v>12533340.0414472</v>
      </c>
      <c r="W17" s="6">
        <v>1165498.96462701</v>
      </c>
      <c r="X17" s="6">
        <v>0</v>
      </c>
      <c r="Y17" s="6">
        <v>0</v>
      </c>
      <c r="Z17" s="6">
        <v>0</v>
      </c>
      <c r="AA17" s="6">
        <v>1937226.7152152201</v>
      </c>
      <c r="AB17" s="6">
        <v>93030</v>
      </c>
      <c r="AC17" s="6">
        <v>392601.36347682902</v>
      </c>
      <c r="AD17" s="6">
        <v>75773.3618667634</v>
      </c>
      <c r="AE17" s="6">
        <v>0</v>
      </c>
      <c r="AF17" s="6">
        <v>0</v>
      </c>
      <c r="AG17" s="6">
        <v>0</v>
      </c>
      <c r="AH17" s="6">
        <v>0</v>
      </c>
      <c r="AI17" s="6">
        <v>0</v>
      </c>
      <c r="AJ17" s="6">
        <v>16197470.446633</v>
      </c>
      <c r="AK17" s="6">
        <v>16686.322143250902</v>
      </c>
      <c r="AL17" s="6">
        <v>330.98244656580999</v>
      </c>
      <c r="AM17" s="6">
        <v>93035.839999999997</v>
      </c>
      <c r="AN17" s="6">
        <v>7237.0904911793596</v>
      </c>
      <c r="AO17" s="6">
        <v>16686.322143250902</v>
      </c>
      <c r="AP17" s="6">
        <v>330.98244656580999</v>
      </c>
      <c r="AQ17" s="6">
        <v>40734.411818744898</v>
      </c>
      <c r="AR17" s="6">
        <v>16686.322143250902</v>
      </c>
      <c r="AS17" s="6">
        <v>16686.322143250902</v>
      </c>
      <c r="AT17" s="6">
        <v>0</v>
      </c>
      <c r="AU17" t="s">
        <v>2973</v>
      </c>
      <c r="AV17" t="s">
        <v>2973</v>
      </c>
    </row>
    <row r="18" spans="1:48" x14ac:dyDescent="0.45">
      <c r="A18" s="5" t="s">
        <v>48</v>
      </c>
      <c r="B18">
        <v>2041</v>
      </c>
      <c r="C18" t="s">
        <v>46</v>
      </c>
      <c r="D18">
        <v>380</v>
      </c>
      <c r="E18" t="s">
        <v>49</v>
      </c>
      <c r="F18" t="s">
        <v>2739</v>
      </c>
      <c r="G18" t="s">
        <v>2747</v>
      </c>
      <c r="H18" t="s">
        <v>2745</v>
      </c>
      <c r="I18" t="s">
        <v>2742</v>
      </c>
      <c r="J18">
        <v>567.73058735209497</v>
      </c>
      <c r="K18">
        <v>1</v>
      </c>
      <c r="L18">
        <v>1</v>
      </c>
      <c r="M18">
        <v>2</v>
      </c>
      <c r="N18" s="6">
        <v>4094739.2445390699</v>
      </c>
      <c r="O18" s="6">
        <v>1365708.0449977401</v>
      </c>
      <c r="P18" s="6">
        <v>1486836.10794477</v>
      </c>
      <c r="Q18" s="6">
        <v>382922.65453344799</v>
      </c>
      <c r="R18" s="6">
        <v>1183138.0940519699</v>
      </c>
      <c r="S18" s="6">
        <v>273936.039210524</v>
      </c>
      <c r="T18" s="6">
        <v>4678562.55</v>
      </c>
      <c r="U18" s="6">
        <v>3834781.5960670002</v>
      </c>
      <c r="V18" s="6">
        <v>6940585.8050581701</v>
      </c>
      <c r="W18" s="6">
        <v>439742.00877703499</v>
      </c>
      <c r="X18" s="6">
        <v>0</v>
      </c>
      <c r="Y18" s="6">
        <v>0</v>
      </c>
      <c r="Z18" s="6">
        <v>0</v>
      </c>
      <c r="AA18" s="6">
        <v>1133016.3322317901</v>
      </c>
      <c r="AB18" s="6">
        <v>0</v>
      </c>
      <c r="AC18" s="6">
        <v>229618.842948023</v>
      </c>
      <c r="AD18" s="6">
        <v>44317.196262500802</v>
      </c>
      <c r="AE18" s="6">
        <v>0</v>
      </c>
      <c r="AF18" s="6">
        <v>0</v>
      </c>
      <c r="AG18" s="6">
        <v>0</v>
      </c>
      <c r="AH18" s="6">
        <v>0</v>
      </c>
      <c r="AI18" s="6">
        <v>0</v>
      </c>
      <c r="AJ18" s="6">
        <v>8787280.1852774993</v>
      </c>
      <c r="AK18" s="6">
        <v>15477.905156143799</v>
      </c>
      <c r="AL18" s="6">
        <v>330.98244656580999</v>
      </c>
      <c r="AM18" s="6">
        <v>93035.839999999997</v>
      </c>
      <c r="AN18" s="6">
        <v>7237.0904911793596</v>
      </c>
      <c r="AO18" s="6">
        <v>16686.322143250902</v>
      </c>
      <c r="AP18" s="6">
        <v>3753.1860850462999</v>
      </c>
      <c r="AQ18" s="6">
        <v>20687.885194392002</v>
      </c>
      <c r="AR18" s="6">
        <v>15477.905156143799</v>
      </c>
      <c r="AS18" s="6">
        <v>15477.905156143799</v>
      </c>
      <c r="AT18" s="6">
        <v>0</v>
      </c>
      <c r="AU18" t="s">
        <v>2973</v>
      </c>
      <c r="AV18" t="s">
        <v>2973</v>
      </c>
    </row>
    <row r="19" spans="1:48" x14ac:dyDescent="0.45">
      <c r="A19" s="5" t="s">
        <v>50</v>
      </c>
      <c r="B19">
        <v>2041</v>
      </c>
      <c r="C19" t="s">
        <v>46</v>
      </c>
      <c r="D19">
        <v>2041</v>
      </c>
      <c r="E19" t="s">
        <v>46</v>
      </c>
      <c r="F19" t="s">
        <v>1</v>
      </c>
      <c r="G19" t="s">
        <v>1</v>
      </c>
      <c r="H19" t="s">
        <v>2743</v>
      </c>
      <c r="I19" t="s">
        <v>2742</v>
      </c>
      <c r="J19">
        <v>193.183891616273</v>
      </c>
      <c r="K19">
        <v>1</v>
      </c>
      <c r="L19">
        <v>1</v>
      </c>
      <c r="M19">
        <v>2</v>
      </c>
      <c r="N19" s="6">
        <v>268871.32356946199</v>
      </c>
      <c r="O19" s="6">
        <v>100586.74463390899</v>
      </c>
      <c r="P19" s="6">
        <v>406503.59686334798</v>
      </c>
      <c r="Q19" s="6">
        <v>130298.57865475101</v>
      </c>
      <c r="R19" s="6">
        <v>398615.781510623</v>
      </c>
      <c r="S19" s="6">
        <v>93213.279833057197</v>
      </c>
      <c r="T19" s="6">
        <v>0</v>
      </c>
      <c r="U19" s="6">
        <v>1304876.0252320899</v>
      </c>
      <c r="V19" s="6">
        <v>811781.85017640598</v>
      </c>
      <c r="W19" s="6">
        <v>107558.307865237</v>
      </c>
      <c r="X19" s="6">
        <v>0</v>
      </c>
      <c r="Y19" s="6">
        <v>0</v>
      </c>
      <c r="Z19" s="6">
        <v>0</v>
      </c>
      <c r="AA19" s="6">
        <v>385535.86719044897</v>
      </c>
      <c r="AB19" s="6">
        <v>0</v>
      </c>
      <c r="AC19" s="6">
        <v>78133.295364645106</v>
      </c>
      <c r="AD19" s="6">
        <v>15079.984468412</v>
      </c>
      <c r="AE19" s="6">
        <v>0</v>
      </c>
      <c r="AF19" s="6">
        <v>0</v>
      </c>
      <c r="AG19" s="6">
        <v>0</v>
      </c>
      <c r="AH19" s="6">
        <v>0</v>
      </c>
      <c r="AI19" s="6">
        <v>0</v>
      </c>
      <c r="AJ19" s="6">
        <v>1398089.3050651499</v>
      </c>
      <c r="AK19" s="6">
        <v>7237.0904911793596</v>
      </c>
      <c r="AL19" s="6">
        <v>330.98244656580999</v>
      </c>
      <c r="AM19" s="6">
        <v>93035.839999999997</v>
      </c>
      <c r="AN19" s="6">
        <v>7237.0904911793596</v>
      </c>
      <c r="AO19" s="6">
        <v>16686.322143250902</v>
      </c>
      <c r="AP19" s="6">
        <v>634.54287297753501</v>
      </c>
      <c r="AQ19" s="6">
        <v>40331.279999999999</v>
      </c>
      <c r="AR19" s="6">
        <v>7237.0904911793596</v>
      </c>
      <c r="AS19" s="6">
        <v>7237.0904911793596</v>
      </c>
      <c r="AT19" s="6">
        <v>0</v>
      </c>
      <c r="AU19" t="s">
        <v>2973</v>
      </c>
      <c r="AV19" t="s">
        <v>2977</v>
      </c>
    </row>
    <row r="20" spans="1:48" x14ac:dyDescent="0.45">
      <c r="A20" s="5" t="s">
        <v>51</v>
      </c>
      <c r="B20">
        <v>2041</v>
      </c>
      <c r="C20" t="s">
        <v>46</v>
      </c>
      <c r="D20">
        <v>375</v>
      </c>
      <c r="E20" t="s">
        <v>52</v>
      </c>
      <c r="F20" t="s">
        <v>2739</v>
      </c>
      <c r="G20" t="s">
        <v>2740</v>
      </c>
      <c r="H20" t="s">
        <v>2741</v>
      </c>
      <c r="I20" t="s">
        <v>2742</v>
      </c>
      <c r="J20">
        <v>311.77694235584602</v>
      </c>
      <c r="K20">
        <v>1</v>
      </c>
      <c r="L20">
        <v>1</v>
      </c>
      <c r="M20">
        <v>2</v>
      </c>
      <c r="N20" s="6">
        <v>2116066.3235128098</v>
      </c>
      <c r="O20" s="6">
        <v>549118.46447215299</v>
      </c>
      <c r="P20" s="6">
        <v>768891.64954913605</v>
      </c>
      <c r="Q20" s="6">
        <v>210287.16269462</v>
      </c>
      <c r="R20" s="6">
        <v>643320.76807432598</v>
      </c>
      <c r="S20" s="6">
        <v>150435.686589422</v>
      </c>
      <c r="T20" s="6">
        <v>2181762.11</v>
      </c>
      <c r="U20" s="6">
        <v>2105922.25830305</v>
      </c>
      <c r="V20" s="6">
        <v>3346434.9032554398</v>
      </c>
      <c r="W20" s="6">
        <v>319038.19869674399</v>
      </c>
      <c r="X20" s="6">
        <v>0</v>
      </c>
      <c r="Y20" s="6">
        <v>0</v>
      </c>
      <c r="Z20" s="6">
        <v>0</v>
      </c>
      <c r="AA20" s="6">
        <v>622211.26635085698</v>
      </c>
      <c r="AB20" s="6">
        <v>0</v>
      </c>
      <c r="AC20" s="6">
        <v>126098.297954172</v>
      </c>
      <c r="AD20" s="6">
        <v>24337.388635249499</v>
      </c>
      <c r="AE20" s="6">
        <v>0</v>
      </c>
      <c r="AF20" s="6">
        <v>0</v>
      </c>
      <c r="AG20" s="6">
        <v>0</v>
      </c>
      <c r="AH20" s="6">
        <v>0</v>
      </c>
      <c r="AI20" s="6">
        <v>0</v>
      </c>
      <c r="AJ20" s="6">
        <v>4438120.0548924701</v>
      </c>
      <c r="AK20" s="6">
        <v>14234.9207140117</v>
      </c>
      <c r="AL20" s="6">
        <v>330.98244656580999</v>
      </c>
      <c r="AM20" s="6">
        <v>93035.839999999997</v>
      </c>
      <c r="AN20" s="6">
        <v>7237.0904911793596</v>
      </c>
      <c r="AO20" s="6">
        <v>16686.322143250902</v>
      </c>
      <c r="AP20" s="6">
        <v>330.98244656580999</v>
      </c>
      <c r="AQ20" s="6">
        <v>93035.839999999997</v>
      </c>
      <c r="AR20" s="6">
        <v>14063.973759832799</v>
      </c>
      <c r="AS20" s="6">
        <v>14559.8989491801</v>
      </c>
      <c r="AT20" s="6">
        <v>0</v>
      </c>
      <c r="AU20" t="s">
        <v>2973</v>
      </c>
      <c r="AV20" t="s">
        <v>2973</v>
      </c>
    </row>
    <row r="21" spans="1:48" x14ac:dyDescent="0.45">
      <c r="A21" s="5" t="s">
        <v>53</v>
      </c>
      <c r="B21">
        <v>2041</v>
      </c>
      <c r="C21" t="s">
        <v>46</v>
      </c>
      <c r="D21">
        <v>377</v>
      </c>
      <c r="E21" t="s">
        <v>54</v>
      </c>
      <c r="F21" t="s">
        <v>2739</v>
      </c>
      <c r="G21" t="s">
        <v>2740</v>
      </c>
      <c r="H21" t="s">
        <v>2741</v>
      </c>
      <c r="I21" t="s">
        <v>2742</v>
      </c>
      <c r="J21">
        <v>342.75056975766</v>
      </c>
      <c r="K21">
        <v>1</v>
      </c>
      <c r="L21">
        <v>1</v>
      </c>
      <c r="M21">
        <v>2</v>
      </c>
      <c r="N21" s="6">
        <v>2355032.12477525</v>
      </c>
      <c r="O21" s="6">
        <v>534720.41365816304</v>
      </c>
      <c r="P21" s="6">
        <v>826891.67667935998</v>
      </c>
      <c r="Q21" s="6">
        <v>231178.240063818</v>
      </c>
      <c r="R21" s="6">
        <v>707231.77322954498</v>
      </c>
      <c r="S21" s="6">
        <v>165380.79083333499</v>
      </c>
      <c r="T21" s="6">
        <v>2339918.13</v>
      </c>
      <c r="U21" s="6">
        <v>2315136.09840613</v>
      </c>
      <c r="V21" s="6">
        <v>3641177.2053044299</v>
      </c>
      <c r="W21" s="6">
        <v>329851.88500157802</v>
      </c>
      <c r="X21" s="6">
        <v>0</v>
      </c>
      <c r="Y21" s="6">
        <v>0</v>
      </c>
      <c r="Z21" s="6">
        <v>0</v>
      </c>
      <c r="AA21" s="6">
        <v>684025.13810012199</v>
      </c>
      <c r="AB21" s="6">
        <v>0</v>
      </c>
      <c r="AC21" s="6">
        <v>138625.59284430399</v>
      </c>
      <c r="AD21" s="6">
        <v>26755.197989030999</v>
      </c>
      <c r="AE21" s="6">
        <v>0</v>
      </c>
      <c r="AF21" s="6">
        <v>0</v>
      </c>
      <c r="AG21" s="6">
        <v>0</v>
      </c>
      <c r="AH21" s="6">
        <v>0</v>
      </c>
      <c r="AI21" s="6">
        <v>0</v>
      </c>
      <c r="AJ21" s="6">
        <v>4820435.0192394704</v>
      </c>
      <c r="AK21" s="6">
        <v>14063.973759832799</v>
      </c>
      <c r="AL21" s="6">
        <v>330.98244656580999</v>
      </c>
      <c r="AM21" s="6">
        <v>93035.839999999997</v>
      </c>
      <c r="AN21" s="6">
        <v>7237.0904911793596</v>
      </c>
      <c r="AO21" s="6">
        <v>16686.322143250902</v>
      </c>
      <c r="AP21" s="6">
        <v>330.98244656580999</v>
      </c>
      <c r="AQ21" s="6">
        <v>93035.839999999997</v>
      </c>
      <c r="AR21" s="6">
        <v>14063.973759832799</v>
      </c>
      <c r="AS21" s="6">
        <v>14559.8989491801</v>
      </c>
      <c r="AT21" s="6">
        <v>0</v>
      </c>
      <c r="AU21" t="s">
        <v>2973</v>
      </c>
      <c r="AV21" t="s">
        <v>2973</v>
      </c>
    </row>
    <row r="22" spans="1:48" x14ac:dyDescent="0.45">
      <c r="A22" s="5" t="s">
        <v>2937</v>
      </c>
      <c r="B22">
        <v>2041</v>
      </c>
      <c r="C22" t="s">
        <v>46</v>
      </c>
      <c r="D22">
        <v>4476</v>
      </c>
      <c r="E22" t="s">
        <v>2938</v>
      </c>
      <c r="F22" t="s">
        <v>2739</v>
      </c>
      <c r="G22" t="s">
        <v>2740</v>
      </c>
      <c r="H22" t="s">
        <v>2741</v>
      </c>
      <c r="I22" t="s">
        <v>2742</v>
      </c>
      <c r="J22">
        <v>125.871345029233</v>
      </c>
      <c r="K22">
        <v>1</v>
      </c>
      <c r="L22">
        <v>1</v>
      </c>
      <c r="M22">
        <v>2</v>
      </c>
      <c r="N22" s="6">
        <v>921707.65395247994</v>
      </c>
      <c r="O22" s="6">
        <v>229486.832914178</v>
      </c>
      <c r="P22" s="6">
        <v>274611.14754673198</v>
      </c>
      <c r="Q22" s="6">
        <v>84897.644485019395</v>
      </c>
      <c r="R22" s="6">
        <v>261236.52425858399</v>
      </c>
      <c r="S22" s="6">
        <v>60734.261066024003</v>
      </c>
      <c r="T22" s="6">
        <v>921731.75</v>
      </c>
      <c r="U22" s="6">
        <v>850208.05315699498</v>
      </c>
      <c r="V22" s="6">
        <v>1398399.02740437</v>
      </c>
      <c r="W22" s="6">
        <v>122340.130842406</v>
      </c>
      <c r="X22" s="6">
        <v>0</v>
      </c>
      <c r="Y22" s="6">
        <v>0</v>
      </c>
      <c r="Z22" s="6">
        <v>0</v>
      </c>
      <c r="AA22" s="6">
        <v>251200.64491021901</v>
      </c>
      <c r="AB22" s="6">
        <v>0</v>
      </c>
      <c r="AC22" s="6">
        <v>50908.711367349802</v>
      </c>
      <c r="AD22" s="6">
        <v>9825.54969867414</v>
      </c>
      <c r="AE22" s="6">
        <v>0</v>
      </c>
      <c r="AF22" s="6">
        <v>0</v>
      </c>
      <c r="AG22" s="6">
        <v>0</v>
      </c>
      <c r="AH22" s="6">
        <v>0</v>
      </c>
      <c r="AI22" s="6">
        <v>0</v>
      </c>
      <c r="AJ22" s="6">
        <v>1832674.0642230201</v>
      </c>
      <c r="AK22" s="6">
        <v>14559.8989491801</v>
      </c>
      <c r="AL22" s="6">
        <v>330.98244656580999</v>
      </c>
      <c r="AM22" s="6">
        <v>93035.839999999997</v>
      </c>
      <c r="AN22" s="6">
        <v>7237.0904911793596</v>
      </c>
      <c r="AO22" s="6">
        <v>16686.322143250902</v>
      </c>
      <c r="AP22" s="6">
        <v>330.98244656580999</v>
      </c>
      <c r="AQ22" s="6">
        <v>93035.839999999997</v>
      </c>
      <c r="AR22" s="6">
        <v>14063.973759832799</v>
      </c>
      <c r="AS22" s="6">
        <v>14559.8989491801</v>
      </c>
      <c r="AT22" s="6">
        <v>0</v>
      </c>
      <c r="AU22" t="s">
        <v>2973</v>
      </c>
      <c r="AV22" t="s">
        <v>2973</v>
      </c>
    </row>
    <row r="23" spans="1:48" x14ac:dyDescent="0.45">
      <c r="A23" s="5" t="s">
        <v>55</v>
      </c>
      <c r="B23">
        <v>2041</v>
      </c>
      <c r="C23" t="s">
        <v>46</v>
      </c>
      <c r="D23">
        <v>379</v>
      </c>
      <c r="E23" t="s">
        <v>56</v>
      </c>
      <c r="F23" t="s">
        <v>2739</v>
      </c>
      <c r="G23" t="s">
        <v>2740</v>
      </c>
      <c r="H23" t="s">
        <v>2741</v>
      </c>
      <c r="I23" t="s">
        <v>2742</v>
      </c>
      <c r="J23">
        <v>339.77777777774202</v>
      </c>
      <c r="K23">
        <v>1</v>
      </c>
      <c r="L23">
        <v>1</v>
      </c>
      <c r="M23">
        <v>2</v>
      </c>
      <c r="N23" s="6">
        <v>2281441.1439326601</v>
      </c>
      <c r="O23" s="6">
        <v>661263.45408564399</v>
      </c>
      <c r="P23" s="6">
        <v>823243.48466267495</v>
      </c>
      <c r="Q23" s="6">
        <v>229173.15275359299</v>
      </c>
      <c r="R23" s="6">
        <v>701097.71211073699</v>
      </c>
      <c r="S23" s="6">
        <v>163946.387124045</v>
      </c>
      <c r="T23" s="6">
        <v>2401162.81</v>
      </c>
      <c r="U23" s="6">
        <v>2295056.1375453002</v>
      </c>
      <c r="V23" s="6">
        <v>3591888.19735398</v>
      </c>
      <c r="W23" s="6">
        <v>426238.39418998599</v>
      </c>
      <c r="X23" s="6">
        <v>0</v>
      </c>
      <c r="Y23" s="6">
        <v>0</v>
      </c>
      <c r="Z23" s="6">
        <v>0</v>
      </c>
      <c r="AA23" s="6">
        <v>678092.35600133799</v>
      </c>
      <c r="AB23" s="6">
        <v>0</v>
      </c>
      <c r="AC23" s="6">
        <v>137423.24604467599</v>
      </c>
      <c r="AD23" s="6">
        <v>26523.141079368899</v>
      </c>
      <c r="AE23" s="6">
        <v>0</v>
      </c>
      <c r="AF23" s="6">
        <v>0</v>
      </c>
      <c r="AG23" s="6">
        <v>0</v>
      </c>
      <c r="AH23" s="6">
        <v>0</v>
      </c>
      <c r="AI23" s="6">
        <v>0</v>
      </c>
      <c r="AJ23" s="6">
        <v>4860165.3346693404</v>
      </c>
      <c r="AK23" s="6">
        <v>14303.9529143325</v>
      </c>
      <c r="AL23" s="6">
        <v>330.98244656580999</v>
      </c>
      <c r="AM23" s="6">
        <v>93035.839999999997</v>
      </c>
      <c r="AN23" s="6">
        <v>7237.0904911793596</v>
      </c>
      <c r="AO23" s="6">
        <v>16686.322143250902</v>
      </c>
      <c r="AP23" s="6">
        <v>330.98244656580999</v>
      </c>
      <c r="AQ23" s="6">
        <v>93035.839999999997</v>
      </c>
      <c r="AR23" s="6">
        <v>14063.973759832799</v>
      </c>
      <c r="AS23" s="6">
        <v>14559.8989491801</v>
      </c>
      <c r="AT23" s="6">
        <v>0</v>
      </c>
      <c r="AU23" t="s">
        <v>2973</v>
      </c>
      <c r="AV23" t="s">
        <v>2973</v>
      </c>
    </row>
    <row r="24" spans="1:48" x14ac:dyDescent="0.45">
      <c r="A24" s="5" t="s">
        <v>57</v>
      </c>
      <c r="B24">
        <v>2051</v>
      </c>
      <c r="C24" t="s">
        <v>58</v>
      </c>
      <c r="D24">
        <v>427</v>
      </c>
      <c r="E24" t="s">
        <v>59</v>
      </c>
      <c r="F24" t="s">
        <v>2739</v>
      </c>
      <c r="G24" t="s">
        <v>2740</v>
      </c>
      <c r="H24" t="s">
        <v>2741</v>
      </c>
      <c r="I24" t="s">
        <v>2742</v>
      </c>
      <c r="J24">
        <v>5.5</v>
      </c>
      <c r="K24">
        <v>0</v>
      </c>
      <c r="L24">
        <v>0</v>
      </c>
      <c r="M24">
        <v>3</v>
      </c>
      <c r="N24" s="6">
        <v>96585.923076923107</v>
      </c>
      <c r="O24" s="6">
        <v>7279.4615384615399</v>
      </c>
      <c r="P24" s="6">
        <v>71173.384615384595</v>
      </c>
      <c r="Q24" s="6">
        <v>30696.769230769201</v>
      </c>
      <c r="R24" s="6">
        <v>6800.5384615384601</v>
      </c>
      <c r="S24" s="6">
        <v>9285.9630769230807</v>
      </c>
      <c r="T24" s="6">
        <v>0</v>
      </c>
      <c r="U24" s="6">
        <v>212536.07692307699</v>
      </c>
      <c r="V24" s="6">
        <v>197849.384615385</v>
      </c>
      <c r="W24" s="6">
        <v>14686.692307692299</v>
      </c>
      <c r="X24" s="6">
        <v>0</v>
      </c>
      <c r="Y24" s="6">
        <v>0</v>
      </c>
      <c r="Z24" s="6">
        <v>0</v>
      </c>
      <c r="AA24" s="6">
        <v>0</v>
      </c>
      <c r="AB24" s="6">
        <v>0</v>
      </c>
      <c r="AC24" s="6">
        <v>9269.8523076923102</v>
      </c>
      <c r="AD24" s="6">
        <v>16.110769230769201</v>
      </c>
      <c r="AE24" s="6">
        <v>0</v>
      </c>
      <c r="AF24" s="6">
        <v>0</v>
      </c>
      <c r="AG24" s="6">
        <v>0</v>
      </c>
      <c r="AH24" s="6">
        <v>0</v>
      </c>
      <c r="AI24" s="6">
        <v>0</v>
      </c>
      <c r="AJ24" s="6">
        <v>221822.04</v>
      </c>
      <c r="AK24" s="6">
        <v>40331.279999999999</v>
      </c>
      <c r="AL24" s="6">
        <v>330.98244656580999</v>
      </c>
      <c r="AM24" s="6">
        <v>93035.839999999997</v>
      </c>
      <c r="AN24" s="6">
        <v>40331.279999999999</v>
      </c>
      <c r="AO24" s="6">
        <v>40331.279999999999</v>
      </c>
      <c r="AP24" s="6">
        <v>330.98244656580999</v>
      </c>
      <c r="AQ24" s="6">
        <v>93035.839999999997</v>
      </c>
      <c r="AR24" s="6">
        <v>40331.279999999999</v>
      </c>
      <c r="AS24" s="6">
        <v>40331.279999999999</v>
      </c>
      <c r="AT24" s="6">
        <v>0</v>
      </c>
      <c r="AU24" t="s">
        <v>2973</v>
      </c>
      <c r="AV24" t="s">
        <v>2976</v>
      </c>
    </row>
    <row r="25" spans="1:48" x14ac:dyDescent="0.45">
      <c r="A25" s="5" t="s">
        <v>60</v>
      </c>
      <c r="B25">
        <v>2051</v>
      </c>
      <c r="C25" t="s">
        <v>58</v>
      </c>
      <c r="D25">
        <v>2051</v>
      </c>
      <c r="E25" t="s">
        <v>58</v>
      </c>
      <c r="F25" t="s">
        <v>1</v>
      </c>
      <c r="G25" t="s">
        <v>1</v>
      </c>
      <c r="H25" t="s">
        <v>2743</v>
      </c>
      <c r="I25" t="s">
        <v>2742</v>
      </c>
      <c r="J25">
        <v>1</v>
      </c>
      <c r="K25">
        <v>0</v>
      </c>
      <c r="L25">
        <v>0</v>
      </c>
      <c r="M25">
        <v>3</v>
      </c>
      <c r="N25" s="6">
        <v>17561.0769230769</v>
      </c>
      <c r="O25" s="6">
        <v>1323.5384615384601</v>
      </c>
      <c r="P25" s="6">
        <v>12940.615384615399</v>
      </c>
      <c r="Q25" s="6">
        <v>5581.2307692307704</v>
      </c>
      <c r="R25" s="6">
        <v>1236.4615384615399</v>
      </c>
      <c r="S25" s="6">
        <v>1688.3569230769201</v>
      </c>
      <c r="T25" s="6">
        <v>0</v>
      </c>
      <c r="U25" s="6">
        <v>38642.9230769231</v>
      </c>
      <c r="V25" s="6">
        <v>35972.615384615397</v>
      </c>
      <c r="W25" s="6">
        <v>2670.3076923076901</v>
      </c>
      <c r="X25" s="6">
        <v>0</v>
      </c>
      <c r="Y25" s="6">
        <v>0</v>
      </c>
      <c r="Z25" s="6">
        <v>0</v>
      </c>
      <c r="AA25" s="6">
        <v>0</v>
      </c>
      <c r="AB25" s="6">
        <v>0</v>
      </c>
      <c r="AC25" s="6">
        <v>1685.42769230769</v>
      </c>
      <c r="AD25" s="6">
        <v>2.9292307692307702</v>
      </c>
      <c r="AE25" s="6">
        <v>0</v>
      </c>
      <c r="AF25" s="6">
        <v>0</v>
      </c>
      <c r="AG25" s="6">
        <v>0</v>
      </c>
      <c r="AH25" s="6">
        <v>0</v>
      </c>
      <c r="AI25" s="6">
        <v>0</v>
      </c>
      <c r="AJ25" s="6">
        <v>40331.279999999999</v>
      </c>
      <c r="AK25" s="6">
        <v>40331.279999999999</v>
      </c>
      <c r="AL25" s="6">
        <v>330.98244656580999</v>
      </c>
      <c r="AM25" s="6">
        <v>93035.839999999997</v>
      </c>
      <c r="AN25" s="6">
        <v>40331.279999999999</v>
      </c>
      <c r="AO25" s="6">
        <v>40331.279999999999</v>
      </c>
      <c r="AP25" s="6">
        <v>634.54287297753501</v>
      </c>
      <c r="AQ25" s="6">
        <v>40331.279999999999</v>
      </c>
      <c r="AR25" s="6">
        <v>40331.279999999999</v>
      </c>
      <c r="AS25" s="6">
        <v>40331.279999999999</v>
      </c>
      <c r="AT25" s="6">
        <v>0</v>
      </c>
      <c r="AU25" t="s">
        <v>2973</v>
      </c>
      <c r="AV25" t="s">
        <v>2977</v>
      </c>
    </row>
    <row r="26" spans="1:48" x14ac:dyDescent="0.45">
      <c r="A26" s="5" t="s">
        <v>61</v>
      </c>
      <c r="B26">
        <v>1933</v>
      </c>
      <c r="C26" t="s">
        <v>62</v>
      </c>
      <c r="D26">
        <v>143</v>
      </c>
      <c r="E26" t="s">
        <v>63</v>
      </c>
      <c r="F26" t="s">
        <v>2739</v>
      </c>
      <c r="G26" t="s">
        <v>2740</v>
      </c>
      <c r="H26" t="s">
        <v>2745</v>
      </c>
      <c r="I26" t="s">
        <v>2742</v>
      </c>
      <c r="J26">
        <v>435.86206896546997</v>
      </c>
      <c r="K26">
        <v>1</v>
      </c>
      <c r="L26">
        <v>1</v>
      </c>
      <c r="M26">
        <v>2</v>
      </c>
      <c r="N26" s="6">
        <v>2931355.3098253398</v>
      </c>
      <c r="O26" s="6">
        <v>609793.86798561201</v>
      </c>
      <c r="P26" s="6">
        <v>957379.14399476396</v>
      </c>
      <c r="Q26" s="6">
        <v>202947.59205117199</v>
      </c>
      <c r="R26" s="6">
        <v>75637.592450608601</v>
      </c>
      <c r="S26" s="6">
        <v>179392.81924250099</v>
      </c>
      <c r="T26" s="6">
        <v>3364541.28</v>
      </c>
      <c r="U26" s="6">
        <v>1412572.2263074999</v>
      </c>
      <c r="V26" s="6">
        <v>4106093.6788068898</v>
      </c>
      <c r="W26" s="6">
        <v>671019.827500607</v>
      </c>
      <c r="X26" s="6">
        <v>0</v>
      </c>
      <c r="Y26" s="6">
        <v>0</v>
      </c>
      <c r="Z26" s="6">
        <v>0</v>
      </c>
      <c r="AA26" s="6">
        <v>0</v>
      </c>
      <c r="AB26" s="6">
        <v>0</v>
      </c>
      <c r="AC26" s="6">
        <v>179392.81924250099</v>
      </c>
      <c r="AD26" s="6">
        <v>0</v>
      </c>
      <c r="AE26" s="6">
        <v>0</v>
      </c>
      <c r="AF26" s="6">
        <v>0</v>
      </c>
      <c r="AG26" s="6">
        <v>0</v>
      </c>
      <c r="AH26" s="6">
        <v>0</v>
      </c>
      <c r="AI26" s="6">
        <v>0</v>
      </c>
      <c r="AJ26" s="6">
        <v>4956506.3255500002</v>
      </c>
      <c r="AK26" s="6">
        <v>11371.7312848865</v>
      </c>
      <c r="AL26" s="6">
        <v>330.98244656580999</v>
      </c>
      <c r="AM26" s="6">
        <v>93035.839999999997</v>
      </c>
      <c r="AN26" s="6">
        <v>3652.4514494426398</v>
      </c>
      <c r="AO26" s="6">
        <v>13711.2351441357</v>
      </c>
      <c r="AP26" s="6">
        <v>330.98244656580999</v>
      </c>
      <c r="AQ26" s="6">
        <v>93035.839999999997</v>
      </c>
      <c r="AR26" s="6">
        <v>10826.58826479</v>
      </c>
      <c r="AS26" s="6">
        <v>11371.7312848865</v>
      </c>
      <c r="AT26" s="6">
        <v>0</v>
      </c>
      <c r="AU26" t="s">
        <v>2973</v>
      </c>
      <c r="AV26" t="s">
        <v>2973</v>
      </c>
    </row>
    <row r="27" spans="1:48" x14ac:dyDescent="0.45">
      <c r="A27" s="5" t="s">
        <v>64</v>
      </c>
      <c r="B27">
        <v>1933</v>
      </c>
      <c r="C27" t="s">
        <v>62</v>
      </c>
      <c r="D27">
        <v>144</v>
      </c>
      <c r="E27" t="s">
        <v>65</v>
      </c>
      <c r="F27" t="s">
        <v>2739</v>
      </c>
      <c r="G27" t="s">
        <v>2747</v>
      </c>
      <c r="H27" t="s">
        <v>2745</v>
      </c>
      <c r="I27" t="s">
        <v>2742</v>
      </c>
      <c r="J27">
        <v>460.51670515589598</v>
      </c>
      <c r="K27">
        <v>1</v>
      </c>
      <c r="L27">
        <v>1</v>
      </c>
      <c r="M27">
        <v>2</v>
      </c>
      <c r="N27" s="6">
        <v>2775713.7686437699</v>
      </c>
      <c r="O27" s="6">
        <v>935281.44902104395</v>
      </c>
      <c r="P27" s="6">
        <v>1117370.92680317</v>
      </c>
      <c r="Q27" s="6">
        <v>214427.36834742301</v>
      </c>
      <c r="R27" s="6">
        <v>79916.049919081706</v>
      </c>
      <c r="S27" s="6">
        <v>189540.21450471401</v>
      </c>
      <c r="T27" s="6">
        <v>3630234.87</v>
      </c>
      <c r="U27" s="6">
        <v>1492474.6927344899</v>
      </c>
      <c r="V27" s="6">
        <v>4507215.6989177298</v>
      </c>
      <c r="W27" s="6">
        <v>615493.86381675897</v>
      </c>
      <c r="X27" s="6">
        <v>0</v>
      </c>
      <c r="Y27" s="6">
        <v>0</v>
      </c>
      <c r="Z27" s="6">
        <v>0</v>
      </c>
      <c r="AA27" s="6">
        <v>0</v>
      </c>
      <c r="AB27" s="6">
        <v>0</v>
      </c>
      <c r="AC27" s="6">
        <v>189540.21450471401</v>
      </c>
      <c r="AD27" s="6">
        <v>0</v>
      </c>
      <c r="AE27" s="6">
        <v>0</v>
      </c>
      <c r="AF27" s="6">
        <v>0</v>
      </c>
      <c r="AG27" s="6">
        <v>0</v>
      </c>
      <c r="AH27" s="6">
        <v>0</v>
      </c>
      <c r="AI27" s="6">
        <v>0</v>
      </c>
      <c r="AJ27" s="6">
        <v>5312249.7772391997</v>
      </c>
      <c r="AK27" s="6">
        <v>11535.4116751115</v>
      </c>
      <c r="AL27" s="6">
        <v>330.98244656580999</v>
      </c>
      <c r="AM27" s="6">
        <v>93035.839999999997</v>
      </c>
      <c r="AN27" s="6">
        <v>3652.4514494426398</v>
      </c>
      <c r="AO27" s="6">
        <v>13711.2351441357</v>
      </c>
      <c r="AP27" s="6">
        <v>3753.1860850462999</v>
      </c>
      <c r="AQ27" s="6">
        <v>20687.885194392002</v>
      </c>
      <c r="AR27" s="6">
        <v>11535.4116751115</v>
      </c>
      <c r="AS27" s="6">
        <v>11535.4116751115</v>
      </c>
      <c r="AT27" s="6">
        <v>0</v>
      </c>
      <c r="AU27" t="s">
        <v>2973</v>
      </c>
      <c r="AV27" t="s">
        <v>2973</v>
      </c>
    </row>
    <row r="28" spans="1:48" x14ac:dyDescent="0.45">
      <c r="A28" s="5" t="s">
        <v>66</v>
      </c>
      <c r="B28">
        <v>1933</v>
      </c>
      <c r="C28" t="s">
        <v>62</v>
      </c>
      <c r="D28">
        <v>1933</v>
      </c>
      <c r="E28" t="s">
        <v>62</v>
      </c>
      <c r="F28" t="s">
        <v>1</v>
      </c>
      <c r="G28" t="s">
        <v>1</v>
      </c>
      <c r="H28" t="s">
        <v>2743</v>
      </c>
      <c r="I28" t="s">
        <v>2742</v>
      </c>
      <c r="J28">
        <v>10.448289849597</v>
      </c>
      <c r="K28">
        <v>1</v>
      </c>
      <c r="L28">
        <v>3</v>
      </c>
      <c r="M28">
        <v>2</v>
      </c>
      <c r="N28" s="6">
        <v>4149.3561092608097</v>
      </c>
      <c r="O28" s="6">
        <v>5093.0225420899396</v>
      </c>
      <c r="P28" s="6">
        <v>17941.049644199898</v>
      </c>
      <c r="Q28" s="6">
        <v>4864.9685692112798</v>
      </c>
      <c r="R28" s="6">
        <v>1813.15041092107</v>
      </c>
      <c r="S28" s="6">
        <v>4300.3241296743799</v>
      </c>
      <c r="T28" s="6">
        <v>0</v>
      </c>
      <c r="U28" s="6">
        <v>33861.5472756831</v>
      </c>
      <c r="V28" s="6">
        <v>28240.311377478502</v>
      </c>
      <c r="W28" s="6">
        <v>5621.2358982045198</v>
      </c>
      <c r="X28" s="6">
        <v>0</v>
      </c>
      <c r="Y28" s="6">
        <v>0</v>
      </c>
      <c r="Z28" s="6">
        <v>0</v>
      </c>
      <c r="AA28" s="6">
        <v>0</v>
      </c>
      <c r="AB28" s="6">
        <v>0</v>
      </c>
      <c r="AC28" s="6">
        <v>4300.3241296743799</v>
      </c>
      <c r="AD28" s="6">
        <v>0</v>
      </c>
      <c r="AE28" s="6">
        <v>0</v>
      </c>
      <c r="AF28" s="6">
        <v>0</v>
      </c>
      <c r="AG28" s="6">
        <v>0</v>
      </c>
      <c r="AH28" s="6">
        <v>0</v>
      </c>
      <c r="AI28" s="6">
        <v>0</v>
      </c>
      <c r="AJ28" s="6">
        <v>38161.8714053574</v>
      </c>
      <c r="AK28" s="6">
        <v>3652.4514494426398</v>
      </c>
      <c r="AL28" s="6">
        <v>330.98244656580999</v>
      </c>
      <c r="AM28" s="6">
        <v>93035.839999999997</v>
      </c>
      <c r="AN28" s="6">
        <v>3652.4514494426398</v>
      </c>
      <c r="AO28" s="6">
        <v>13711.2351441357</v>
      </c>
      <c r="AP28" s="6">
        <v>634.54287297753501</v>
      </c>
      <c r="AQ28" s="6">
        <v>40331.279999999999</v>
      </c>
      <c r="AR28" s="6">
        <v>3652.4514494426398</v>
      </c>
      <c r="AS28" s="6">
        <v>3652.4514494426398</v>
      </c>
      <c r="AT28" s="6">
        <v>0</v>
      </c>
      <c r="AU28" t="s">
        <v>2973</v>
      </c>
      <c r="AV28" t="s">
        <v>2977</v>
      </c>
    </row>
    <row r="29" spans="1:48" x14ac:dyDescent="0.45">
      <c r="A29" s="5" t="s">
        <v>67</v>
      </c>
      <c r="B29">
        <v>1933</v>
      </c>
      <c r="C29" t="s">
        <v>62</v>
      </c>
      <c r="D29">
        <v>146</v>
      </c>
      <c r="E29" t="s">
        <v>68</v>
      </c>
      <c r="F29" t="s">
        <v>2739</v>
      </c>
      <c r="G29" t="s">
        <v>2744</v>
      </c>
      <c r="H29" t="s">
        <v>2745</v>
      </c>
      <c r="I29" t="s">
        <v>2742</v>
      </c>
      <c r="J29">
        <v>556.32226617542005</v>
      </c>
      <c r="K29">
        <v>1</v>
      </c>
      <c r="L29">
        <v>1</v>
      </c>
      <c r="M29">
        <v>2</v>
      </c>
      <c r="N29" s="6">
        <v>3715212.9864790202</v>
      </c>
      <c r="O29" s="6">
        <v>2024564.85325364</v>
      </c>
      <c r="P29" s="6">
        <v>1303537.13526881</v>
      </c>
      <c r="Q29" s="6">
        <v>259036.68239067899</v>
      </c>
      <c r="R29" s="6">
        <v>96541.726927627999</v>
      </c>
      <c r="S29" s="6">
        <v>228972.023129849</v>
      </c>
      <c r="T29" s="6">
        <v>5595925.3399999999</v>
      </c>
      <c r="U29" s="6">
        <v>1802968.0443197801</v>
      </c>
      <c r="V29" s="6">
        <v>5875877.3355575297</v>
      </c>
      <c r="W29" s="6">
        <v>1523016.04876225</v>
      </c>
      <c r="X29" s="6">
        <v>0</v>
      </c>
      <c r="Y29" s="6">
        <v>0</v>
      </c>
      <c r="Z29" s="6">
        <v>0</v>
      </c>
      <c r="AA29" s="6">
        <v>0</v>
      </c>
      <c r="AB29" s="6">
        <v>0</v>
      </c>
      <c r="AC29" s="6">
        <v>228972.023129849</v>
      </c>
      <c r="AD29" s="6">
        <v>0</v>
      </c>
      <c r="AE29" s="6">
        <v>0</v>
      </c>
      <c r="AF29" s="6">
        <v>0</v>
      </c>
      <c r="AG29" s="6">
        <v>0</v>
      </c>
      <c r="AH29" s="6">
        <v>0</v>
      </c>
      <c r="AI29" s="6">
        <v>0</v>
      </c>
      <c r="AJ29" s="6">
        <v>7627865.4074496301</v>
      </c>
      <c r="AK29" s="6">
        <v>13711.2351441357</v>
      </c>
      <c r="AL29" s="6">
        <v>330.98244656580999</v>
      </c>
      <c r="AM29" s="6">
        <v>93035.839999999997</v>
      </c>
      <c r="AN29" s="6">
        <v>3652.4514494426398</v>
      </c>
      <c r="AO29" s="6">
        <v>13711.2351441357</v>
      </c>
      <c r="AP29" s="6">
        <v>330.98244656580999</v>
      </c>
      <c r="AQ29" s="6">
        <v>40734.411818744898</v>
      </c>
      <c r="AR29" s="6">
        <v>13711.2351441357</v>
      </c>
      <c r="AS29" s="6">
        <v>13711.2351441357</v>
      </c>
      <c r="AT29" s="6">
        <v>0</v>
      </c>
      <c r="AU29" t="s">
        <v>2973</v>
      </c>
      <c r="AV29" t="s">
        <v>2973</v>
      </c>
    </row>
    <row r="30" spans="1:48" x14ac:dyDescent="0.45">
      <c r="A30" s="5" t="s">
        <v>69</v>
      </c>
      <c r="B30">
        <v>1933</v>
      </c>
      <c r="C30" t="s">
        <v>62</v>
      </c>
      <c r="D30">
        <v>147</v>
      </c>
      <c r="E30" t="s">
        <v>70</v>
      </c>
      <c r="F30" t="s">
        <v>2739</v>
      </c>
      <c r="G30" t="s">
        <v>2740</v>
      </c>
      <c r="H30" t="s">
        <v>2745</v>
      </c>
      <c r="I30" t="s">
        <v>2742</v>
      </c>
      <c r="J30">
        <v>413.72988505744001</v>
      </c>
      <c r="K30">
        <v>1</v>
      </c>
      <c r="L30">
        <v>1</v>
      </c>
      <c r="M30">
        <v>2</v>
      </c>
      <c r="N30" s="6">
        <v>2503306.7189425998</v>
      </c>
      <c r="O30" s="6">
        <v>593690.14719761</v>
      </c>
      <c r="P30" s="6">
        <v>945002.16428904003</v>
      </c>
      <c r="Q30" s="6">
        <v>195203.59864151201</v>
      </c>
      <c r="R30" s="6">
        <v>71796.870291759406</v>
      </c>
      <c r="S30" s="6">
        <v>170283.61899325901</v>
      </c>
      <c r="T30" s="6">
        <v>2968154.8</v>
      </c>
      <c r="U30" s="6">
        <v>1340844.6993625299</v>
      </c>
      <c r="V30" s="6">
        <v>3802731.5353403501</v>
      </c>
      <c r="W30" s="6">
        <v>506267.964022175</v>
      </c>
      <c r="X30" s="6">
        <v>0</v>
      </c>
      <c r="Y30" s="6">
        <v>0</v>
      </c>
      <c r="Z30" s="6">
        <v>0</v>
      </c>
      <c r="AA30" s="6">
        <v>0</v>
      </c>
      <c r="AB30" s="6">
        <v>0</v>
      </c>
      <c r="AC30" s="6">
        <v>170283.61899325901</v>
      </c>
      <c r="AD30" s="6">
        <v>0</v>
      </c>
      <c r="AE30" s="6">
        <v>0</v>
      </c>
      <c r="AF30" s="6">
        <v>0</v>
      </c>
      <c r="AG30" s="6">
        <v>0</v>
      </c>
      <c r="AH30" s="6">
        <v>0</v>
      </c>
      <c r="AI30" s="6">
        <v>0</v>
      </c>
      <c r="AJ30" s="6">
        <v>4479283.1183557902</v>
      </c>
      <c r="AK30" s="6">
        <v>10826.58826479</v>
      </c>
      <c r="AL30" s="6">
        <v>330.98244656580999</v>
      </c>
      <c r="AM30" s="6">
        <v>93035.839999999997</v>
      </c>
      <c r="AN30" s="6">
        <v>3652.4514494426398</v>
      </c>
      <c r="AO30" s="6">
        <v>13711.2351441357</v>
      </c>
      <c r="AP30" s="6">
        <v>330.98244656580999</v>
      </c>
      <c r="AQ30" s="6">
        <v>93035.839999999997</v>
      </c>
      <c r="AR30" s="6">
        <v>10826.58826479</v>
      </c>
      <c r="AS30" s="6">
        <v>11371.7312848865</v>
      </c>
      <c r="AT30" s="6">
        <v>0</v>
      </c>
      <c r="AU30" t="s">
        <v>2973</v>
      </c>
      <c r="AV30" t="s">
        <v>2973</v>
      </c>
    </row>
    <row r="31" spans="1:48" x14ac:dyDescent="0.45">
      <c r="A31" s="5" t="s">
        <v>71</v>
      </c>
      <c r="B31">
        <v>2208</v>
      </c>
      <c r="C31" t="s">
        <v>72</v>
      </c>
      <c r="D31">
        <v>1053</v>
      </c>
      <c r="E31" t="s">
        <v>73</v>
      </c>
      <c r="F31" t="s">
        <v>2739</v>
      </c>
      <c r="G31" t="s">
        <v>2740</v>
      </c>
      <c r="H31" t="s">
        <v>2741</v>
      </c>
      <c r="I31" t="s">
        <v>2742</v>
      </c>
      <c r="J31">
        <v>151.076470588223</v>
      </c>
      <c r="K31">
        <v>1</v>
      </c>
      <c r="L31">
        <v>1</v>
      </c>
      <c r="M31">
        <v>2</v>
      </c>
      <c r="N31" s="6">
        <v>1244122.3419482401</v>
      </c>
      <c r="O31" s="6">
        <v>146056.451406318</v>
      </c>
      <c r="P31" s="6">
        <v>394872.681027791</v>
      </c>
      <c r="Q31" s="6">
        <v>99520.500399759796</v>
      </c>
      <c r="R31" s="6">
        <v>124974.347044952</v>
      </c>
      <c r="S31" s="6">
        <v>72379.239649695199</v>
      </c>
      <c r="T31" s="6">
        <v>1371979.45</v>
      </c>
      <c r="U31" s="6">
        <v>637566.87182706303</v>
      </c>
      <c r="V31" s="6">
        <v>1732522.8264236799</v>
      </c>
      <c r="W31" s="6">
        <v>277023.495403382</v>
      </c>
      <c r="X31" s="6">
        <v>0</v>
      </c>
      <c r="Y31" s="6">
        <v>0</v>
      </c>
      <c r="Z31" s="6">
        <v>0</v>
      </c>
      <c r="AA31" s="6">
        <v>0</v>
      </c>
      <c r="AB31" s="6">
        <v>0</v>
      </c>
      <c r="AC31" s="6">
        <v>72252.906984169793</v>
      </c>
      <c r="AD31" s="6">
        <v>126.332665525435</v>
      </c>
      <c r="AE31" s="6">
        <v>0</v>
      </c>
      <c r="AF31" s="6">
        <v>0</v>
      </c>
      <c r="AG31" s="6">
        <v>0</v>
      </c>
      <c r="AH31" s="6">
        <v>0</v>
      </c>
      <c r="AI31" s="6">
        <v>0</v>
      </c>
      <c r="AJ31" s="6">
        <v>2081925.5614767601</v>
      </c>
      <c r="AK31" s="6">
        <v>13780.6076179215</v>
      </c>
      <c r="AL31" s="6">
        <v>330.98244656580999</v>
      </c>
      <c r="AM31" s="6">
        <v>93035.839999999997</v>
      </c>
      <c r="AN31" s="6">
        <v>10998.0359855181</v>
      </c>
      <c r="AO31" s="6">
        <v>16018.130984358901</v>
      </c>
      <c r="AP31" s="6">
        <v>330.98244656580999</v>
      </c>
      <c r="AQ31" s="6">
        <v>93035.839999999997</v>
      </c>
      <c r="AR31" s="6">
        <v>13780.6076179215</v>
      </c>
      <c r="AS31" s="6">
        <v>13780.6076179215</v>
      </c>
      <c r="AT31" s="6">
        <v>0</v>
      </c>
      <c r="AU31" t="s">
        <v>2973</v>
      </c>
      <c r="AV31" t="s">
        <v>2973</v>
      </c>
    </row>
    <row r="32" spans="1:48" x14ac:dyDescent="0.45">
      <c r="A32" s="5" t="s">
        <v>74</v>
      </c>
      <c r="B32">
        <v>2208</v>
      </c>
      <c r="C32" t="s">
        <v>72</v>
      </c>
      <c r="D32">
        <v>1055</v>
      </c>
      <c r="E32" t="s">
        <v>75</v>
      </c>
      <c r="F32" t="s">
        <v>2739</v>
      </c>
      <c r="G32" t="s">
        <v>2747</v>
      </c>
      <c r="H32" t="s">
        <v>2741</v>
      </c>
      <c r="I32" t="s">
        <v>2742</v>
      </c>
      <c r="J32">
        <v>254.186071025123</v>
      </c>
      <c r="K32">
        <v>1</v>
      </c>
      <c r="L32">
        <v>1</v>
      </c>
      <c r="M32">
        <v>2</v>
      </c>
      <c r="N32" s="6">
        <v>1408266.5071512701</v>
      </c>
      <c r="O32" s="6">
        <v>250612.20065120299</v>
      </c>
      <c r="P32" s="6">
        <v>637178.375121483</v>
      </c>
      <c r="Q32" s="6">
        <v>167443.18214858501</v>
      </c>
      <c r="R32" s="6">
        <v>210269.26384102899</v>
      </c>
      <c r="S32" s="6">
        <v>121778.027238187</v>
      </c>
      <c r="T32" s="6">
        <v>1601063.65</v>
      </c>
      <c r="U32" s="6">
        <v>1072705.87891357</v>
      </c>
      <c r="V32" s="6">
        <v>2456351.27279256</v>
      </c>
      <c r="W32" s="6">
        <v>217418.25612101</v>
      </c>
      <c r="X32" s="6">
        <v>0</v>
      </c>
      <c r="Y32" s="6">
        <v>0</v>
      </c>
      <c r="Z32" s="6">
        <v>0</v>
      </c>
      <c r="AA32" s="6">
        <v>0</v>
      </c>
      <c r="AB32" s="6">
        <v>0</v>
      </c>
      <c r="AC32" s="6">
        <v>121565.472604319</v>
      </c>
      <c r="AD32" s="6">
        <v>212.55463386860899</v>
      </c>
      <c r="AE32" s="6">
        <v>0</v>
      </c>
      <c r="AF32" s="6">
        <v>0</v>
      </c>
      <c r="AG32" s="6">
        <v>0</v>
      </c>
      <c r="AH32" s="6">
        <v>0</v>
      </c>
      <c r="AI32" s="6">
        <v>0</v>
      </c>
      <c r="AJ32" s="6">
        <v>2795547.55615175</v>
      </c>
      <c r="AK32" s="6">
        <v>10998.0359855181</v>
      </c>
      <c r="AL32" s="6">
        <v>330.98244656580999</v>
      </c>
      <c r="AM32" s="6">
        <v>93035.839999999997</v>
      </c>
      <c r="AN32" s="6">
        <v>10998.0359855181</v>
      </c>
      <c r="AO32" s="6">
        <v>16018.130984358901</v>
      </c>
      <c r="AP32" s="6">
        <v>3753.1860850462999</v>
      </c>
      <c r="AQ32" s="6">
        <v>20687.885194392002</v>
      </c>
      <c r="AR32" s="6">
        <v>10998.0359855181</v>
      </c>
      <c r="AS32" s="6">
        <v>10998.0359855181</v>
      </c>
      <c r="AT32" s="6">
        <v>0</v>
      </c>
      <c r="AU32" t="s">
        <v>2973</v>
      </c>
      <c r="AV32" t="s">
        <v>2973</v>
      </c>
    </row>
    <row r="33" spans="1:48" x14ac:dyDescent="0.45">
      <c r="A33" s="5" t="s">
        <v>76</v>
      </c>
      <c r="B33">
        <v>2208</v>
      </c>
      <c r="C33" t="s">
        <v>72</v>
      </c>
      <c r="D33">
        <v>1056</v>
      </c>
      <c r="E33" t="s">
        <v>77</v>
      </c>
      <c r="F33" t="s">
        <v>2739</v>
      </c>
      <c r="G33" t="s">
        <v>2744</v>
      </c>
      <c r="H33" t="s">
        <v>2741</v>
      </c>
      <c r="I33" t="s">
        <v>2742</v>
      </c>
      <c r="J33">
        <v>179.215152203126</v>
      </c>
      <c r="K33">
        <v>1</v>
      </c>
      <c r="L33">
        <v>1</v>
      </c>
      <c r="M33">
        <v>2</v>
      </c>
      <c r="N33" s="6">
        <v>1588715.6709004899</v>
      </c>
      <c r="O33" s="6">
        <v>435331.55794247898</v>
      </c>
      <c r="P33" s="6">
        <v>473570.11385072698</v>
      </c>
      <c r="Q33" s="6">
        <v>118056.64745165499</v>
      </c>
      <c r="R33" s="6">
        <v>169157.58911401901</v>
      </c>
      <c r="S33" s="6">
        <v>85860.203112117495</v>
      </c>
      <c r="T33" s="6">
        <v>2028514.97</v>
      </c>
      <c r="U33" s="6">
        <v>756316.60925937199</v>
      </c>
      <c r="V33" s="6">
        <v>2236636.3907837602</v>
      </c>
      <c r="W33" s="6">
        <v>548195.18847560801</v>
      </c>
      <c r="X33" s="6">
        <v>0</v>
      </c>
      <c r="Y33" s="6">
        <v>0</v>
      </c>
      <c r="Z33" s="6">
        <v>0</v>
      </c>
      <c r="AA33" s="6">
        <v>0</v>
      </c>
      <c r="AB33" s="6">
        <v>0</v>
      </c>
      <c r="AC33" s="6">
        <v>85710.340411511497</v>
      </c>
      <c r="AD33" s="6">
        <v>149.862700605957</v>
      </c>
      <c r="AE33" s="6">
        <v>0</v>
      </c>
      <c r="AF33" s="6">
        <v>0</v>
      </c>
      <c r="AG33" s="6">
        <v>0</v>
      </c>
      <c r="AH33" s="6">
        <v>0</v>
      </c>
      <c r="AI33" s="6">
        <v>0</v>
      </c>
      <c r="AJ33" s="6">
        <v>2870691.7823714898</v>
      </c>
      <c r="AK33" s="6">
        <v>16018.130984358901</v>
      </c>
      <c r="AL33" s="6">
        <v>330.98244656580999</v>
      </c>
      <c r="AM33" s="6">
        <v>93035.839999999997</v>
      </c>
      <c r="AN33" s="6">
        <v>10998.0359855181</v>
      </c>
      <c r="AO33" s="6">
        <v>16018.130984358901</v>
      </c>
      <c r="AP33" s="6">
        <v>330.98244656580999</v>
      </c>
      <c r="AQ33" s="6">
        <v>40734.411818744898</v>
      </c>
      <c r="AR33" s="6">
        <v>16018.130984358901</v>
      </c>
      <c r="AS33" s="6">
        <v>16018.130984358901</v>
      </c>
      <c r="AT33" s="6">
        <v>0</v>
      </c>
      <c r="AU33" t="s">
        <v>2973</v>
      </c>
      <c r="AV33" t="s">
        <v>2973</v>
      </c>
    </row>
    <row r="34" spans="1:48" x14ac:dyDescent="0.45">
      <c r="A34" s="5" t="s">
        <v>78</v>
      </c>
      <c r="B34">
        <v>1894</v>
      </c>
      <c r="C34" t="s">
        <v>79</v>
      </c>
      <c r="D34">
        <v>4759</v>
      </c>
      <c r="E34" t="s">
        <v>80</v>
      </c>
      <c r="F34" t="s">
        <v>3</v>
      </c>
      <c r="G34" t="s">
        <v>2744</v>
      </c>
      <c r="H34" t="s">
        <v>2745</v>
      </c>
      <c r="I34" t="s">
        <v>2742</v>
      </c>
      <c r="J34">
        <v>318.52968960370401</v>
      </c>
      <c r="K34">
        <v>1</v>
      </c>
      <c r="L34">
        <v>1</v>
      </c>
      <c r="M34">
        <v>2</v>
      </c>
      <c r="N34" s="6">
        <v>215766.83833525301</v>
      </c>
      <c r="O34" s="6">
        <v>187240.83183757501</v>
      </c>
      <c r="P34" s="6">
        <v>443315.51751102897</v>
      </c>
      <c r="Q34" s="6">
        <v>101461.472155953</v>
      </c>
      <c r="R34" s="6">
        <v>157333.72343046399</v>
      </c>
      <c r="S34" s="6">
        <v>126185.67583866901</v>
      </c>
      <c r="T34" s="6">
        <v>0</v>
      </c>
      <c r="U34" s="6">
        <v>1105118.38327027</v>
      </c>
      <c r="V34" s="6">
        <v>752151.32325689401</v>
      </c>
      <c r="W34" s="6">
        <v>321483.15479601099</v>
      </c>
      <c r="X34" s="6">
        <v>0</v>
      </c>
      <c r="Y34" s="6">
        <v>0</v>
      </c>
      <c r="Z34" s="6">
        <v>2657.7079784706498</v>
      </c>
      <c r="AA34" s="6">
        <v>0</v>
      </c>
      <c r="AB34" s="6">
        <v>28826.197238896901</v>
      </c>
      <c r="AC34" s="6">
        <v>126153.38738241</v>
      </c>
      <c r="AD34" s="6">
        <v>32.288456258858801</v>
      </c>
      <c r="AE34" s="6">
        <v>0</v>
      </c>
      <c r="AF34" s="6">
        <v>0</v>
      </c>
      <c r="AG34" s="6">
        <v>0</v>
      </c>
      <c r="AH34" s="6">
        <v>0</v>
      </c>
      <c r="AI34" s="6">
        <v>0</v>
      </c>
      <c r="AJ34" s="6">
        <v>1231304.05910894</v>
      </c>
      <c r="AK34" s="6">
        <v>3865.5864721459898</v>
      </c>
      <c r="AL34" s="6">
        <v>330.98244656580999</v>
      </c>
      <c r="AM34" s="6">
        <v>93035.839999999997</v>
      </c>
      <c r="AN34" s="6">
        <v>3865.5864721459898</v>
      </c>
      <c r="AO34" s="6">
        <v>17324.544949095802</v>
      </c>
      <c r="AP34" s="6">
        <v>330.98244656580999</v>
      </c>
      <c r="AQ34" s="6">
        <v>40734.411818744898</v>
      </c>
      <c r="AR34" s="6">
        <v>3865.5864721459898</v>
      </c>
      <c r="AS34" s="6">
        <v>17324.544949095802</v>
      </c>
      <c r="AT34" s="6">
        <v>0</v>
      </c>
      <c r="AU34" t="s">
        <v>2973</v>
      </c>
      <c r="AV34" t="s">
        <v>2976</v>
      </c>
    </row>
    <row r="35" spans="1:48" x14ac:dyDescent="0.45">
      <c r="A35" s="5" t="s">
        <v>81</v>
      </c>
      <c r="B35">
        <v>1894</v>
      </c>
      <c r="C35" t="s">
        <v>79</v>
      </c>
      <c r="D35">
        <v>8</v>
      </c>
      <c r="E35" t="s">
        <v>82</v>
      </c>
      <c r="F35" t="s">
        <v>2739</v>
      </c>
      <c r="G35" t="s">
        <v>2744</v>
      </c>
      <c r="H35" t="s">
        <v>2745</v>
      </c>
      <c r="I35" t="s">
        <v>2742</v>
      </c>
      <c r="J35">
        <v>415.30811983504799</v>
      </c>
      <c r="K35">
        <v>1</v>
      </c>
      <c r="L35">
        <v>1</v>
      </c>
      <c r="M35">
        <v>2</v>
      </c>
      <c r="N35" s="6">
        <v>3112070.0651463801</v>
      </c>
      <c r="O35" s="6">
        <v>2261093.89197892</v>
      </c>
      <c r="P35" s="6">
        <v>1295653.92136275</v>
      </c>
      <c r="Q35" s="6">
        <v>132288.36937997901</v>
      </c>
      <c r="R35" s="6">
        <v>229393.44863991701</v>
      </c>
      <c r="S35" s="6">
        <v>164524.49329879601</v>
      </c>
      <c r="T35" s="6">
        <v>5589614.7400000002</v>
      </c>
      <c r="U35" s="6">
        <v>1440884.9565079501</v>
      </c>
      <c r="V35" s="6">
        <v>5369233.1781612001</v>
      </c>
      <c r="W35" s="6">
        <v>1620216.90222727</v>
      </c>
      <c r="X35" s="6">
        <v>0</v>
      </c>
      <c r="Y35" s="6">
        <v>0</v>
      </c>
      <c r="Z35" s="6">
        <v>3465.1956776226798</v>
      </c>
      <c r="AA35" s="6">
        <v>0</v>
      </c>
      <c r="AB35" s="6">
        <v>37584.420441859103</v>
      </c>
      <c r="AC35" s="6">
        <v>164482.39468601701</v>
      </c>
      <c r="AD35" s="6">
        <v>42.098612779004497</v>
      </c>
      <c r="AE35" s="6">
        <v>0</v>
      </c>
      <c r="AF35" s="6">
        <v>0</v>
      </c>
      <c r="AG35" s="6">
        <v>0</v>
      </c>
      <c r="AH35" s="6">
        <v>0</v>
      </c>
      <c r="AI35" s="6">
        <v>0</v>
      </c>
      <c r="AJ35" s="6">
        <v>7195024.18980675</v>
      </c>
      <c r="AK35" s="6">
        <v>17324.544949095802</v>
      </c>
      <c r="AL35" s="6">
        <v>330.98244656580999</v>
      </c>
      <c r="AM35" s="6">
        <v>93035.839999999997</v>
      </c>
      <c r="AN35" s="6">
        <v>3865.5864721459898</v>
      </c>
      <c r="AO35" s="6">
        <v>17324.544949095802</v>
      </c>
      <c r="AP35" s="6">
        <v>330.98244656580999</v>
      </c>
      <c r="AQ35" s="6">
        <v>40734.411818744898</v>
      </c>
      <c r="AR35" s="6">
        <v>3865.5864721459898</v>
      </c>
      <c r="AS35" s="6">
        <v>17324.544949095802</v>
      </c>
      <c r="AT35" s="6">
        <v>0</v>
      </c>
      <c r="AU35" t="s">
        <v>2973</v>
      </c>
      <c r="AV35" t="s">
        <v>2973</v>
      </c>
    </row>
    <row r="36" spans="1:48" x14ac:dyDescent="0.45">
      <c r="A36" s="5" t="s">
        <v>83</v>
      </c>
      <c r="B36">
        <v>1894</v>
      </c>
      <c r="C36" t="s">
        <v>79</v>
      </c>
      <c r="D36">
        <v>1</v>
      </c>
      <c r="E36" t="s">
        <v>84</v>
      </c>
      <c r="F36" t="s">
        <v>2739</v>
      </c>
      <c r="G36" t="s">
        <v>2747</v>
      </c>
      <c r="H36" t="s">
        <v>2745</v>
      </c>
      <c r="I36" t="s">
        <v>2742</v>
      </c>
      <c r="J36">
        <v>252.444241826693</v>
      </c>
      <c r="K36">
        <v>1</v>
      </c>
      <c r="L36">
        <v>1</v>
      </c>
      <c r="M36">
        <v>2</v>
      </c>
      <c r="N36" s="6">
        <v>1410974.87933839</v>
      </c>
      <c r="O36" s="6">
        <v>577621.21174413501</v>
      </c>
      <c r="P36" s="6">
        <v>513418.94755544898</v>
      </c>
      <c r="Q36" s="6">
        <v>80411.230880538395</v>
      </c>
      <c r="R36" s="6">
        <v>124691.649857158</v>
      </c>
      <c r="S36" s="6">
        <v>100005.89680074601</v>
      </c>
      <c r="T36" s="6">
        <v>1831278.77</v>
      </c>
      <c r="U36" s="6">
        <v>875839.14937567106</v>
      </c>
      <c r="V36" s="6">
        <v>2247072.3484408599</v>
      </c>
      <c r="W36" s="6">
        <v>435093.640732545</v>
      </c>
      <c r="X36" s="6">
        <v>0</v>
      </c>
      <c r="Y36" s="6">
        <v>0</v>
      </c>
      <c r="Z36" s="6">
        <v>2106.3125275904399</v>
      </c>
      <c r="AA36" s="6">
        <v>0</v>
      </c>
      <c r="AB36" s="6">
        <v>22845.6176746778</v>
      </c>
      <c r="AC36" s="6">
        <v>99980.307239941394</v>
      </c>
      <c r="AD36" s="6">
        <v>25.589560804090201</v>
      </c>
      <c r="AE36" s="6">
        <v>0</v>
      </c>
      <c r="AF36" s="6">
        <v>0</v>
      </c>
      <c r="AG36" s="6">
        <v>0</v>
      </c>
      <c r="AH36" s="6">
        <v>0</v>
      </c>
      <c r="AI36" s="6">
        <v>0</v>
      </c>
      <c r="AJ36" s="6">
        <v>2807123.8161764201</v>
      </c>
      <c r="AK36" s="6">
        <v>11119.7775630135</v>
      </c>
      <c r="AL36" s="6">
        <v>330.98244656580999</v>
      </c>
      <c r="AM36" s="6">
        <v>93035.839999999997</v>
      </c>
      <c r="AN36" s="6">
        <v>3865.5864721459898</v>
      </c>
      <c r="AO36" s="6">
        <v>17324.544949095802</v>
      </c>
      <c r="AP36" s="6">
        <v>3753.1860850462999</v>
      </c>
      <c r="AQ36" s="6">
        <v>20687.885194392002</v>
      </c>
      <c r="AR36" s="6">
        <v>11119.7775630135</v>
      </c>
      <c r="AS36" s="6">
        <v>11119.7775630135</v>
      </c>
      <c r="AT36" s="6">
        <v>0</v>
      </c>
      <c r="AU36" t="s">
        <v>2973</v>
      </c>
      <c r="AV36" t="s">
        <v>2973</v>
      </c>
    </row>
    <row r="37" spans="1:48" x14ac:dyDescent="0.45">
      <c r="A37" s="5" t="s">
        <v>85</v>
      </c>
      <c r="B37">
        <v>1894</v>
      </c>
      <c r="C37" t="s">
        <v>79</v>
      </c>
      <c r="D37">
        <v>1894</v>
      </c>
      <c r="E37" t="s">
        <v>79</v>
      </c>
      <c r="F37" t="s">
        <v>1</v>
      </c>
      <c r="G37" t="s">
        <v>1</v>
      </c>
      <c r="H37" t="s">
        <v>2743</v>
      </c>
      <c r="I37" t="s">
        <v>2742</v>
      </c>
      <c r="J37">
        <v>1.7536725932266</v>
      </c>
      <c r="K37">
        <v>0</v>
      </c>
      <c r="L37">
        <v>0</v>
      </c>
      <c r="M37">
        <v>2</v>
      </c>
      <c r="N37" s="6">
        <v>1187.9093323653699</v>
      </c>
      <c r="O37" s="6">
        <v>1030.85874203761</v>
      </c>
      <c r="P37" s="6">
        <v>2440.6838627143002</v>
      </c>
      <c r="Q37" s="6">
        <v>558.59848797670395</v>
      </c>
      <c r="R37" s="6">
        <v>866.20446311793205</v>
      </c>
      <c r="S37" s="6">
        <v>694.71816473799402</v>
      </c>
      <c r="T37" s="6">
        <v>0</v>
      </c>
      <c r="U37" s="6">
        <v>6084.2548882119199</v>
      </c>
      <c r="V37" s="6">
        <v>4140.9865535479203</v>
      </c>
      <c r="W37" s="6">
        <v>1769.9329643374999</v>
      </c>
      <c r="X37" s="6">
        <v>0</v>
      </c>
      <c r="Y37" s="6">
        <v>0</v>
      </c>
      <c r="Z37" s="6">
        <v>14.6320729111382</v>
      </c>
      <c r="AA37" s="6">
        <v>0</v>
      </c>
      <c r="AB37" s="6">
        <v>158.70329741535599</v>
      </c>
      <c r="AC37" s="6">
        <v>694.54039989324997</v>
      </c>
      <c r="AD37" s="6">
        <v>0.17776484474399801</v>
      </c>
      <c r="AE37" s="6">
        <v>0</v>
      </c>
      <c r="AF37" s="6">
        <v>0</v>
      </c>
      <c r="AG37" s="6">
        <v>0</v>
      </c>
      <c r="AH37" s="6">
        <v>0</v>
      </c>
      <c r="AI37" s="6">
        <v>0</v>
      </c>
      <c r="AJ37" s="6">
        <v>6778.9730529499202</v>
      </c>
      <c r="AK37" s="6">
        <v>3865.5864721459898</v>
      </c>
      <c r="AL37" s="6">
        <v>330.98244656580999</v>
      </c>
      <c r="AM37" s="6">
        <v>93035.839999999997</v>
      </c>
      <c r="AN37" s="6">
        <v>3865.5864721459898</v>
      </c>
      <c r="AO37" s="6">
        <v>17324.544949095802</v>
      </c>
      <c r="AP37" s="6">
        <v>634.54287297753501</v>
      </c>
      <c r="AQ37" s="6">
        <v>40331.279999999999</v>
      </c>
      <c r="AR37" s="6">
        <v>3865.5864721459898</v>
      </c>
      <c r="AS37" s="6">
        <v>3865.5864721459898</v>
      </c>
      <c r="AT37" s="6">
        <v>0</v>
      </c>
      <c r="AU37" t="s">
        <v>2973</v>
      </c>
      <c r="AV37" t="s">
        <v>2977</v>
      </c>
    </row>
    <row r="38" spans="1:48" x14ac:dyDescent="0.45">
      <c r="A38" s="5" t="s">
        <v>86</v>
      </c>
      <c r="B38">
        <v>1894</v>
      </c>
      <c r="C38" t="s">
        <v>79</v>
      </c>
      <c r="D38">
        <v>4728</v>
      </c>
      <c r="E38" t="s">
        <v>87</v>
      </c>
      <c r="F38" t="s">
        <v>3</v>
      </c>
      <c r="G38" t="s">
        <v>2748</v>
      </c>
      <c r="H38" t="s">
        <v>2749</v>
      </c>
      <c r="I38" t="s">
        <v>2742</v>
      </c>
      <c r="J38">
        <v>1806.4482254852001</v>
      </c>
      <c r="K38">
        <v>1</v>
      </c>
      <c r="L38">
        <v>1</v>
      </c>
      <c r="M38">
        <v>2</v>
      </c>
      <c r="N38" s="6">
        <v>1223658.6885015301</v>
      </c>
      <c r="O38" s="6">
        <v>1061881.76314798</v>
      </c>
      <c r="P38" s="6">
        <v>2514134.6507893601</v>
      </c>
      <c r="Q38" s="6">
        <v>575409.14493487205</v>
      </c>
      <c r="R38" s="6">
        <v>892272.32115645299</v>
      </c>
      <c r="S38" s="6">
        <v>715625.25453753804</v>
      </c>
      <c r="T38" s="6">
        <v>0</v>
      </c>
      <c r="U38" s="6">
        <v>6267356.5685302</v>
      </c>
      <c r="V38" s="6">
        <v>4265606.8414979</v>
      </c>
      <c r="W38" s="6">
        <v>1823197.9418532799</v>
      </c>
      <c r="X38" s="6">
        <v>0</v>
      </c>
      <c r="Y38" s="6">
        <v>0</v>
      </c>
      <c r="Z38" s="6">
        <v>15072.415596609801</v>
      </c>
      <c r="AA38" s="6">
        <v>0</v>
      </c>
      <c r="AB38" s="6">
        <v>163479.369582402</v>
      </c>
      <c r="AC38" s="6">
        <v>715442.13997579901</v>
      </c>
      <c r="AD38" s="6">
        <v>183.11456173846699</v>
      </c>
      <c r="AE38" s="6">
        <v>0</v>
      </c>
      <c r="AF38" s="6">
        <v>0</v>
      </c>
      <c r="AG38" s="6">
        <v>0</v>
      </c>
      <c r="AH38" s="6">
        <v>0</v>
      </c>
      <c r="AI38" s="6">
        <v>0</v>
      </c>
      <c r="AJ38" s="6">
        <v>6982981.8230677396</v>
      </c>
      <c r="AK38" s="6">
        <v>3865.5864721459998</v>
      </c>
      <c r="AL38" s="6">
        <v>330.98244656580999</v>
      </c>
      <c r="AM38" s="6">
        <v>93035.839999999997</v>
      </c>
      <c r="AN38" s="6">
        <v>3865.5864721459898</v>
      </c>
      <c r="AO38" s="6">
        <v>17324.544949095802</v>
      </c>
      <c r="AP38" s="6">
        <v>330.98244656580999</v>
      </c>
      <c r="AQ38" s="6">
        <v>56162.493707719797</v>
      </c>
      <c r="AR38" s="6">
        <v>3865.5864721459998</v>
      </c>
      <c r="AS38" s="6">
        <v>3865.5864721459998</v>
      </c>
      <c r="AT38" s="6">
        <v>0</v>
      </c>
      <c r="AU38" t="s">
        <v>2973</v>
      </c>
      <c r="AV38" t="s">
        <v>2976</v>
      </c>
    </row>
    <row r="39" spans="1:48" x14ac:dyDescent="0.45">
      <c r="A39" s="5" t="s">
        <v>88</v>
      </c>
      <c r="B39">
        <v>1894</v>
      </c>
      <c r="C39" t="s">
        <v>79</v>
      </c>
      <c r="D39">
        <v>2</v>
      </c>
      <c r="E39" t="s">
        <v>89</v>
      </c>
      <c r="F39" t="s">
        <v>2739</v>
      </c>
      <c r="G39" t="s">
        <v>2740</v>
      </c>
      <c r="H39" t="s">
        <v>2741</v>
      </c>
      <c r="I39" t="s">
        <v>2742</v>
      </c>
      <c r="J39">
        <v>429.69944100871498</v>
      </c>
      <c r="K39">
        <v>1</v>
      </c>
      <c r="L39">
        <v>2</v>
      </c>
      <c r="M39">
        <v>2</v>
      </c>
      <c r="N39" s="6">
        <v>2720969.00237267</v>
      </c>
      <c r="O39" s="6">
        <v>572240.39081650996</v>
      </c>
      <c r="P39" s="6">
        <v>816294.93492525199</v>
      </c>
      <c r="Q39" s="6">
        <v>136872.44640704099</v>
      </c>
      <c r="R39" s="6">
        <v>231919.170255028</v>
      </c>
      <c r="S39" s="6">
        <v>170225.62147548099</v>
      </c>
      <c r="T39" s="6">
        <v>2987481.22</v>
      </c>
      <c r="U39" s="6">
        <v>1490814.7247764999</v>
      </c>
      <c r="V39" s="6">
        <v>3599708.2186658499</v>
      </c>
      <c r="W39" s="6">
        <v>816441.10234727</v>
      </c>
      <c r="X39" s="6">
        <v>0</v>
      </c>
      <c r="Y39" s="6">
        <v>0</v>
      </c>
      <c r="Z39" s="6">
        <v>3585.27217395046</v>
      </c>
      <c r="AA39" s="6">
        <v>0</v>
      </c>
      <c r="AB39" s="6">
        <v>58561.351589426798</v>
      </c>
      <c r="AC39" s="6">
        <v>170182.06405506399</v>
      </c>
      <c r="AD39" s="6">
        <v>43.557420417316798</v>
      </c>
      <c r="AE39" s="6">
        <v>0</v>
      </c>
      <c r="AF39" s="6">
        <v>0</v>
      </c>
      <c r="AG39" s="6">
        <v>0</v>
      </c>
      <c r="AH39" s="6">
        <v>0</v>
      </c>
      <c r="AI39" s="6">
        <v>0</v>
      </c>
      <c r="AJ39" s="6">
        <v>4648521.5662519699</v>
      </c>
      <c r="AK39" s="6">
        <v>10818.076829096201</v>
      </c>
      <c r="AL39" s="6">
        <v>330.98244656580999</v>
      </c>
      <c r="AM39" s="6">
        <v>93035.839999999997</v>
      </c>
      <c r="AN39" s="6">
        <v>3865.5864721459898</v>
      </c>
      <c r="AO39" s="6">
        <v>17324.544949095802</v>
      </c>
      <c r="AP39" s="6">
        <v>330.98244656580999</v>
      </c>
      <c r="AQ39" s="6">
        <v>93035.839999999997</v>
      </c>
      <c r="AR39" s="6">
        <v>9200.2621517329098</v>
      </c>
      <c r="AS39" s="6">
        <v>10857.382259821299</v>
      </c>
      <c r="AT39" s="6">
        <v>0</v>
      </c>
      <c r="AU39" t="s">
        <v>2973</v>
      </c>
      <c r="AV39" t="s">
        <v>2973</v>
      </c>
    </row>
    <row r="40" spans="1:48" x14ac:dyDescent="0.45">
      <c r="A40" s="5" t="s">
        <v>90</v>
      </c>
      <c r="B40">
        <v>1894</v>
      </c>
      <c r="C40" t="s">
        <v>79</v>
      </c>
      <c r="D40">
        <v>3493</v>
      </c>
      <c r="E40" t="s">
        <v>91</v>
      </c>
      <c r="F40" t="s">
        <v>2750</v>
      </c>
      <c r="G40" t="s">
        <v>2744</v>
      </c>
      <c r="H40" t="s">
        <v>2749</v>
      </c>
      <c r="I40" t="s">
        <v>2742</v>
      </c>
      <c r="J40">
        <v>17.048074159235</v>
      </c>
      <c r="K40">
        <v>1</v>
      </c>
      <c r="L40">
        <v>1</v>
      </c>
      <c r="M40">
        <v>2</v>
      </c>
      <c r="N40" s="6">
        <v>85801.858549044002</v>
      </c>
      <c r="O40" s="6">
        <v>12217.003978249701</v>
      </c>
      <c r="P40" s="6">
        <v>23726.754726915598</v>
      </c>
      <c r="Q40" s="6">
        <v>5430.3343081515004</v>
      </c>
      <c r="R40" s="6">
        <v>13964.301249927499</v>
      </c>
      <c r="S40" s="6">
        <v>6753.6020337923101</v>
      </c>
      <c r="T40" s="6">
        <v>81993.05</v>
      </c>
      <c r="U40" s="6">
        <v>59147.202812288197</v>
      </c>
      <c r="V40" s="6">
        <v>106536.38110873</v>
      </c>
      <c r="W40" s="6">
        <v>32918.817002265198</v>
      </c>
      <c r="X40" s="6">
        <v>0</v>
      </c>
      <c r="Y40" s="6">
        <v>0</v>
      </c>
      <c r="Z40" s="6">
        <v>142.243577881009</v>
      </c>
      <c r="AA40" s="6">
        <v>0</v>
      </c>
      <c r="AB40" s="6">
        <v>1542.81112341163</v>
      </c>
      <c r="AC40" s="6">
        <v>6751.8739185969098</v>
      </c>
      <c r="AD40" s="6">
        <v>1.7281151953938301</v>
      </c>
      <c r="AE40" s="6">
        <v>0</v>
      </c>
      <c r="AF40" s="6">
        <v>0</v>
      </c>
      <c r="AG40" s="6">
        <v>0</v>
      </c>
      <c r="AH40" s="6">
        <v>0</v>
      </c>
      <c r="AI40" s="6">
        <v>0</v>
      </c>
      <c r="AJ40" s="6">
        <v>147893.854846081</v>
      </c>
      <c r="AK40" s="6">
        <v>8675.1062591997197</v>
      </c>
      <c r="AL40" s="6">
        <v>330.98244656580999</v>
      </c>
      <c r="AM40" s="6">
        <v>93035.839999999997</v>
      </c>
      <c r="AN40" s="6">
        <v>3865.5864721459898</v>
      </c>
      <c r="AO40" s="6">
        <v>17324.544949095802</v>
      </c>
      <c r="AP40" s="6">
        <v>330.98244656580999</v>
      </c>
      <c r="AQ40" s="6">
        <v>40734.411818744898</v>
      </c>
      <c r="AR40" s="6">
        <v>3865.5864721459898</v>
      </c>
      <c r="AS40" s="6">
        <v>17324.544949095802</v>
      </c>
      <c r="AT40" s="6">
        <v>0</v>
      </c>
      <c r="AU40" t="s">
        <v>2973</v>
      </c>
      <c r="AV40" t="s">
        <v>2973</v>
      </c>
    </row>
    <row r="41" spans="1:48" x14ac:dyDescent="0.45">
      <c r="A41" s="5" t="s">
        <v>92</v>
      </c>
      <c r="B41">
        <v>1894</v>
      </c>
      <c r="C41" t="s">
        <v>79</v>
      </c>
      <c r="D41">
        <v>4</v>
      </c>
      <c r="E41" t="s">
        <v>93</v>
      </c>
      <c r="F41" t="s">
        <v>2739</v>
      </c>
      <c r="G41" t="s">
        <v>2740</v>
      </c>
      <c r="H41" t="s">
        <v>2741</v>
      </c>
      <c r="I41" t="s">
        <v>2742</v>
      </c>
      <c r="J41">
        <v>153.47259310569399</v>
      </c>
      <c r="K41">
        <v>1</v>
      </c>
      <c r="L41">
        <v>1</v>
      </c>
      <c r="M41">
        <v>2</v>
      </c>
      <c r="N41" s="6">
        <v>884733.05194354698</v>
      </c>
      <c r="O41" s="6">
        <v>261545.125252745</v>
      </c>
      <c r="P41" s="6">
        <v>334542.61932543002</v>
      </c>
      <c r="Q41" s="6">
        <v>48885.726324188203</v>
      </c>
      <c r="R41" s="6">
        <v>75805.852031843606</v>
      </c>
      <c r="S41" s="6">
        <v>60798.234876783703</v>
      </c>
      <c r="T41" s="6">
        <v>1073049.03</v>
      </c>
      <c r="U41" s="6">
        <v>532463.34487775399</v>
      </c>
      <c r="V41" s="6">
        <v>1408384.9073675999</v>
      </c>
      <c r="W41" s="6">
        <v>181958.02889106001</v>
      </c>
      <c r="X41" s="6">
        <v>0</v>
      </c>
      <c r="Y41" s="6">
        <v>0</v>
      </c>
      <c r="Z41" s="6">
        <v>1280.52532773648</v>
      </c>
      <c r="AA41" s="6">
        <v>0</v>
      </c>
      <c r="AB41" s="6">
        <v>13888.913291360101</v>
      </c>
      <c r="AC41" s="6">
        <v>60782.677792872302</v>
      </c>
      <c r="AD41" s="6">
        <v>15.557083911368</v>
      </c>
      <c r="AE41" s="6">
        <v>0</v>
      </c>
      <c r="AF41" s="6">
        <v>0</v>
      </c>
      <c r="AG41" s="6">
        <v>0</v>
      </c>
      <c r="AH41" s="6">
        <v>0</v>
      </c>
      <c r="AI41" s="6">
        <v>0</v>
      </c>
      <c r="AJ41" s="6">
        <v>1666310.60975454</v>
      </c>
      <c r="AK41" s="6">
        <v>10857.382259821299</v>
      </c>
      <c r="AL41" s="6">
        <v>330.98244656580999</v>
      </c>
      <c r="AM41" s="6">
        <v>93035.839999999997</v>
      </c>
      <c r="AN41" s="6">
        <v>3865.5864721459898</v>
      </c>
      <c r="AO41" s="6">
        <v>17324.544949095802</v>
      </c>
      <c r="AP41" s="6">
        <v>330.98244656580999</v>
      </c>
      <c r="AQ41" s="6">
        <v>93035.839999999997</v>
      </c>
      <c r="AR41" s="6">
        <v>9200.2621517329098</v>
      </c>
      <c r="AS41" s="6">
        <v>10857.382259821299</v>
      </c>
      <c r="AT41" s="6">
        <v>0</v>
      </c>
      <c r="AU41" t="s">
        <v>2973</v>
      </c>
      <c r="AV41" t="s">
        <v>2973</v>
      </c>
    </row>
    <row r="42" spans="1:48" x14ac:dyDescent="0.45">
      <c r="A42" s="5" t="s">
        <v>94</v>
      </c>
      <c r="B42">
        <v>1894</v>
      </c>
      <c r="C42" t="s">
        <v>79</v>
      </c>
      <c r="D42">
        <v>5</v>
      </c>
      <c r="E42" t="s">
        <v>95</v>
      </c>
      <c r="F42" t="s">
        <v>2739</v>
      </c>
      <c r="G42" t="s">
        <v>2740</v>
      </c>
      <c r="H42" t="s">
        <v>2741</v>
      </c>
      <c r="I42" t="s">
        <v>2742</v>
      </c>
      <c r="J42">
        <v>28</v>
      </c>
      <c r="K42">
        <v>1</v>
      </c>
      <c r="L42">
        <v>1</v>
      </c>
      <c r="M42">
        <v>2</v>
      </c>
      <c r="N42" s="6">
        <v>190357.22523779399</v>
      </c>
      <c r="O42" s="6">
        <v>19984.6081927173</v>
      </c>
      <c r="P42" s="6">
        <v>58804.570161340504</v>
      </c>
      <c r="Q42" s="6">
        <v>8918.8584709362203</v>
      </c>
      <c r="R42" s="6">
        <v>13830.2469120975</v>
      </c>
      <c r="S42" s="6">
        <v>11092.2122452024</v>
      </c>
      <c r="T42" s="6">
        <v>194751.3</v>
      </c>
      <c r="U42" s="6">
        <v>97144.208974885201</v>
      </c>
      <c r="V42" s="6">
        <v>260868.33002440701</v>
      </c>
      <c r="W42" s="6">
        <v>28259.621090541001</v>
      </c>
      <c r="X42" s="6">
        <v>0</v>
      </c>
      <c r="Y42" s="6">
        <v>0</v>
      </c>
      <c r="Z42" s="6">
        <v>233.62287983189901</v>
      </c>
      <c r="AA42" s="6">
        <v>0</v>
      </c>
      <c r="AB42" s="6">
        <v>2533.9349801059402</v>
      </c>
      <c r="AC42" s="6">
        <v>11089.373964173101</v>
      </c>
      <c r="AD42" s="6">
        <v>2.8382810292279101</v>
      </c>
      <c r="AE42" s="6">
        <v>0</v>
      </c>
      <c r="AF42" s="6">
        <v>0</v>
      </c>
      <c r="AG42" s="6">
        <v>0</v>
      </c>
      <c r="AH42" s="6">
        <v>0</v>
      </c>
      <c r="AI42" s="6">
        <v>0</v>
      </c>
      <c r="AJ42" s="6">
        <v>302987.72122008802</v>
      </c>
      <c r="AK42" s="6">
        <v>10820.9900435746</v>
      </c>
      <c r="AL42" s="6">
        <v>330.98244656580999</v>
      </c>
      <c r="AM42" s="6">
        <v>93035.839999999997</v>
      </c>
      <c r="AN42" s="6">
        <v>3865.5864721459898</v>
      </c>
      <c r="AO42" s="6">
        <v>17324.544949095802</v>
      </c>
      <c r="AP42" s="6">
        <v>330.98244656580999</v>
      </c>
      <c r="AQ42" s="6">
        <v>93035.839999999997</v>
      </c>
      <c r="AR42" s="6">
        <v>9200.2621517329098</v>
      </c>
      <c r="AS42" s="6">
        <v>10857.382259821299</v>
      </c>
      <c r="AT42" s="6">
        <v>0</v>
      </c>
      <c r="AU42" t="s">
        <v>2973</v>
      </c>
      <c r="AV42" t="s">
        <v>2973</v>
      </c>
    </row>
    <row r="43" spans="1:48" x14ac:dyDescent="0.45">
      <c r="A43" s="5" t="s">
        <v>96</v>
      </c>
      <c r="B43">
        <v>1894</v>
      </c>
      <c r="C43" t="s">
        <v>79</v>
      </c>
      <c r="D43">
        <v>7</v>
      </c>
      <c r="E43" t="s">
        <v>97</v>
      </c>
      <c r="F43" t="s">
        <v>2739</v>
      </c>
      <c r="G43" t="s">
        <v>2740</v>
      </c>
      <c r="H43" t="s">
        <v>2741</v>
      </c>
      <c r="I43" t="s">
        <v>2742</v>
      </c>
      <c r="J43">
        <v>365.60298078908198</v>
      </c>
      <c r="K43">
        <v>1</v>
      </c>
      <c r="L43">
        <v>1</v>
      </c>
      <c r="M43">
        <v>2</v>
      </c>
      <c r="N43" s="6">
        <v>1673880.35124302</v>
      </c>
      <c r="O43" s="6">
        <v>540794.45430913195</v>
      </c>
      <c r="P43" s="6">
        <v>700444.29977975704</v>
      </c>
      <c r="Q43" s="6">
        <v>116455.758650366</v>
      </c>
      <c r="R43" s="6">
        <v>187234.62200399401</v>
      </c>
      <c r="S43" s="6">
        <v>144833.78072825499</v>
      </c>
      <c r="T43" s="6">
        <v>1950373.33</v>
      </c>
      <c r="U43" s="6">
        <v>1268436.1559862699</v>
      </c>
      <c r="V43" s="6">
        <v>2610284.7949230098</v>
      </c>
      <c r="W43" s="6">
        <v>565738.35809542099</v>
      </c>
      <c r="X43" s="6">
        <v>0</v>
      </c>
      <c r="Y43" s="6">
        <v>0</v>
      </c>
      <c r="Z43" s="6">
        <v>3050.4721873954099</v>
      </c>
      <c r="AA43" s="6">
        <v>0</v>
      </c>
      <c r="AB43" s="6">
        <v>39735.860780444702</v>
      </c>
      <c r="AC43" s="6">
        <v>144796.720585234</v>
      </c>
      <c r="AD43" s="6">
        <v>37.060143021529498</v>
      </c>
      <c r="AE43" s="6">
        <v>0</v>
      </c>
      <c r="AF43" s="6">
        <v>0</v>
      </c>
      <c r="AG43" s="6">
        <v>0</v>
      </c>
      <c r="AH43" s="6">
        <v>0</v>
      </c>
      <c r="AI43" s="6">
        <v>0</v>
      </c>
      <c r="AJ43" s="6">
        <v>3363643.2667145198</v>
      </c>
      <c r="AK43" s="6">
        <v>9200.2621517329098</v>
      </c>
      <c r="AL43" s="6">
        <v>330.98244656580999</v>
      </c>
      <c r="AM43" s="6">
        <v>93035.839999999997</v>
      </c>
      <c r="AN43" s="6">
        <v>3865.5864721459898</v>
      </c>
      <c r="AO43" s="6">
        <v>17324.544949095802</v>
      </c>
      <c r="AP43" s="6">
        <v>330.98244656580999</v>
      </c>
      <c r="AQ43" s="6">
        <v>93035.839999999997</v>
      </c>
      <c r="AR43" s="6">
        <v>9200.2621517329098</v>
      </c>
      <c r="AS43" s="6">
        <v>10857.382259821299</v>
      </c>
      <c r="AT43" s="6">
        <v>0</v>
      </c>
      <c r="AU43" t="s">
        <v>2973</v>
      </c>
      <c r="AV43" t="s">
        <v>2973</v>
      </c>
    </row>
    <row r="44" spans="1:48" x14ac:dyDescent="0.45">
      <c r="A44" s="5" t="s">
        <v>98</v>
      </c>
      <c r="B44">
        <v>1969</v>
      </c>
      <c r="C44" t="s">
        <v>99</v>
      </c>
      <c r="D44">
        <v>218</v>
      </c>
      <c r="E44" t="s">
        <v>100</v>
      </c>
      <c r="F44" t="s">
        <v>2739</v>
      </c>
      <c r="G44" t="s">
        <v>2744</v>
      </c>
      <c r="H44" t="s">
        <v>2741</v>
      </c>
      <c r="I44" t="s">
        <v>2742</v>
      </c>
      <c r="J44">
        <v>196.70977011487599</v>
      </c>
      <c r="K44">
        <v>1</v>
      </c>
      <c r="L44">
        <v>1</v>
      </c>
      <c r="M44">
        <v>3</v>
      </c>
      <c r="N44" s="6">
        <v>1712724.2549882701</v>
      </c>
      <c r="O44" s="6">
        <v>915368.57336721697</v>
      </c>
      <c r="P44" s="6">
        <v>494238.55662191502</v>
      </c>
      <c r="Q44" s="6">
        <v>135549.69891672401</v>
      </c>
      <c r="R44" s="6">
        <v>217053.94909373901</v>
      </c>
      <c r="S44" s="6">
        <v>128692.850460199</v>
      </c>
      <c r="T44" s="6">
        <v>2600921.69</v>
      </c>
      <c r="U44" s="6">
        <v>874013.342987863</v>
      </c>
      <c r="V44" s="6">
        <v>2863083.9959608898</v>
      </c>
      <c r="W44" s="6">
        <v>611851.037026971</v>
      </c>
      <c r="X44" s="6">
        <v>0</v>
      </c>
      <c r="Y44" s="6">
        <v>0</v>
      </c>
      <c r="Z44" s="6">
        <v>0</v>
      </c>
      <c r="AA44" s="6">
        <v>0</v>
      </c>
      <c r="AB44" s="6">
        <v>0</v>
      </c>
      <c r="AC44" s="6">
        <v>119198.455888382</v>
      </c>
      <c r="AD44" s="6">
        <v>9494.3945718175291</v>
      </c>
      <c r="AE44" s="6">
        <v>0</v>
      </c>
      <c r="AF44" s="6">
        <v>0</v>
      </c>
      <c r="AG44" s="6">
        <v>0</v>
      </c>
      <c r="AH44" s="6">
        <v>0</v>
      </c>
      <c r="AI44" s="6">
        <v>0</v>
      </c>
      <c r="AJ44" s="6">
        <v>3603627.8834480601</v>
      </c>
      <c r="AK44" s="6">
        <v>18319.516520931302</v>
      </c>
      <c r="AL44" s="6">
        <v>330.98244656580999</v>
      </c>
      <c r="AM44" s="6">
        <v>93035.839999999997</v>
      </c>
      <c r="AN44" s="6">
        <v>11930.655175260899</v>
      </c>
      <c r="AO44" s="6">
        <v>18319.516520931302</v>
      </c>
      <c r="AP44" s="6">
        <v>330.98244656580999</v>
      </c>
      <c r="AQ44" s="6">
        <v>40734.411818744898</v>
      </c>
      <c r="AR44" s="6">
        <v>18319.516520931302</v>
      </c>
      <c r="AS44" s="6">
        <v>18319.516520931302</v>
      </c>
      <c r="AT44" s="6">
        <v>0</v>
      </c>
      <c r="AU44" t="s">
        <v>2973</v>
      </c>
      <c r="AV44" t="s">
        <v>2973</v>
      </c>
    </row>
    <row r="45" spans="1:48" x14ac:dyDescent="0.45">
      <c r="A45" s="5" t="s">
        <v>101</v>
      </c>
      <c r="B45">
        <v>1969</v>
      </c>
      <c r="C45" t="s">
        <v>99</v>
      </c>
      <c r="D45">
        <v>216</v>
      </c>
      <c r="E45" t="s">
        <v>102</v>
      </c>
      <c r="F45" t="s">
        <v>2739</v>
      </c>
      <c r="G45" t="s">
        <v>2747</v>
      </c>
      <c r="H45" t="s">
        <v>2741</v>
      </c>
      <c r="I45" t="s">
        <v>2742</v>
      </c>
      <c r="J45">
        <v>237.96551724135901</v>
      </c>
      <c r="K45">
        <v>1</v>
      </c>
      <c r="L45">
        <v>1</v>
      </c>
      <c r="M45">
        <v>3</v>
      </c>
      <c r="N45" s="6">
        <v>1372795.6629530201</v>
      </c>
      <c r="O45" s="6">
        <v>318784.05293910298</v>
      </c>
      <c r="P45" s="6">
        <v>600027.07924234006</v>
      </c>
      <c r="Q45" s="6">
        <v>163978.404304939</v>
      </c>
      <c r="R45" s="6">
        <v>227815.85462208299</v>
      </c>
      <c r="S45" s="6">
        <v>155683.475747758</v>
      </c>
      <c r="T45" s="6">
        <v>1626081.75</v>
      </c>
      <c r="U45" s="6">
        <v>1057319.3040614901</v>
      </c>
      <c r="V45" s="6">
        <v>2272259.3715458098</v>
      </c>
      <c r="W45" s="6">
        <v>411141.682515683</v>
      </c>
      <c r="X45" s="6">
        <v>0</v>
      </c>
      <c r="Y45" s="6">
        <v>0</v>
      </c>
      <c r="Z45" s="6">
        <v>0</v>
      </c>
      <c r="AA45" s="6">
        <v>0</v>
      </c>
      <c r="AB45" s="6">
        <v>0</v>
      </c>
      <c r="AC45" s="6">
        <v>144197.831115787</v>
      </c>
      <c r="AD45" s="6">
        <v>11485.644631970699</v>
      </c>
      <c r="AE45" s="6">
        <v>0</v>
      </c>
      <c r="AF45" s="6">
        <v>0</v>
      </c>
      <c r="AG45" s="6">
        <v>0</v>
      </c>
      <c r="AH45" s="6">
        <v>0</v>
      </c>
      <c r="AI45" s="6">
        <v>0</v>
      </c>
      <c r="AJ45" s="6">
        <v>2839084.52980925</v>
      </c>
      <c r="AK45" s="6">
        <v>11930.655175260899</v>
      </c>
      <c r="AL45" s="6">
        <v>330.98244656580999</v>
      </c>
      <c r="AM45" s="6">
        <v>93035.839999999997</v>
      </c>
      <c r="AN45" s="6">
        <v>11930.655175260899</v>
      </c>
      <c r="AO45" s="6">
        <v>18319.516520931302</v>
      </c>
      <c r="AP45" s="6">
        <v>3753.1860850462999</v>
      </c>
      <c r="AQ45" s="6">
        <v>20687.885194392002</v>
      </c>
      <c r="AR45" s="6">
        <v>11930.655175260899</v>
      </c>
      <c r="AS45" s="6">
        <v>11930.655175260899</v>
      </c>
      <c r="AT45" s="6">
        <v>0</v>
      </c>
      <c r="AU45" t="s">
        <v>2973</v>
      </c>
      <c r="AV45" t="s">
        <v>2973</v>
      </c>
    </row>
    <row r="46" spans="1:48" x14ac:dyDescent="0.45">
      <c r="A46" s="5" t="s">
        <v>103</v>
      </c>
      <c r="B46">
        <v>1969</v>
      </c>
      <c r="C46" t="s">
        <v>99</v>
      </c>
      <c r="D46">
        <v>217</v>
      </c>
      <c r="E46" t="s">
        <v>104</v>
      </c>
      <c r="F46" t="s">
        <v>2739</v>
      </c>
      <c r="G46" t="s">
        <v>2740</v>
      </c>
      <c r="H46" t="s">
        <v>2741</v>
      </c>
      <c r="I46" t="s">
        <v>2742</v>
      </c>
      <c r="J46">
        <v>252.77586206893301</v>
      </c>
      <c r="K46">
        <v>1</v>
      </c>
      <c r="L46">
        <v>1</v>
      </c>
      <c r="M46">
        <v>3</v>
      </c>
      <c r="N46" s="6">
        <v>1501837.03205871</v>
      </c>
      <c r="O46" s="6">
        <v>338836.15369368001</v>
      </c>
      <c r="P46" s="6">
        <v>697306.61413574498</v>
      </c>
      <c r="Q46" s="6">
        <v>174183.98677833701</v>
      </c>
      <c r="R46" s="6">
        <v>241438.366284177</v>
      </c>
      <c r="S46" s="6">
        <v>165372.80379204301</v>
      </c>
      <c r="T46" s="6">
        <v>1830478.09</v>
      </c>
      <c r="U46" s="6">
        <v>1123124.06295065</v>
      </c>
      <c r="V46" s="6">
        <v>2428340.1024933001</v>
      </c>
      <c r="W46" s="6">
        <v>525262.05045734602</v>
      </c>
      <c r="X46" s="6">
        <v>0</v>
      </c>
      <c r="Y46" s="6">
        <v>0</v>
      </c>
      <c r="Z46" s="6">
        <v>0</v>
      </c>
      <c r="AA46" s="6">
        <v>0</v>
      </c>
      <c r="AB46" s="6">
        <v>0</v>
      </c>
      <c r="AC46" s="6">
        <v>153172.322995831</v>
      </c>
      <c r="AD46" s="6">
        <v>12200.480796211799</v>
      </c>
      <c r="AE46" s="6">
        <v>0</v>
      </c>
      <c r="AF46" s="6">
        <v>0</v>
      </c>
      <c r="AG46" s="6">
        <v>0</v>
      </c>
      <c r="AH46" s="6">
        <v>0</v>
      </c>
      <c r="AI46" s="6">
        <v>0</v>
      </c>
      <c r="AJ46" s="6">
        <v>3118974.9567426899</v>
      </c>
      <c r="AK46" s="6">
        <v>12338.895538578499</v>
      </c>
      <c r="AL46" s="6">
        <v>330.98244656580999</v>
      </c>
      <c r="AM46" s="6">
        <v>93035.839999999997</v>
      </c>
      <c r="AN46" s="6">
        <v>11930.655175260899</v>
      </c>
      <c r="AO46" s="6">
        <v>18319.516520931302</v>
      </c>
      <c r="AP46" s="6">
        <v>330.98244656580999</v>
      </c>
      <c r="AQ46" s="6">
        <v>93035.839999999997</v>
      </c>
      <c r="AR46" s="6">
        <v>12338.895538578499</v>
      </c>
      <c r="AS46" s="6">
        <v>12338.895538578499</v>
      </c>
      <c r="AT46" s="6">
        <v>0</v>
      </c>
      <c r="AU46" t="s">
        <v>2973</v>
      </c>
      <c r="AV46" t="s">
        <v>2973</v>
      </c>
    </row>
    <row r="47" spans="1:48" x14ac:dyDescent="0.45">
      <c r="A47" s="5" t="s">
        <v>105</v>
      </c>
      <c r="B47">
        <v>2240</v>
      </c>
      <c r="C47" t="s">
        <v>106</v>
      </c>
      <c r="D47">
        <v>1120</v>
      </c>
      <c r="E47" t="s">
        <v>107</v>
      </c>
      <c r="F47" t="s">
        <v>2739</v>
      </c>
      <c r="G47" t="s">
        <v>2740</v>
      </c>
      <c r="H47" t="s">
        <v>2741</v>
      </c>
      <c r="I47" t="s">
        <v>2742</v>
      </c>
      <c r="J47">
        <v>485.00396825394</v>
      </c>
      <c r="K47">
        <v>1</v>
      </c>
      <c r="L47">
        <v>1</v>
      </c>
      <c r="M47">
        <v>1</v>
      </c>
      <c r="N47" s="6">
        <v>3083962.1856275601</v>
      </c>
      <c r="O47" s="6">
        <v>685211.43328802299</v>
      </c>
      <c r="P47" s="6">
        <v>900626.85955091799</v>
      </c>
      <c r="Q47" s="6">
        <v>308530.51288077497</v>
      </c>
      <c r="R47" s="6">
        <v>310963.59568585502</v>
      </c>
      <c r="S47" s="6">
        <v>206055.67054346201</v>
      </c>
      <c r="T47" s="6">
        <v>3988683.44</v>
      </c>
      <c r="U47" s="6">
        <v>1300611.1470331301</v>
      </c>
      <c r="V47" s="6">
        <v>4848480.8988445299</v>
      </c>
      <c r="W47" s="6">
        <v>307664.77193430503</v>
      </c>
      <c r="X47" s="6">
        <v>0</v>
      </c>
      <c r="Y47" s="6">
        <v>0</v>
      </c>
      <c r="Z47" s="6">
        <v>0</v>
      </c>
      <c r="AA47" s="6">
        <v>133148.91625429501</v>
      </c>
      <c r="AB47" s="6">
        <v>0</v>
      </c>
      <c r="AC47" s="6">
        <v>206055.67054346201</v>
      </c>
      <c r="AD47" s="6">
        <v>0</v>
      </c>
      <c r="AE47" s="6">
        <v>0</v>
      </c>
      <c r="AF47" s="6">
        <v>0</v>
      </c>
      <c r="AG47" s="6">
        <v>0</v>
      </c>
      <c r="AH47" s="6">
        <v>0</v>
      </c>
      <c r="AI47" s="6">
        <v>0</v>
      </c>
      <c r="AJ47" s="6">
        <v>5495350.2575765904</v>
      </c>
      <c r="AK47" s="6">
        <v>11330.5263817951</v>
      </c>
      <c r="AL47" s="6">
        <v>330.98244656580999</v>
      </c>
      <c r="AM47" s="6">
        <v>93035.839999999997</v>
      </c>
      <c r="AN47" s="6">
        <v>3106.5041034627802</v>
      </c>
      <c r="AO47" s="6">
        <v>12696.674213365501</v>
      </c>
      <c r="AP47" s="6">
        <v>330.98244656580999</v>
      </c>
      <c r="AQ47" s="6">
        <v>93035.839999999997</v>
      </c>
      <c r="AR47" s="6">
        <v>11330.5263817951</v>
      </c>
      <c r="AS47" s="6">
        <v>11330.5263817951</v>
      </c>
      <c r="AT47" s="6">
        <v>0</v>
      </c>
      <c r="AU47" t="s">
        <v>2973</v>
      </c>
      <c r="AV47" t="s">
        <v>2973</v>
      </c>
    </row>
    <row r="48" spans="1:48" x14ac:dyDescent="0.45">
      <c r="A48" s="5" t="s">
        <v>108</v>
      </c>
      <c r="B48">
        <v>2240</v>
      </c>
      <c r="C48" t="s">
        <v>106</v>
      </c>
      <c r="D48">
        <v>1124</v>
      </c>
      <c r="E48" t="s">
        <v>109</v>
      </c>
      <c r="F48" t="s">
        <v>2739</v>
      </c>
      <c r="G48" t="s">
        <v>2744</v>
      </c>
      <c r="H48" t="s">
        <v>2745</v>
      </c>
      <c r="I48" t="s">
        <v>2742</v>
      </c>
      <c r="J48">
        <v>378.93793836331503</v>
      </c>
      <c r="K48">
        <v>1</v>
      </c>
      <c r="L48">
        <v>1</v>
      </c>
      <c r="M48">
        <v>1</v>
      </c>
      <c r="N48" s="6">
        <v>2138739.1682502599</v>
      </c>
      <c r="O48" s="6">
        <v>1311716.3188879101</v>
      </c>
      <c r="P48" s="6">
        <v>748532.14491198398</v>
      </c>
      <c r="Q48" s="6">
        <v>241402.63983748699</v>
      </c>
      <c r="R48" s="6">
        <v>209868.140199527</v>
      </c>
      <c r="S48" s="6">
        <v>160993.138396194</v>
      </c>
      <c r="T48" s="6">
        <v>3634079.29</v>
      </c>
      <c r="U48" s="6">
        <v>1016179.12208717</v>
      </c>
      <c r="V48" s="6">
        <v>3612589.9027635702</v>
      </c>
      <c r="W48" s="6">
        <v>933638.07014522003</v>
      </c>
      <c r="X48" s="6">
        <v>0</v>
      </c>
      <c r="Y48" s="6">
        <v>0</v>
      </c>
      <c r="Z48" s="6">
        <v>0</v>
      </c>
      <c r="AA48" s="6">
        <v>104030.439178375</v>
      </c>
      <c r="AB48" s="6">
        <v>0</v>
      </c>
      <c r="AC48" s="6">
        <v>160993.138396194</v>
      </c>
      <c r="AD48" s="6">
        <v>0</v>
      </c>
      <c r="AE48" s="6">
        <v>0</v>
      </c>
      <c r="AF48" s="6">
        <v>0</v>
      </c>
      <c r="AG48" s="6">
        <v>0</v>
      </c>
      <c r="AH48" s="6">
        <v>0</v>
      </c>
      <c r="AI48" s="6">
        <v>0</v>
      </c>
      <c r="AJ48" s="6">
        <v>4811251.55048336</v>
      </c>
      <c r="AK48" s="6">
        <v>12696.674213365501</v>
      </c>
      <c r="AL48" s="6">
        <v>330.98244656580999</v>
      </c>
      <c r="AM48" s="6">
        <v>93035.839999999997</v>
      </c>
      <c r="AN48" s="6">
        <v>3106.5041034627802</v>
      </c>
      <c r="AO48" s="6">
        <v>12696.674213365501</v>
      </c>
      <c r="AP48" s="6">
        <v>330.98244656580999</v>
      </c>
      <c r="AQ48" s="6">
        <v>40734.411818744898</v>
      </c>
      <c r="AR48" s="6">
        <v>12696.674213365501</v>
      </c>
      <c r="AS48" s="6">
        <v>12696.674213365501</v>
      </c>
      <c r="AT48" s="6">
        <v>0</v>
      </c>
      <c r="AU48" t="s">
        <v>2973</v>
      </c>
      <c r="AV48" t="s">
        <v>2973</v>
      </c>
    </row>
    <row r="49" spans="1:48" x14ac:dyDescent="0.45">
      <c r="A49" s="5" t="s">
        <v>110</v>
      </c>
      <c r="B49">
        <v>2240</v>
      </c>
      <c r="C49" t="s">
        <v>106</v>
      </c>
      <c r="D49">
        <v>1123</v>
      </c>
      <c r="E49" t="s">
        <v>111</v>
      </c>
      <c r="F49" t="s">
        <v>2739</v>
      </c>
      <c r="G49" t="s">
        <v>2747</v>
      </c>
      <c r="H49" t="s">
        <v>2741</v>
      </c>
      <c r="I49" t="s">
        <v>2742</v>
      </c>
      <c r="J49">
        <v>254.436813651552</v>
      </c>
      <c r="K49">
        <v>1</v>
      </c>
      <c r="L49">
        <v>1</v>
      </c>
      <c r="M49">
        <v>1</v>
      </c>
      <c r="N49" s="6">
        <v>1717103.68202561</v>
      </c>
      <c r="O49" s="6">
        <v>402310.39813232602</v>
      </c>
      <c r="P49" s="6">
        <v>485258.504938217</v>
      </c>
      <c r="Q49" s="6">
        <v>162243.54384118799</v>
      </c>
      <c r="R49" s="6">
        <v>212236.18646268899</v>
      </c>
      <c r="S49" s="6">
        <v>108098.390280514</v>
      </c>
      <c r="T49" s="6">
        <v>2296841.7000000002</v>
      </c>
      <c r="U49" s="6">
        <v>682310.61540002597</v>
      </c>
      <c r="V49" s="6">
        <v>2756663.7709416002</v>
      </c>
      <c r="W49" s="6">
        <v>152637.59846541399</v>
      </c>
      <c r="X49" s="6">
        <v>0</v>
      </c>
      <c r="Y49" s="6">
        <v>0</v>
      </c>
      <c r="Z49" s="6">
        <v>0</v>
      </c>
      <c r="AA49" s="6">
        <v>69850.945993007204</v>
      </c>
      <c r="AB49" s="6">
        <v>0</v>
      </c>
      <c r="AC49" s="6">
        <v>108098.390280514</v>
      </c>
      <c r="AD49" s="6">
        <v>0</v>
      </c>
      <c r="AE49" s="6">
        <v>0</v>
      </c>
      <c r="AF49" s="6">
        <v>0</v>
      </c>
      <c r="AG49" s="6">
        <v>0</v>
      </c>
      <c r="AH49" s="6">
        <v>0</v>
      </c>
      <c r="AI49" s="6">
        <v>0</v>
      </c>
      <c r="AJ49" s="6">
        <v>3087250.7056805398</v>
      </c>
      <c r="AK49" s="6">
        <v>12133.6636054109</v>
      </c>
      <c r="AL49" s="6">
        <v>330.98244656580999</v>
      </c>
      <c r="AM49" s="6">
        <v>93035.839999999997</v>
      </c>
      <c r="AN49" s="6">
        <v>3106.5041034627802</v>
      </c>
      <c r="AO49" s="6">
        <v>12696.674213365501</v>
      </c>
      <c r="AP49" s="6">
        <v>3753.1860850462999</v>
      </c>
      <c r="AQ49" s="6">
        <v>20687.885194392002</v>
      </c>
      <c r="AR49" s="6">
        <v>12133.6636054109</v>
      </c>
      <c r="AS49" s="6">
        <v>12133.6636054109</v>
      </c>
      <c r="AT49" s="6">
        <v>0</v>
      </c>
      <c r="AU49" t="s">
        <v>2973</v>
      </c>
      <c r="AV49" t="s">
        <v>2973</v>
      </c>
    </row>
    <row r="50" spans="1:48" x14ac:dyDescent="0.45">
      <c r="A50" s="5" t="s">
        <v>112</v>
      </c>
      <c r="B50">
        <v>2240</v>
      </c>
      <c r="C50" t="s">
        <v>106</v>
      </c>
      <c r="D50">
        <v>2240</v>
      </c>
      <c r="E50" t="s">
        <v>106</v>
      </c>
      <c r="F50" t="s">
        <v>1</v>
      </c>
      <c r="G50" t="s">
        <v>1</v>
      </c>
      <c r="H50" t="s">
        <v>2743</v>
      </c>
      <c r="I50" t="s">
        <v>2742</v>
      </c>
      <c r="J50">
        <v>4.7941241226434999</v>
      </c>
      <c r="K50">
        <v>0</v>
      </c>
      <c r="L50">
        <v>0</v>
      </c>
      <c r="M50">
        <v>1</v>
      </c>
      <c r="N50" s="6">
        <v>11.4940965748289</v>
      </c>
      <c r="O50" s="6">
        <v>1424.7996917370899</v>
      </c>
      <c r="P50" s="6">
        <v>5771.4105988812398</v>
      </c>
      <c r="Q50" s="6">
        <v>3048.1534405500402</v>
      </c>
      <c r="R50" s="6">
        <v>2600.3076519295</v>
      </c>
      <c r="S50" s="6">
        <v>2036.8007798292299</v>
      </c>
      <c r="T50" s="6">
        <v>0</v>
      </c>
      <c r="U50" s="6">
        <v>12856.1654796727</v>
      </c>
      <c r="V50" s="6">
        <v>10198.477450288499</v>
      </c>
      <c r="W50" s="6">
        <v>1341.5494550615999</v>
      </c>
      <c r="X50" s="6">
        <v>0</v>
      </c>
      <c r="Y50" s="6">
        <v>0</v>
      </c>
      <c r="Z50" s="6">
        <v>0</v>
      </c>
      <c r="AA50" s="6">
        <v>1316.1385743226199</v>
      </c>
      <c r="AB50" s="6">
        <v>0</v>
      </c>
      <c r="AC50" s="6">
        <v>2036.8007798292299</v>
      </c>
      <c r="AD50" s="6">
        <v>0</v>
      </c>
      <c r="AE50" s="6">
        <v>0</v>
      </c>
      <c r="AF50" s="6">
        <v>0</v>
      </c>
      <c r="AG50" s="6">
        <v>0</v>
      </c>
      <c r="AH50" s="6">
        <v>0</v>
      </c>
      <c r="AI50" s="6">
        <v>0</v>
      </c>
      <c r="AJ50" s="6">
        <v>14892.9662595019</v>
      </c>
      <c r="AK50" s="6">
        <v>3106.5041034627802</v>
      </c>
      <c r="AL50" s="6">
        <v>330.98244656580999</v>
      </c>
      <c r="AM50" s="6">
        <v>93035.839999999997</v>
      </c>
      <c r="AN50" s="6">
        <v>3106.5041034627802</v>
      </c>
      <c r="AO50" s="6">
        <v>12696.674213365501</v>
      </c>
      <c r="AP50" s="6">
        <v>634.54287297753501</v>
      </c>
      <c r="AQ50" s="6">
        <v>40331.279999999999</v>
      </c>
      <c r="AR50" s="6">
        <v>3106.5041034627802</v>
      </c>
      <c r="AS50" s="6">
        <v>3106.5041034627802</v>
      </c>
      <c r="AT50" s="6">
        <v>0</v>
      </c>
      <c r="AU50" t="s">
        <v>2973</v>
      </c>
      <c r="AV50" t="s">
        <v>2977</v>
      </c>
    </row>
    <row r="51" spans="1:48" x14ac:dyDescent="0.45">
      <c r="A51" s="5" t="s">
        <v>113</v>
      </c>
      <c r="B51">
        <v>2243</v>
      </c>
      <c r="C51" t="s">
        <v>114</v>
      </c>
      <c r="D51">
        <v>1186</v>
      </c>
      <c r="E51" t="s">
        <v>115</v>
      </c>
      <c r="F51" t="s">
        <v>2739</v>
      </c>
      <c r="G51" t="s">
        <v>2744</v>
      </c>
      <c r="H51" t="s">
        <v>2745</v>
      </c>
      <c r="I51" t="s">
        <v>2742</v>
      </c>
      <c r="J51">
        <v>1867.0228503307601</v>
      </c>
      <c r="K51">
        <v>1</v>
      </c>
      <c r="L51">
        <v>1</v>
      </c>
      <c r="M51">
        <v>1</v>
      </c>
      <c r="N51" s="6">
        <v>13253447.076080799</v>
      </c>
      <c r="O51" s="6">
        <v>6581947.3124325899</v>
      </c>
      <c r="P51" s="6">
        <v>3886860.1836488899</v>
      </c>
      <c r="Q51" s="6">
        <v>506549.74717908603</v>
      </c>
      <c r="R51" s="6">
        <v>2596929.5808575298</v>
      </c>
      <c r="S51" s="6">
        <v>747595.75794122496</v>
      </c>
      <c r="T51" s="6">
        <v>19465951.890000001</v>
      </c>
      <c r="U51" s="6">
        <v>7359782.0101988604</v>
      </c>
      <c r="V51" s="6">
        <v>21793798.934475102</v>
      </c>
      <c r="W51" s="6">
        <v>4701870.23452718</v>
      </c>
      <c r="X51" s="6">
        <v>0</v>
      </c>
      <c r="Y51" s="6">
        <v>0</v>
      </c>
      <c r="Z51" s="6">
        <v>0</v>
      </c>
      <c r="AA51" s="6">
        <v>324708.45208830899</v>
      </c>
      <c r="AB51" s="6">
        <v>5356.2791082128897</v>
      </c>
      <c r="AC51" s="6">
        <v>747595.75794122496</v>
      </c>
      <c r="AD51" s="6">
        <v>0</v>
      </c>
      <c r="AE51" s="6">
        <v>0</v>
      </c>
      <c r="AF51" s="6">
        <v>0</v>
      </c>
      <c r="AG51" s="6">
        <v>0</v>
      </c>
      <c r="AH51" s="6">
        <v>0</v>
      </c>
      <c r="AI51" s="6">
        <v>0</v>
      </c>
      <c r="AJ51" s="6">
        <v>27573329.65814</v>
      </c>
      <c r="AK51" s="6">
        <v>14768.608564836401</v>
      </c>
      <c r="AL51" s="6">
        <v>330.98244656580999</v>
      </c>
      <c r="AM51" s="6">
        <v>93035.839999999997</v>
      </c>
      <c r="AN51" s="6">
        <v>4342.4095032922596</v>
      </c>
      <c r="AO51" s="6">
        <v>33547.471598330201</v>
      </c>
      <c r="AP51" s="6">
        <v>330.98244656580999</v>
      </c>
      <c r="AQ51" s="6">
        <v>40734.411818744898</v>
      </c>
      <c r="AR51" s="6">
        <v>4342.4095032922696</v>
      </c>
      <c r="AS51" s="6">
        <v>33547.471598330201</v>
      </c>
      <c r="AT51" s="6">
        <v>0</v>
      </c>
      <c r="AU51" t="s">
        <v>2973</v>
      </c>
      <c r="AV51" t="s">
        <v>2973</v>
      </c>
    </row>
    <row r="52" spans="1:48" x14ac:dyDescent="0.45">
      <c r="A52" s="5" t="s">
        <v>116</v>
      </c>
      <c r="B52">
        <v>2243</v>
      </c>
      <c r="C52" t="s">
        <v>114</v>
      </c>
      <c r="D52">
        <v>1153</v>
      </c>
      <c r="E52" t="s">
        <v>117</v>
      </c>
      <c r="F52" t="s">
        <v>2739</v>
      </c>
      <c r="G52" t="s">
        <v>2740</v>
      </c>
      <c r="H52" t="s">
        <v>2741</v>
      </c>
      <c r="I52" t="s">
        <v>2742</v>
      </c>
      <c r="J52">
        <v>926.75502149987699</v>
      </c>
      <c r="K52">
        <v>4</v>
      </c>
      <c r="L52">
        <v>1</v>
      </c>
      <c r="M52">
        <v>1</v>
      </c>
      <c r="N52" s="6">
        <v>7524288.9684058204</v>
      </c>
      <c r="O52" s="6">
        <v>2054856.2999855501</v>
      </c>
      <c r="P52" s="6">
        <v>2089494.83188323</v>
      </c>
      <c r="Q52" s="6">
        <v>251441.76556518601</v>
      </c>
      <c r="R52" s="6">
        <v>341435.81586220599</v>
      </c>
      <c r="S52" s="6">
        <v>371092.47088287998</v>
      </c>
      <c r="T52" s="6">
        <v>8608260.3399999999</v>
      </c>
      <c r="U52" s="6">
        <v>3653257.34170201</v>
      </c>
      <c r="V52" s="6">
        <v>10643715.691743201</v>
      </c>
      <c r="W52" s="6">
        <v>1455953.0757387099</v>
      </c>
      <c r="X52" s="6">
        <v>0</v>
      </c>
      <c r="Y52" s="6">
        <v>0</v>
      </c>
      <c r="Z52" s="6">
        <v>0</v>
      </c>
      <c r="AA52" s="6">
        <v>161179.16738029299</v>
      </c>
      <c r="AB52" s="6">
        <v>669.74683979856798</v>
      </c>
      <c r="AC52" s="6">
        <v>371092.47088287998</v>
      </c>
      <c r="AD52" s="6">
        <v>0</v>
      </c>
      <c r="AE52" s="6">
        <v>0</v>
      </c>
      <c r="AF52" s="6">
        <v>0</v>
      </c>
      <c r="AG52" s="6">
        <v>0</v>
      </c>
      <c r="AH52" s="6">
        <v>0</v>
      </c>
      <c r="AI52" s="6">
        <v>0</v>
      </c>
      <c r="AJ52" s="6">
        <v>12632610.152584899</v>
      </c>
      <c r="AK52" s="6">
        <v>13631.0134388482</v>
      </c>
      <c r="AL52" s="6">
        <v>330.98244656580999</v>
      </c>
      <c r="AM52" s="6">
        <v>93035.839999999997</v>
      </c>
      <c r="AN52" s="6">
        <v>4342.4095032922596</v>
      </c>
      <c r="AO52" s="6">
        <v>33547.471598330201</v>
      </c>
      <c r="AP52" s="6">
        <v>330.98244656580999</v>
      </c>
      <c r="AQ52" s="6">
        <v>93035.839999999997</v>
      </c>
      <c r="AR52" s="6">
        <v>4342.4095032922596</v>
      </c>
      <c r="AS52" s="6">
        <v>18281.8865453037</v>
      </c>
      <c r="AT52" s="6">
        <v>0</v>
      </c>
      <c r="AU52" t="s">
        <v>2973</v>
      </c>
      <c r="AV52" t="s">
        <v>2973</v>
      </c>
    </row>
    <row r="53" spans="1:48" x14ac:dyDescent="0.45">
      <c r="A53" s="5" t="s">
        <v>118</v>
      </c>
      <c r="B53">
        <v>2243</v>
      </c>
      <c r="C53" t="s">
        <v>114</v>
      </c>
      <c r="D53">
        <v>4805</v>
      </c>
      <c r="E53" t="s">
        <v>119</v>
      </c>
      <c r="F53" t="s">
        <v>3</v>
      </c>
      <c r="G53" t="s">
        <v>2740</v>
      </c>
      <c r="H53" t="s">
        <v>2741</v>
      </c>
      <c r="I53" t="s">
        <v>2742</v>
      </c>
      <c r="J53">
        <v>368.90303480673299</v>
      </c>
      <c r="K53">
        <v>1</v>
      </c>
      <c r="L53">
        <v>1</v>
      </c>
      <c r="M53">
        <v>1</v>
      </c>
      <c r="N53" s="6">
        <v>333692.861709986</v>
      </c>
      <c r="O53" s="6">
        <v>322929.82482062699</v>
      </c>
      <c r="P53" s="6">
        <v>561588.55056550901</v>
      </c>
      <c r="Q53" s="6">
        <v>100088.61915206</v>
      </c>
      <c r="R53" s="6">
        <v>135911.54700131001</v>
      </c>
      <c r="S53" s="6">
        <v>147716.64088862101</v>
      </c>
      <c r="T53" s="6">
        <v>0</v>
      </c>
      <c r="U53" s="6">
        <v>1454211.4032494901</v>
      </c>
      <c r="V53" s="6">
        <v>1213399.00477117</v>
      </c>
      <c r="W53" s="6">
        <v>176387.006383506</v>
      </c>
      <c r="X53" s="6">
        <v>0</v>
      </c>
      <c r="Y53" s="6">
        <v>0</v>
      </c>
      <c r="Z53" s="6">
        <v>0</v>
      </c>
      <c r="AA53" s="6">
        <v>64158.793440344401</v>
      </c>
      <c r="AB53" s="6">
        <v>266.59865446862699</v>
      </c>
      <c r="AC53" s="6">
        <v>147716.64088862101</v>
      </c>
      <c r="AD53" s="6">
        <v>0</v>
      </c>
      <c r="AE53" s="6">
        <v>0</v>
      </c>
      <c r="AF53" s="6">
        <v>0</v>
      </c>
      <c r="AG53" s="6">
        <v>0</v>
      </c>
      <c r="AH53" s="6">
        <v>0</v>
      </c>
      <c r="AI53" s="6">
        <v>0</v>
      </c>
      <c r="AJ53" s="6">
        <v>1601928.04413811</v>
      </c>
      <c r="AK53" s="6">
        <v>4342.4095032922596</v>
      </c>
      <c r="AL53" s="6">
        <v>330.98244656580999</v>
      </c>
      <c r="AM53" s="6">
        <v>93035.839999999997</v>
      </c>
      <c r="AN53" s="6">
        <v>4342.4095032922596</v>
      </c>
      <c r="AO53" s="6">
        <v>33547.471598330201</v>
      </c>
      <c r="AP53" s="6">
        <v>330.98244656580999</v>
      </c>
      <c r="AQ53" s="6">
        <v>93035.839999999997</v>
      </c>
      <c r="AR53" s="6">
        <v>4342.4095032922596</v>
      </c>
      <c r="AS53" s="6">
        <v>18281.8865453037</v>
      </c>
      <c r="AT53" s="6">
        <v>0</v>
      </c>
      <c r="AU53" t="s">
        <v>2973</v>
      </c>
      <c r="AV53" t="s">
        <v>2976</v>
      </c>
    </row>
    <row r="54" spans="1:48" x14ac:dyDescent="0.45">
      <c r="A54" s="5" t="s">
        <v>120</v>
      </c>
      <c r="B54">
        <v>2243</v>
      </c>
      <c r="C54" t="s">
        <v>114</v>
      </c>
      <c r="D54">
        <v>1304</v>
      </c>
      <c r="E54" t="s">
        <v>121</v>
      </c>
      <c r="F54" t="s">
        <v>2739</v>
      </c>
      <c r="G54" t="s">
        <v>2748</v>
      </c>
      <c r="H54" t="s">
        <v>2745</v>
      </c>
      <c r="I54" t="s">
        <v>2742</v>
      </c>
      <c r="J54">
        <v>688.10309455028096</v>
      </c>
      <c r="K54">
        <v>1</v>
      </c>
      <c r="L54">
        <v>1</v>
      </c>
      <c r="M54">
        <v>1</v>
      </c>
      <c r="N54" s="6">
        <v>4941324.9488487504</v>
      </c>
      <c r="O54" s="6">
        <v>2217454.2085540998</v>
      </c>
      <c r="P54" s="6">
        <v>1330387.4770014901</v>
      </c>
      <c r="Q54" s="6">
        <v>186692.117086752</v>
      </c>
      <c r="R54" s="6">
        <v>260184.68473395699</v>
      </c>
      <c r="S54" s="6">
        <v>275531.15079490701</v>
      </c>
      <c r="T54" s="6">
        <v>6223549.1699999999</v>
      </c>
      <c r="U54" s="6">
        <v>2712494.2662250502</v>
      </c>
      <c r="V54" s="6">
        <v>8189949.1305448702</v>
      </c>
      <c r="W54" s="6">
        <v>619250.47143400798</v>
      </c>
      <c r="X54" s="6">
        <v>0</v>
      </c>
      <c r="Y54" s="6">
        <v>0</v>
      </c>
      <c r="Z54" s="6">
        <v>0</v>
      </c>
      <c r="AA54" s="6">
        <v>119673.35625753801</v>
      </c>
      <c r="AB54" s="6">
        <v>7170.4779886153801</v>
      </c>
      <c r="AC54" s="6">
        <v>275531.15079490701</v>
      </c>
      <c r="AD54" s="6">
        <v>0</v>
      </c>
      <c r="AE54" s="6">
        <v>0</v>
      </c>
      <c r="AF54" s="6">
        <v>0</v>
      </c>
      <c r="AG54" s="6">
        <v>0</v>
      </c>
      <c r="AH54" s="6">
        <v>0</v>
      </c>
      <c r="AI54" s="6">
        <v>0</v>
      </c>
      <c r="AJ54" s="6">
        <v>9211574.5870199706</v>
      </c>
      <c r="AK54" s="6">
        <v>13386.910566127201</v>
      </c>
      <c r="AL54" s="6">
        <v>330.98244656580999</v>
      </c>
      <c r="AM54" s="6">
        <v>93035.839999999997</v>
      </c>
      <c r="AN54" s="6">
        <v>4342.4095032922596</v>
      </c>
      <c r="AO54" s="6">
        <v>33547.471598330201</v>
      </c>
      <c r="AP54" s="6">
        <v>330.98244656580999</v>
      </c>
      <c r="AQ54" s="6">
        <v>56162.493707719797</v>
      </c>
      <c r="AR54" s="6">
        <v>12633.9196550985</v>
      </c>
      <c r="AS54" s="6">
        <v>13563.335037012799</v>
      </c>
      <c r="AT54" s="6">
        <v>0</v>
      </c>
      <c r="AU54" t="s">
        <v>2973</v>
      </c>
      <c r="AV54" t="s">
        <v>2973</v>
      </c>
    </row>
    <row r="55" spans="1:48" x14ac:dyDescent="0.45">
      <c r="A55" s="5" t="s">
        <v>122</v>
      </c>
      <c r="B55">
        <v>2243</v>
      </c>
      <c r="C55" t="s">
        <v>114</v>
      </c>
      <c r="D55">
        <v>1154</v>
      </c>
      <c r="E55" t="s">
        <v>123</v>
      </c>
      <c r="F55" t="s">
        <v>2739</v>
      </c>
      <c r="G55" t="s">
        <v>2740</v>
      </c>
      <c r="H55" t="s">
        <v>2741</v>
      </c>
      <c r="I55" t="s">
        <v>2742</v>
      </c>
      <c r="J55">
        <v>629.29024188145297</v>
      </c>
      <c r="K55">
        <v>4</v>
      </c>
      <c r="L55">
        <v>1</v>
      </c>
      <c r="M55">
        <v>1</v>
      </c>
      <c r="N55" s="6">
        <v>5269935.1444453504</v>
      </c>
      <c r="O55" s="6">
        <v>1399121.6254962699</v>
      </c>
      <c r="P55" s="6">
        <v>1468555.3219551099</v>
      </c>
      <c r="Q55" s="6">
        <v>170735.35702621099</v>
      </c>
      <c r="R55" s="6">
        <v>231843.60717375201</v>
      </c>
      <c r="S55" s="6">
        <v>251981.23057842499</v>
      </c>
      <c r="T55" s="6">
        <v>6059536.3600000003</v>
      </c>
      <c r="U55" s="6">
        <v>2480654.6960966801</v>
      </c>
      <c r="V55" s="6">
        <v>7409257.4145199005</v>
      </c>
      <c r="W55" s="6">
        <v>1021034.11040082</v>
      </c>
      <c r="X55" s="6">
        <v>0</v>
      </c>
      <c r="Y55" s="6">
        <v>0</v>
      </c>
      <c r="Z55" s="6">
        <v>0</v>
      </c>
      <c r="AA55" s="6">
        <v>109444.756029314</v>
      </c>
      <c r="AB55" s="6">
        <v>454.77514665534102</v>
      </c>
      <c r="AC55" s="6">
        <v>251981.23057842499</v>
      </c>
      <c r="AD55" s="6">
        <v>0</v>
      </c>
      <c r="AE55" s="6">
        <v>0</v>
      </c>
      <c r="AF55" s="6">
        <v>0</v>
      </c>
      <c r="AG55" s="6">
        <v>0</v>
      </c>
      <c r="AH55" s="6">
        <v>0</v>
      </c>
      <c r="AI55" s="6">
        <v>0</v>
      </c>
      <c r="AJ55" s="6">
        <v>8792172.2866750993</v>
      </c>
      <c r="AK55" s="6">
        <v>13971.569399182599</v>
      </c>
      <c r="AL55" s="6">
        <v>330.98244656580999</v>
      </c>
      <c r="AM55" s="6">
        <v>93035.839999999997</v>
      </c>
      <c r="AN55" s="6">
        <v>4342.4095032922596</v>
      </c>
      <c r="AO55" s="6">
        <v>33547.471598330201</v>
      </c>
      <c r="AP55" s="6">
        <v>330.98244656580999</v>
      </c>
      <c r="AQ55" s="6">
        <v>93035.839999999997</v>
      </c>
      <c r="AR55" s="6">
        <v>4342.4095032922596</v>
      </c>
      <c r="AS55" s="6">
        <v>18281.8865453037</v>
      </c>
      <c r="AT55" s="6">
        <v>0</v>
      </c>
      <c r="AU55" t="s">
        <v>2973</v>
      </c>
      <c r="AV55" t="s">
        <v>2973</v>
      </c>
    </row>
    <row r="56" spans="1:48" x14ac:dyDescent="0.45">
      <c r="A56" s="5" t="s">
        <v>124</v>
      </c>
      <c r="B56">
        <v>2243</v>
      </c>
      <c r="C56" t="s">
        <v>114</v>
      </c>
      <c r="D56">
        <v>1155</v>
      </c>
      <c r="E56" t="s">
        <v>125</v>
      </c>
      <c r="F56" t="s">
        <v>2739</v>
      </c>
      <c r="G56" t="s">
        <v>2740</v>
      </c>
      <c r="H56" t="s">
        <v>2741</v>
      </c>
      <c r="I56" t="s">
        <v>2742</v>
      </c>
      <c r="J56">
        <v>647.47793657058105</v>
      </c>
      <c r="K56">
        <v>3</v>
      </c>
      <c r="L56">
        <v>1</v>
      </c>
      <c r="M56">
        <v>1</v>
      </c>
      <c r="N56" s="6">
        <v>6116300.6436234703</v>
      </c>
      <c r="O56" s="6">
        <v>1640792.21434239</v>
      </c>
      <c r="P56" s="6">
        <v>1468433.1074075301</v>
      </c>
      <c r="Q56" s="6">
        <v>175669.93623873399</v>
      </c>
      <c r="R56" s="6">
        <v>238544.33199397899</v>
      </c>
      <c r="S56" s="6">
        <v>259263.97133005099</v>
      </c>
      <c r="T56" s="6">
        <v>7087389.8600000003</v>
      </c>
      <c r="U56" s="6">
        <v>2552350.37360611</v>
      </c>
      <c r="V56" s="6">
        <v>8445336.1548323408</v>
      </c>
      <c r="W56" s="6">
        <v>1081328.2404083901</v>
      </c>
      <c r="X56" s="6">
        <v>0</v>
      </c>
      <c r="Y56" s="6">
        <v>0</v>
      </c>
      <c r="Z56" s="6">
        <v>0</v>
      </c>
      <c r="AA56" s="6">
        <v>112607.91934491901</v>
      </c>
      <c r="AB56" s="6">
        <v>467.91902045011102</v>
      </c>
      <c r="AC56" s="6">
        <v>259263.97133005099</v>
      </c>
      <c r="AD56" s="6">
        <v>0</v>
      </c>
      <c r="AE56" s="6">
        <v>0</v>
      </c>
      <c r="AF56" s="6">
        <v>0</v>
      </c>
      <c r="AG56" s="6">
        <v>0</v>
      </c>
      <c r="AH56" s="6">
        <v>0</v>
      </c>
      <c r="AI56" s="6">
        <v>0</v>
      </c>
      <c r="AJ56" s="6">
        <v>9899004.2049361393</v>
      </c>
      <c r="AK56" s="6">
        <v>15288.558336623901</v>
      </c>
      <c r="AL56" s="6">
        <v>330.98244656580999</v>
      </c>
      <c r="AM56" s="6">
        <v>93035.839999999997</v>
      </c>
      <c r="AN56" s="6">
        <v>4342.4095032922596</v>
      </c>
      <c r="AO56" s="6">
        <v>33547.471598330201</v>
      </c>
      <c r="AP56" s="6">
        <v>330.98244656580999</v>
      </c>
      <c r="AQ56" s="6">
        <v>93035.839999999997</v>
      </c>
      <c r="AR56" s="6">
        <v>4342.4095032922596</v>
      </c>
      <c r="AS56" s="6">
        <v>18281.8865453037</v>
      </c>
      <c r="AT56" s="6">
        <v>0</v>
      </c>
      <c r="AU56" t="s">
        <v>2973</v>
      </c>
      <c r="AV56" t="s">
        <v>2973</v>
      </c>
    </row>
    <row r="57" spans="1:48" x14ac:dyDescent="0.45">
      <c r="A57" s="5" t="s">
        <v>126</v>
      </c>
      <c r="B57">
        <v>2243</v>
      </c>
      <c r="C57" t="s">
        <v>114</v>
      </c>
      <c r="D57">
        <v>1187</v>
      </c>
      <c r="E57" t="s">
        <v>127</v>
      </c>
      <c r="F57" t="s">
        <v>2739</v>
      </c>
      <c r="G57" t="s">
        <v>2744</v>
      </c>
      <c r="H57" t="s">
        <v>2745</v>
      </c>
      <c r="I57" t="s">
        <v>2742</v>
      </c>
      <c r="J57">
        <v>1558.9016868594199</v>
      </c>
      <c r="K57">
        <v>2</v>
      </c>
      <c r="L57">
        <v>1</v>
      </c>
      <c r="M57">
        <v>1</v>
      </c>
      <c r="N57" s="6">
        <v>13367147.3532642</v>
      </c>
      <c r="O57" s="6">
        <v>6018726.4474877901</v>
      </c>
      <c r="P57" s="6">
        <v>3655816.55506723</v>
      </c>
      <c r="Q57" s="6">
        <v>422952.110744545</v>
      </c>
      <c r="R57" s="6">
        <v>1316034.18882634</v>
      </c>
      <c r="S57" s="6">
        <v>624217.47432660498</v>
      </c>
      <c r="T57" s="6">
        <v>18635504.629999999</v>
      </c>
      <c r="U57" s="6">
        <v>6145172.0253900802</v>
      </c>
      <c r="V57" s="6">
        <v>21104879.2287011</v>
      </c>
      <c r="W57" s="6">
        <v>3396550.1342106098</v>
      </c>
      <c r="X57" s="6">
        <v>0</v>
      </c>
      <c r="Y57" s="6">
        <v>0</v>
      </c>
      <c r="Z57" s="6">
        <v>0</v>
      </c>
      <c r="AA57" s="6">
        <v>271120.70621326502</v>
      </c>
      <c r="AB57" s="6">
        <v>8126.5862650962599</v>
      </c>
      <c r="AC57" s="6">
        <v>624217.47432660498</v>
      </c>
      <c r="AD57" s="6">
        <v>0</v>
      </c>
      <c r="AE57" s="6">
        <v>0</v>
      </c>
      <c r="AF57" s="6">
        <v>0</v>
      </c>
      <c r="AG57" s="6">
        <v>0</v>
      </c>
      <c r="AH57" s="6">
        <v>0</v>
      </c>
      <c r="AI57" s="6">
        <v>0</v>
      </c>
      <c r="AJ57" s="6">
        <v>25404894.129716702</v>
      </c>
      <c r="AK57" s="6">
        <v>16296.6621589188</v>
      </c>
      <c r="AL57" s="6">
        <v>330.98244656580999</v>
      </c>
      <c r="AM57" s="6">
        <v>93035.839999999997</v>
      </c>
      <c r="AN57" s="6">
        <v>4342.4095032922596</v>
      </c>
      <c r="AO57" s="6">
        <v>33547.471598330201</v>
      </c>
      <c r="AP57" s="6">
        <v>330.98244656580999</v>
      </c>
      <c r="AQ57" s="6">
        <v>40734.411818744898</v>
      </c>
      <c r="AR57" s="6">
        <v>4342.4095032922696</v>
      </c>
      <c r="AS57" s="6">
        <v>33547.471598330201</v>
      </c>
      <c r="AT57" s="6">
        <v>0</v>
      </c>
      <c r="AU57" t="s">
        <v>2973</v>
      </c>
      <c r="AV57" t="s">
        <v>2973</v>
      </c>
    </row>
    <row r="58" spans="1:48" x14ac:dyDescent="0.45">
      <c r="A58" s="5" t="s">
        <v>128</v>
      </c>
      <c r="B58">
        <v>2243</v>
      </c>
      <c r="C58" t="s">
        <v>114</v>
      </c>
      <c r="D58">
        <v>2243</v>
      </c>
      <c r="E58" t="s">
        <v>114</v>
      </c>
      <c r="F58" t="s">
        <v>1</v>
      </c>
      <c r="G58" t="s">
        <v>1</v>
      </c>
      <c r="H58" t="s">
        <v>2743</v>
      </c>
      <c r="I58" t="s">
        <v>2742</v>
      </c>
      <c r="J58">
        <v>83.217988673455196</v>
      </c>
      <c r="K58">
        <v>1</v>
      </c>
      <c r="L58">
        <v>5</v>
      </c>
      <c r="M58">
        <v>1</v>
      </c>
      <c r="N58" s="6">
        <v>75275.197453289293</v>
      </c>
      <c r="O58" s="6">
        <v>72847.2470233887</v>
      </c>
      <c r="P58" s="6">
        <v>126684.42715464901</v>
      </c>
      <c r="Q58" s="6">
        <v>22578.219177029801</v>
      </c>
      <c r="R58" s="6">
        <v>30659.237012978901</v>
      </c>
      <c r="S58" s="6">
        <v>33322.257039143602</v>
      </c>
      <c r="T58" s="6">
        <v>0</v>
      </c>
      <c r="U58" s="6">
        <v>328044.32782133599</v>
      </c>
      <c r="V58" s="6">
        <v>273721.31727875501</v>
      </c>
      <c r="W58" s="6">
        <v>39789.783532296897</v>
      </c>
      <c r="X58" s="6">
        <v>0</v>
      </c>
      <c r="Y58" s="6">
        <v>0</v>
      </c>
      <c r="Z58" s="6">
        <v>0</v>
      </c>
      <c r="AA58" s="6">
        <v>14473.0870772541</v>
      </c>
      <c r="AB58" s="6">
        <v>60.139933030238304</v>
      </c>
      <c r="AC58" s="6">
        <v>33322.257039143602</v>
      </c>
      <c r="AD58" s="6">
        <v>0</v>
      </c>
      <c r="AE58" s="6">
        <v>0</v>
      </c>
      <c r="AF58" s="6">
        <v>0</v>
      </c>
      <c r="AG58" s="6">
        <v>0</v>
      </c>
      <c r="AH58" s="6">
        <v>0</v>
      </c>
      <c r="AI58" s="6">
        <v>0</v>
      </c>
      <c r="AJ58" s="6">
        <v>361366.58486047998</v>
      </c>
      <c r="AK58" s="6">
        <v>4342.4095032922596</v>
      </c>
      <c r="AL58" s="6">
        <v>330.98244656580999</v>
      </c>
      <c r="AM58" s="6">
        <v>93035.839999999997</v>
      </c>
      <c r="AN58" s="6">
        <v>4342.4095032922596</v>
      </c>
      <c r="AO58" s="6">
        <v>33547.471598330201</v>
      </c>
      <c r="AP58" s="6">
        <v>634.54287297753501</v>
      </c>
      <c r="AQ58" s="6">
        <v>40331.279999999999</v>
      </c>
      <c r="AR58" s="6">
        <v>4342.4095032922596</v>
      </c>
      <c r="AS58" s="6">
        <v>4342.4095032922596</v>
      </c>
      <c r="AT58" s="6">
        <v>0</v>
      </c>
      <c r="AU58" t="s">
        <v>2973</v>
      </c>
      <c r="AV58" t="s">
        <v>2977</v>
      </c>
    </row>
    <row r="59" spans="1:48" x14ac:dyDescent="0.45">
      <c r="A59" s="5" t="s">
        <v>129</v>
      </c>
      <c r="B59">
        <v>2243</v>
      </c>
      <c r="C59" t="s">
        <v>114</v>
      </c>
      <c r="D59">
        <v>1156</v>
      </c>
      <c r="E59" t="s">
        <v>130</v>
      </c>
      <c r="F59" t="s">
        <v>2739</v>
      </c>
      <c r="G59" t="s">
        <v>2740</v>
      </c>
      <c r="H59" t="s">
        <v>2741</v>
      </c>
      <c r="I59" t="s">
        <v>2742</v>
      </c>
      <c r="J59">
        <v>530.63086359950103</v>
      </c>
      <c r="K59">
        <v>2</v>
      </c>
      <c r="L59">
        <v>1</v>
      </c>
      <c r="M59">
        <v>1</v>
      </c>
      <c r="N59" s="6">
        <v>3894019.4901464502</v>
      </c>
      <c r="O59" s="6">
        <v>1122258.5363433401</v>
      </c>
      <c r="P59" s="6">
        <v>1111185.0751134399</v>
      </c>
      <c r="Q59" s="6">
        <v>143967.67010865899</v>
      </c>
      <c r="R59" s="6">
        <v>212499.13122409399</v>
      </c>
      <c r="S59" s="6">
        <v>212475.91189866699</v>
      </c>
      <c r="T59" s="6">
        <v>4392189.3099999996</v>
      </c>
      <c r="U59" s="6">
        <v>2091740.5929359901</v>
      </c>
      <c r="V59" s="6">
        <v>5924465.0569956796</v>
      </c>
      <c r="W59" s="6">
        <v>466795.23300823203</v>
      </c>
      <c r="X59" s="6">
        <v>0</v>
      </c>
      <c r="Y59" s="6">
        <v>0</v>
      </c>
      <c r="Z59" s="6">
        <v>0</v>
      </c>
      <c r="AA59" s="6">
        <v>92286.136893907198</v>
      </c>
      <c r="AB59" s="6">
        <v>383.47603816614202</v>
      </c>
      <c r="AC59" s="6">
        <v>212475.91189866699</v>
      </c>
      <c r="AD59" s="6">
        <v>0</v>
      </c>
      <c r="AE59" s="6">
        <v>0</v>
      </c>
      <c r="AF59" s="6">
        <v>0</v>
      </c>
      <c r="AG59" s="6">
        <v>0</v>
      </c>
      <c r="AH59" s="6">
        <v>0</v>
      </c>
      <c r="AI59" s="6">
        <v>0</v>
      </c>
      <c r="AJ59" s="6">
        <v>6696405.8148346599</v>
      </c>
      <c r="AK59" s="6">
        <v>12619.706606227201</v>
      </c>
      <c r="AL59" s="6">
        <v>330.98244656580999</v>
      </c>
      <c r="AM59" s="6">
        <v>93035.839999999997</v>
      </c>
      <c r="AN59" s="6">
        <v>4342.4095032922596</v>
      </c>
      <c r="AO59" s="6">
        <v>33547.471598330201</v>
      </c>
      <c r="AP59" s="6">
        <v>330.98244656580999</v>
      </c>
      <c r="AQ59" s="6">
        <v>93035.839999999997</v>
      </c>
      <c r="AR59" s="6">
        <v>4342.4095032922596</v>
      </c>
      <c r="AS59" s="6">
        <v>18281.8865453037</v>
      </c>
      <c r="AT59" s="6">
        <v>0</v>
      </c>
      <c r="AU59" t="s">
        <v>2973</v>
      </c>
      <c r="AV59" t="s">
        <v>2973</v>
      </c>
    </row>
    <row r="60" spans="1:48" x14ac:dyDescent="0.45">
      <c r="A60" s="5" t="s">
        <v>131</v>
      </c>
      <c r="B60">
        <v>2243</v>
      </c>
      <c r="C60" t="s">
        <v>114</v>
      </c>
      <c r="D60">
        <v>4671</v>
      </c>
      <c r="E60" t="s">
        <v>132</v>
      </c>
      <c r="F60" t="s">
        <v>2739</v>
      </c>
      <c r="G60" t="s">
        <v>2740</v>
      </c>
      <c r="H60" t="s">
        <v>2741</v>
      </c>
      <c r="I60" t="s">
        <v>2742</v>
      </c>
      <c r="J60">
        <v>652.59023678025096</v>
      </c>
      <c r="K60">
        <v>1</v>
      </c>
      <c r="L60">
        <v>1</v>
      </c>
      <c r="M60">
        <v>1</v>
      </c>
      <c r="N60" s="6">
        <v>4567532.7972501097</v>
      </c>
      <c r="O60" s="6">
        <v>1585420.12257979</v>
      </c>
      <c r="P60" s="6">
        <v>1327492.47540765</v>
      </c>
      <c r="Q60" s="6">
        <v>177056.97570547301</v>
      </c>
      <c r="R60" s="6">
        <v>240427.809668798</v>
      </c>
      <c r="S60" s="6">
        <v>261311.045338489</v>
      </c>
      <c r="T60" s="6">
        <v>5325427.18</v>
      </c>
      <c r="U60" s="6">
        <v>2572503.0006118198</v>
      </c>
      <c r="V60" s="6">
        <v>7283627.9762336696</v>
      </c>
      <c r="W60" s="6">
        <v>500333.55160237901</v>
      </c>
      <c r="X60" s="6">
        <v>0</v>
      </c>
      <c r="Y60" s="6">
        <v>0</v>
      </c>
      <c r="Z60" s="6">
        <v>0</v>
      </c>
      <c r="AA60" s="6">
        <v>113497.03920084301</v>
      </c>
      <c r="AB60" s="6">
        <v>471.61357492254001</v>
      </c>
      <c r="AC60" s="6">
        <v>261311.045338489</v>
      </c>
      <c r="AD60" s="6">
        <v>0</v>
      </c>
      <c r="AE60" s="6">
        <v>0</v>
      </c>
      <c r="AF60" s="6">
        <v>0</v>
      </c>
      <c r="AG60" s="6">
        <v>0</v>
      </c>
      <c r="AH60" s="6">
        <v>0</v>
      </c>
      <c r="AI60" s="6">
        <v>0</v>
      </c>
      <c r="AJ60" s="6">
        <v>8159241.22595031</v>
      </c>
      <c r="AK60" s="6">
        <v>12502.855185524</v>
      </c>
      <c r="AL60" s="6">
        <v>330.98244656580999</v>
      </c>
      <c r="AM60" s="6">
        <v>93035.839999999997</v>
      </c>
      <c r="AN60" s="6">
        <v>4342.4095032922596</v>
      </c>
      <c r="AO60" s="6">
        <v>33547.471598330201</v>
      </c>
      <c r="AP60" s="6">
        <v>330.98244656580999</v>
      </c>
      <c r="AQ60" s="6">
        <v>93035.839999999997</v>
      </c>
      <c r="AR60" s="6">
        <v>4342.4095032922596</v>
      </c>
      <c r="AS60" s="6">
        <v>18281.8865453037</v>
      </c>
      <c r="AT60" s="6">
        <v>0</v>
      </c>
      <c r="AU60" t="s">
        <v>2973</v>
      </c>
      <c r="AV60" t="s">
        <v>2973</v>
      </c>
    </row>
    <row r="61" spans="1:48" x14ac:dyDescent="0.45">
      <c r="A61" s="5" t="s">
        <v>133</v>
      </c>
      <c r="B61">
        <v>2243</v>
      </c>
      <c r="C61" t="s">
        <v>114</v>
      </c>
      <c r="D61">
        <v>1158</v>
      </c>
      <c r="E61" t="s">
        <v>134</v>
      </c>
      <c r="F61" t="s">
        <v>2739</v>
      </c>
      <c r="G61" t="s">
        <v>2740</v>
      </c>
      <c r="H61" t="s">
        <v>2741</v>
      </c>
      <c r="I61" t="s">
        <v>2742</v>
      </c>
      <c r="J61">
        <v>425.10169491520998</v>
      </c>
      <c r="K61">
        <v>1</v>
      </c>
      <c r="L61">
        <v>1</v>
      </c>
      <c r="M61">
        <v>1</v>
      </c>
      <c r="N61" s="6">
        <v>3249218.6467418098</v>
      </c>
      <c r="O61" s="6">
        <v>1036187.59963589</v>
      </c>
      <c r="P61" s="6">
        <v>941308.99740794499</v>
      </c>
      <c r="Q61" s="6">
        <v>115336.111738832</v>
      </c>
      <c r="R61" s="6">
        <v>170620.551676873</v>
      </c>
      <c r="S61" s="6">
        <v>170219.782664114</v>
      </c>
      <c r="T61" s="6">
        <v>3836926.05</v>
      </c>
      <c r="U61" s="6">
        <v>1675745.8572013399</v>
      </c>
      <c r="V61" s="6">
        <v>5013306.6263563503</v>
      </c>
      <c r="W61" s="6">
        <v>425125.32944575901</v>
      </c>
      <c r="X61" s="6">
        <v>0</v>
      </c>
      <c r="Y61" s="6">
        <v>0</v>
      </c>
      <c r="Z61" s="6">
        <v>0</v>
      </c>
      <c r="AA61" s="6">
        <v>73932.739126133805</v>
      </c>
      <c r="AB61" s="6">
        <v>307.21227310071203</v>
      </c>
      <c r="AC61" s="6">
        <v>170219.782664114</v>
      </c>
      <c r="AD61" s="6">
        <v>0</v>
      </c>
      <c r="AE61" s="6">
        <v>0</v>
      </c>
      <c r="AF61" s="6">
        <v>0</v>
      </c>
      <c r="AG61" s="6">
        <v>0</v>
      </c>
      <c r="AH61" s="6">
        <v>0</v>
      </c>
      <c r="AI61" s="6">
        <v>0</v>
      </c>
      <c r="AJ61" s="6">
        <v>5682891.6898654597</v>
      </c>
      <c r="AK61" s="6">
        <v>13368.3110602487</v>
      </c>
      <c r="AL61" s="6">
        <v>330.98244656580999</v>
      </c>
      <c r="AM61" s="6">
        <v>93035.839999999997</v>
      </c>
      <c r="AN61" s="6">
        <v>4342.4095032922596</v>
      </c>
      <c r="AO61" s="6">
        <v>33547.471598330201</v>
      </c>
      <c r="AP61" s="6">
        <v>330.98244656580999</v>
      </c>
      <c r="AQ61" s="6">
        <v>93035.839999999997</v>
      </c>
      <c r="AR61" s="6">
        <v>4342.4095032922596</v>
      </c>
      <c r="AS61" s="6">
        <v>18281.8865453037</v>
      </c>
      <c r="AT61" s="6">
        <v>0</v>
      </c>
      <c r="AU61" t="s">
        <v>2973</v>
      </c>
      <c r="AV61" t="s">
        <v>2973</v>
      </c>
    </row>
    <row r="62" spans="1:48" x14ac:dyDescent="0.45">
      <c r="A62" s="5" t="s">
        <v>135</v>
      </c>
      <c r="B62">
        <v>2243</v>
      </c>
      <c r="C62" t="s">
        <v>114</v>
      </c>
      <c r="D62">
        <v>1180</v>
      </c>
      <c r="E62" t="s">
        <v>136</v>
      </c>
      <c r="F62" t="s">
        <v>2739</v>
      </c>
      <c r="G62" t="s">
        <v>2747</v>
      </c>
      <c r="H62" t="s">
        <v>2741</v>
      </c>
      <c r="I62" t="s">
        <v>2742</v>
      </c>
      <c r="J62">
        <v>1012.26651961906</v>
      </c>
      <c r="K62">
        <v>1</v>
      </c>
      <c r="L62">
        <v>1</v>
      </c>
      <c r="M62">
        <v>1</v>
      </c>
      <c r="N62" s="6">
        <v>6771403.6699097697</v>
      </c>
      <c r="O62" s="6">
        <v>2837798.7761132601</v>
      </c>
      <c r="P62" s="6">
        <v>2182620.39485096</v>
      </c>
      <c r="Q62" s="6">
        <v>274642.24634425301</v>
      </c>
      <c r="R62" s="6">
        <v>372940.02943384898</v>
      </c>
      <c r="S62" s="6">
        <v>405333.09800631198</v>
      </c>
      <c r="T62" s="6">
        <v>8449062.4600000009</v>
      </c>
      <c r="U62" s="6">
        <v>3990342.6566520901</v>
      </c>
      <c r="V62" s="6">
        <v>11049581.119829301</v>
      </c>
      <c r="W62" s="6">
        <v>1213041.31607021</v>
      </c>
      <c r="X62" s="6">
        <v>0</v>
      </c>
      <c r="Y62" s="6">
        <v>0</v>
      </c>
      <c r="Z62" s="6">
        <v>0</v>
      </c>
      <c r="AA62" s="6">
        <v>176051.13650756699</v>
      </c>
      <c r="AB62" s="6">
        <v>731.54424504928602</v>
      </c>
      <c r="AC62" s="6">
        <v>405333.09800631198</v>
      </c>
      <c r="AD62" s="6">
        <v>0</v>
      </c>
      <c r="AE62" s="6">
        <v>0</v>
      </c>
      <c r="AF62" s="6">
        <v>0</v>
      </c>
      <c r="AG62" s="6">
        <v>0</v>
      </c>
      <c r="AH62" s="6">
        <v>0</v>
      </c>
      <c r="AI62" s="6">
        <v>0</v>
      </c>
      <c r="AJ62" s="6">
        <v>12844738.2146584</v>
      </c>
      <c r="AK62" s="6">
        <v>12689.087276631601</v>
      </c>
      <c r="AL62" s="6">
        <v>330.98244656580999</v>
      </c>
      <c r="AM62" s="6">
        <v>93035.839999999997</v>
      </c>
      <c r="AN62" s="6">
        <v>4342.4095032922596</v>
      </c>
      <c r="AO62" s="6">
        <v>33547.471598330201</v>
      </c>
      <c r="AP62" s="6">
        <v>3753.1860850462999</v>
      </c>
      <c r="AQ62" s="6">
        <v>20687.885194392002</v>
      </c>
      <c r="AR62" s="6">
        <v>11185.5712070765</v>
      </c>
      <c r="AS62" s="6">
        <v>14901.359051007599</v>
      </c>
      <c r="AT62" s="6">
        <v>0</v>
      </c>
      <c r="AU62" t="s">
        <v>2973</v>
      </c>
      <c r="AV62" t="s">
        <v>2973</v>
      </c>
    </row>
    <row r="63" spans="1:48" x14ac:dyDescent="0.45">
      <c r="A63" s="5" t="s">
        <v>137</v>
      </c>
      <c r="B63">
        <v>2243</v>
      </c>
      <c r="C63" t="s">
        <v>114</v>
      </c>
      <c r="D63">
        <v>1159</v>
      </c>
      <c r="E63" t="s">
        <v>138</v>
      </c>
      <c r="F63" t="s">
        <v>2739</v>
      </c>
      <c r="G63" t="s">
        <v>2740</v>
      </c>
      <c r="H63" t="s">
        <v>2741</v>
      </c>
      <c r="I63" t="s">
        <v>2742</v>
      </c>
      <c r="J63">
        <v>494.54015911774098</v>
      </c>
      <c r="K63">
        <v>3</v>
      </c>
      <c r="L63">
        <v>1</v>
      </c>
      <c r="M63">
        <v>1</v>
      </c>
      <c r="N63" s="6">
        <v>4882097.6747647002</v>
      </c>
      <c r="O63" s="6">
        <v>1371896.39571931</v>
      </c>
      <c r="P63" s="6">
        <v>1130238.3557839899</v>
      </c>
      <c r="Q63" s="6">
        <v>134175.75072882301</v>
      </c>
      <c r="R63" s="6">
        <v>182198.87541770801</v>
      </c>
      <c r="S63" s="6">
        <v>198024.42429802299</v>
      </c>
      <c r="T63" s="6">
        <v>5751135.5899999999</v>
      </c>
      <c r="U63" s="6">
        <v>1949471.4624145201</v>
      </c>
      <c r="V63" s="6">
        <v>6659398.5943575697</v>
      </c>
      <c r="W63" s="6">
        <v>954841.742005173</v>
      </c>
      <c r="X63" s="6">
        <v>0</v>
      </c>
      <c r="Y63" s="6">
        <v>0</v>
      </c>
      <c r="Z63" s="6">
        <v>0</v>
      </c>
      <c r="AA63" s="6">
        <v>86009.322025265996</v>
      </c>
      <c r="AB63" s="6">
        <v>357.39402651041598</v>
      </c>
      <c r="AC63" s="6">
        <v>198024.42429802299</v>
      </c>
      <c r="AD63" s="6">
        <v>0</v>
      </c>
      <c r="AE63" s="6">
        <v>0</v>
      </c>
      <c r="AF63" s="6">
        <v>0</v>
      </c>
      <c r="AG63" s="6">
        <v>0</v>
      </c>
      <c r="AH63" s="6">
        <v>0</v>
      </c>
      <c r="AI63" s="6">
        <v>0</v>
      </c>
      <c r="AJ63" s="6">
        <v>7898631.47671255</v>
      </c>
      <c r="AK63" s="6">
        <v>15971.6684905907</v>
      </c>
      <c r="AL63" s="6">
        <v>330.98244656580999</v>
      </c>
      <c r="AM63" s="6">
        <v>93035.839999999997</v>
      </c>
      <c r="AN63" s="6">
        <v>4342.4095032922596</v>
      </c>
      <c r="AO63" s="6">
        <v>33547.471598330201</v>
      </c>
      <c r="AP63" s="6">
        <v>330.98244656580999</v>
      </c>
      <c r="AQ63" s="6">
        <v>93035.839999999997</v>
      </c>
      <c r="AR63" s="6">
        <v>4342.4095032922596</v>
      </c>
      <c r="AS63" s="6">
        <v>18281.8865453037</v>
      </c>
      <c r="AT63" s="6">
        <v>0</v>
      </c>
      <c r="AU63" t="s">
        <v>2973</v>
      </c>
      <c r="AV63" t="s">
        <v>2973</v>
      </c>
    </row>
    <row r="64" spans="1:48" x14ac:dyDescent="0.45">
      <c r="A64" s="5" t="s">
        <v>139</v>
      </c>
      <c r="B64">
        <v>2243</v>
      </c>
      <c r="C64" t="s">
        <v>114</v>
      </c>
      <c r="D64">
        <v>1305</v>
      </c>
      <c r="E64" t="s">
        <v>140</v>
      </c>
      <c r="F64" t="s">
        <v>2750</v>
      </c>
      <c r="G64" t="s">
        <v>2744</v>
      </c>
      <c r="H64" t="s">
        <v>2745</v>
      </c>
      <c r="I64" t="s">
        <v>2742</v>
      </c>
      <c r="J64">
        <v>143.012769375678</v>
      </c>
      <c r="K64">
        <v>1</v>
      </c>
      <c r="L64">
        <v>3</v>
      </c>
      <c r="M64">
        <v>1</v>
      </c>
      <c r="N64" s="6">
        <v>2742893.77917554</v>
      </c>
      <c r="O64" s="6">
        <v>1330077.7188755099</v>
      </c>
      <c r="P64" s="6">
        <v>527940.28110473405</v>
      </c>
      <c r="Q64" s="6">
        <v>38801.390222833499</v>
      </c>
      <c r="R64" s="6">
        <v>100738.28727359899</v>
      </c>
      <c r="S64" s="6">
        <v>57265.362176870403</v>
      </c>
      <c r="T64" s="6">
        <v>4176696.81</v>
      </c>
      <c r="U64" s="6">
        <v>563754.646652219</v>
      </c>
      <c r="V64" s="6">
        <v>4176208.69935623</v>
      </c>
      <c r="W64" s="6">
        <v>539266.94286166201</v>
      </c>
      <c r="X64" s="6">
        <v>0</v>
      </c>
      <c r="Y64" s="6">
        <v>0</v>
      </c>
      <c r="Z64" s="6">
        <v>0</v>
      </c>
      <c r="AA64" s="6">
        <v>24872.462040093498</v>
      </c>
      <c r="AB64" s="6">
        <v>103.352394233792</v>
      </c>
      <c r="AC64" s="6">
        <v>57265.362176870403</v>
      </c>
      <c r="AD64" s="6">
        <v>0</v>
      </c>
      <c r="AE64" s="6">
        <v>0</v>
      </c>
      <c r="AF64" s="6">
        <v>0</v>
      </c>
      <c r="AG64" s="6">
        <v>0</v>
      </c>
      <c r="AH64" s="6">
        <v>0</v>
      </c>
      <c r="AI64" s="6">
        <v>0</v>
      </c>
      <c r="AJ64" s="6">
        <v>4797716.8188290903</v>
      </c>
      <c r="AK64" s="6">
        <v>33547.471598330201</v>
      </c>
      <c r="AL64" s="6">
        <v>330.98244656580999</v>
      </c>
      <c r="AM64" s="6">
        <v>93035.839999999997</v>
      </c>
      <c r="AN64" s="6">
        <v>4342.4095032922596</v>
      </c>
      <c r="AO64" s="6">
        <v>33547.471598330201</v>
      </c>
      <c r="AP64" s="6">
        <v>330.98244656580999</v>
      </c>
      <c r="AQ64" s="6">
        <v>40734.411818744898</v>
      </c>
      <c r="AR64" s="6">
        <v>4342.4095032922696</v>
      </c>
      <c r="AS64" s="6">
        <v>33547.471598330201</v>
      </c>
      <c r="AT64" s="6">
        <v>0</v>
      </c>
      <c r="AU64" t="s">
        <v>2973</v>
      </c>
      <c r="AV64" t="s">
        <v>2973</v>
      </c>
    </row>
    <row r="65" spans="1:48" x14ac:dyDescent="0.45">
      <c r="A65" s="5" t="s">
        <v>141</v>
      </c>
      <c r="B65">
        <v>2243</v>
      </c>
      <c r="C65" t="s">
        <v>114</v>
      </c>
      <c r="D65">
        <v>1319</v>
      </c>
      <c r="E65" t="s">
        <v>142</v>
      </c>
      <c r="F65" t="s">
        <v>2739</v>
      </c>
      <c r="G65" t="s">
        <v>2747</v>
      </c>
      <c r="H65" t="s">
        <v>2741</v>
      </c>
      <c r="I65" t="s">
        <v>2742</v>
      </c>
      <c r="J65">
        <v>996.26291917121102</v>
      </c>
      <c r="K65">
        <v>1</v>
      </c>
      <c r="L65">
        <v>1</v>
      </c>
      <c r="M65">
        <v>1</v>
      </c>
      <c r="N65" s="6">
        <v>6672801.7727781404</v>
      </c>
      <c r="O65" s="6">
        <v>2611137.1266421899</v>
      </c>
      <c r="P65" s="6">
        <v>2173597.0002330602</v>
      </c>
      <c r="Q65" s="6">
        <v>270300.24283884402</v>
      </c>
      <c r="R65" s="6">
        <v>367043.97033637401</v>
      </c>
      <c r="S65" s="6">
        <v>398924.91515815799</v>
      </c>
      <c r="T65" s="6">
        <v>8167623.46</v>
      </c>
      <c r="U65" s="6">
        <v>3927256.6528285998</v>
      </c>
      <c r="V65" s="6">
        <v>10945298.8909015</v>
      </c>
      <c r="W65" s="6">
        <v>975593.41716218903</v>
      </c>
      <c r="X65" s="6">
        <v>0</v>
      </c>
      <c r="Y65" s="6">
        <v>0</v>
      </c>
      <c r="Z65" s="6">
        <v>0</v>
      </c>
      <c r="AA65" s="6">
        <v>173267.82599353601</v>
      </c>
      <c r="AB65" s="6">
        <v>719.97877135160797</v>
      </c>
      <c r="AC65" s="6">
        <v>398924.91515815799</v>
      </c>
      <c r="AD65" s="6">
        <v>0</v>
      </c>
      <c r="AE65" s="6">
        <v>0</v>
      </c>
      <c r="AF65" s="6">
        <v>0</v>
      </c>
      <c r="AG65" s="6">
        <v>0</v>
      </c>
      <c r="AH65" s="6">
        <v>0</v>
      </c>
      <c r="AI65" s="6">
        <v>0</v>
      </c>
      <c r="AJ65" s="6">
        <v>12493805.0279867</v>
      </c>
      <c r="AK65" s="6">
        <v>12540.670527394799</v>
      </c>
      <c r="AL65" s="6">
        <v>330.98244656580999</v>
      </c>
      <c r="AM65" s="6">
        <v>93035.839999999997</v>
      </c>
      <c r="AN65" s="6">
        <v>4342.4095032922596</v>
      </c>
      <c r="AO65" s="6">
        <v>33547.471598330201</v>
      </c>
      <c r="AP65" s="6">
        <v>3753.1860850462999</v>
      </c>
      <c r="AQ65" s="6">
        <v>20687.885194392002</v>
      </c>
      <c r="AR65" s="6">
        <v>11185.5712070765</v>
      </c>
      <c r="AS65" s="6">
        <v>14901.359051007599</v>
      </c>
      <c r="AT65" s="6">
        <v>0</v>
      </c>
      <c r="AU65" t="s">
        <v>2973</v>
      </c>
      <c r="AV65" t="s">
        <v>2973</v>
      </c>
    </row>
    <row r="66" spans="1:48" x14ac:dyDescent="0.45">
      <c r="A66" s="5" t="s">
        <v>143</v>
      </c>
      <c r="B66">
        <v>2243</v>
      </c>
      <c r="C66" t="s">
        <v>114</v>
      </c>
      <c r="D66">
        <v>1160</v>
      </c>
      <c r="E66" t="s">
        <v>144</v>
      </c>
      <c r="F66" t="s">
        <v>2739</v>
      </c>
      <c r="G66" t="s">
        <v>2740</v>
      </c>
      <c r="H66" t="s">
        <v>2741</v>
      </c>
      <c r="I66" t="s">
        <v>2742</v>
      </c>
      <c r="J66">
        <v>483.51527378512799</v>
      </c>
      <c r="K66">
        <v>1</v>
      </c>
      <c r="L66">
        <v>1</v>
      </c>
      <c r="M66">
        <v>1</v>
      </c>
      <c r="N66" s="6">
        <v>4498818.2362753404</v>
      </c>
      <c r="O66" s="6">
        <v>1117817.6669517199</v>
      </c>
      <c r="P66" s="6">
        <v>1058625.1698753501</v>
      </c>
      <c r="Q66" s="6">
        <v>131184.543161693</v>
      </c>
      <c r="R66" s="6">
        <v>178137.07846921601</v>
      </c>
      <c r="S66" s="6">
        <v>193609.82513819501</v>
      </c>
      <c r="T66" s="6">
        <v>5078571.2</v>
      </c>
      <c r="U66" s="6">
        <v>1906011.4947333101</v>
      </c>
      <c r="V66" s="6">
        <v>6422532.7776005501</v>
      </c>
      <c r="W66" s="6">
        <v>477608.59201935102</v>
      </c>
      <c r="X66" s="6">
        <v>0</v>
      </c>
      <c r="Y66" s="6">
        <v>0</v>
      </c>
      <c r="Z66" s="6">
        <v>0</v>
      </c>
      <c r="AA66" s="6">
        <v>84091.898545328499</v>
      </c>
      <c r="AB66" s="6">
        <v>349.42656807818702</v>
      </c>
      <c r="AC66" s="6">
        <v>193609.82513819501</v>
      </c>
      <c r="AD66" s="6">
        <v>0</v>
      </c>
      <c r="AE66" s="6">
        <v>0</v>
      </c>
      <c r="AF66" s="6">
        <v>0</v>
      </c>
      <c r="AG66" s="6">
        <v>0</v>
      </c>
      <c r="AH66" s="6">
        <v>0</v>
      </c>
      <c r="AI66" s="6">
        <v>0</v>
      </c>
      <c r="AJ66" s="6">
        <v>7178192.5198715003</v>
      </c>
      <c r="AK66" s="6">
        <v>14845.8444004841</v>
      </c>
      <c r="AL66" s="6">
        <v>330.98244656580999</v>
      </c>
      <c r="AM66" s="6">
        <v>93035.839999999997</v>
      </c>
      <c r="AN66" s="6">
        <v>4342.4095032922596</v>
      </c>
      <c r="AO66" s="6">
        <v>33547.471598330201</v>
      </c>
      <c r="AP66" s="6">
        <v>330.98244656580999</v>
      </c>
      <c r="AQ66" s="6">
        <v>93035.839999999997</v>
      </c>
      <c r="AR66" s="6">
        <v>4342.4095032922596</v>
      </c>
      <c r="AS66" s="6">
        <v>18281.8865453037</v>
      </c>
      <c r="AT66" s="6">
        <v>0</v>
      </c>
      <c r="AU66" t="s">
        <v>2973</v>
      </c>
      <c r="AV66" t="s">
        <v>2973</v>
      </c>
    </row>
    <row r="67" spans="1:48" x14ac:dyDescent="0.45">
      <c r="A67" s="5" t="s">
        <v>145</v>
      </c>
      <c r="B67">
        <v>2243</v>
      </c>
      <c r="C67" t="s">
        <v>114</v>
      </c>
      <c r="D67">
        <v>1162</v>
      </c>
      <c r="E67" t="s">
        <v>146</v>
      </c>
      <c r="F67" t="s">
        <v>2739</v>
      </c>
      <c r="G67" t="s">
        <v>2740</v>
      </c>
      <c r="H67" t="s">
        <v>2741</v>
      </c>
      <c r="I67" t="s">
        <v>2742</v>
      </c>
      <c r="J67">
        <v>739.03990314752605</v>
      </c>
      <c r="K67">
        <v>3</v>
      </c>
      <c r="L67">
        <v>1</v>
      </c>
      <c r="M67">
        <v>1</v>
      </c>
      <c r="N67" s="6">
        <v>5610219.62296673</v>
      </c>
      <c r="O67" s="6">
        <v>1592422.4211218799</v>
      </c>
      <c r="P67" s="6">
        <v>1533639.9108729099</v>
      </c>
      <c r="Q67" s="6">
        <v>200511.99482015701</v>
      </c>
      <c r="R67" s="6">
        <v>278631.66392624303</v>
      </c>
      <c r="S67" s="6">
        <v>295927.33503208298</v>
      </c>
      <c r="T67" s="6">
        <v>6302139.0499999998</v>
      </c>
      <c r="U67" s="6">
        <v>2913286.56370793</v>
      </c>
      <c r="V67" s="6">
        <v>8182768.0853135996</v>
      </c>
      <c r="W67" s="6">
        <v>903591.266960782</v>
      </c>
      <c r="X67" s="6">
        <v>0</v>
      </c>
      <c r="Y67" s="6">
        <v>0</v>
      </c>
      <c r="Z67" s="6">
        <v>0</v>
      </c>
      <c r="AA67" s="6">
        <v>128532.17245842201</v>
      </c>
      <c r="AB67" s="6">
        <v>534.08897511774705</v>
      </c>
      <c r="AC67" s="6">
        <v>295927.33503208298</v>
      </c>
      <c r="AD67" s="6">
        <v>0</v>
      </c>
      <c r="AE67" s="6">
        <v>0</v>
      </c>
      <c r="AF67" s="6">
        <v>0</v>
      </c>
      <c r="AG67" s="6">
        <v>0</v>
      </c>
      <c r="AH67" s="6">
        <v>0</v>
      </c>
      <c r="AI67" s="6">
        <v>0</v>
      </c>
      <c r="AJ67" s="6">
        <v>9511352.9487400092</v>
      </c>
      <c r="AK67" s="6">
        <v>12869.8774020614</v>
      </c>
      <c r="AL67" s="6">
        <v>330.98244656580999</v>
      </c>
      <c r="AM67" s="6">
        <v>93035.839999999997</v>
      </c>
      <c r="AN67" s="6">
        <v>4342.4095032922596</v>
      </c>
      <c r="AO67" s="6">
        <v>33547.471598330201</v>
      </c>
      <c r="AP67" s="6">
        <v>330.98244656580999</v>
      </c>
      <c r="AQ67" s="6">
        <v>93035.839999999997</v>
      </c>
      <c r="AR67" s="6">
        <v>4342.4095032922596</v>
      </c>
      <c r="AS67" s="6">
        <v>18281.8865453037</v>
      </c>
      <c r="AT67" s="6">
        <v>0</v>
      </c>
      <c r="AU67" t="s">
        <v>2973</v>
      </c>
      <c r="AV67" t="s">
        <v>2973</v>
      </c>
    </row>
    <row r="68" spans="1:48" x14ac:dyDescent="0.45">
      <c r="A68" s="5" t="s">
        <v>147</v>
      </c>
      <c r="B68">
        <v>2243</v>
      </c>
      <c r="C68" t="s">
        <v>114</v>
      </c>
      <c r="D68">
        <v>1161</v>
      </c>
      <c r="E68" t="s">
        <v>148</v>
      </c>
      <c r="F68" t="s">
        <v>2739</v>
      </c>
      <c r="G68" t="s">
        <v>2740</v>
      </c>
      <c r="H68" t="s">
        <v>2741</v>
      </c>
      <c r="I68" t="s">
        <v>2742</v>
      </c>
      <c r="J68">
        <v>460.65944475898198</v>
      </c>
      <c r="K68">
        <v>2</v>
      </c>
      <c r="L68">
        <v>1</v>
      </c>
      <c r="M68">
        <v>1</v>
      </c>
      <c r="N68" s="6">
        <v>4203137.7356630797</v>
      </c>
      <c r="O68" s="6">
        <v>1110075.4231711901</v>
      </c>
      <c r="P68" s="6">
        <v>1017967.09911353</v>
      </c>
      <c r="Q68" s="6">
        <v>124983.432975649</v>
      </c>
      <c r="R68" s="6">
        <v>169716.51591524199</v>
      </c>
      <c r="S68" s="6">
        <v>184457.86386404699</v>
      </c>
      <c r="T68" s="6">
        <v>4809966.12</v>
      </c>
      <c r="U68" s="6">
        <v>1815914.0868386901</v>
      </c>
      <c r="V68" s="6">
        <v>5907644.7600589497</v>
      </c>
      <c r="W68" s="6">
        <v>637785.67393815401</v>
      </c>
      <c r="X68" s="6">
        <v>0</v>
      </c>
      <c r="Y68" s="6">
        <v>0</v>
      </c>
      <c r="Z68" s="6">
        <v>0</v>
      </c>
      <c r="AA68" s="6">
        <v>80116.863712219594</v>
      </c>
      <c r="AB68" s="6">
        <v>332.90912937419898</v>
      </c>
      <c r="AC68" s="6">
        <v>184457.86386404699</v>
      </c>
      <c r="AD68" s="6">
        <v>0</v>
      </c>
      <c r="AE68" s="6">
        <v>0</v>
      </c>
      <c r="AF68" s="6">
        <v>0</v>
      </c>
      <c r="AG68" s="6">
        <v>0</v>
      </c>
      <c r="AH68" s="6">
        <v>0</v>
      </c>
      <c r="AI68" s="6">
        <v>0</v>
      </c>
      <c r="AJ68" s="6">
        <v>6810338.07070274</v>
      </c>
      <c r="AK68" s="6">
        <v>14783.888940486</v>
      </c>
      <c r="AL68" s="6">
        <v>330.98244656580999</v>
      </c>
      <c r="AM68" s="6">
        <v>93035.839999999997</v>
      </c>
      <c r="AN68" s="6">
        <v>4342.4095032922596</v>
      </c>
      <c r="AO68" s="6">
        <v>33547.471598330201</v>
      </c>
      <c r="AP68" s="6">
        <v>330.98244656580999</v>
      </c>
      <c r="AQ68" s="6">
        <v>93035.839999999997</v>
      </c>
      <c r="AR68" s="6">
        <v>4342.4095032922596</v>
      </c>
      <c r="AS68" s="6">
        <v>18281.8865453037</v>
      </c>
      <c r="AT68" s="6">
        <v>0</v>
      </c>
      <c r="AU68" t="s">
        <v>2973</v>
      </c>
      <c r="AV68" t="s">
        <v>2973</v>
      </c>
    </row>
    <row r="69" spans="1:48" x14ac:dyDescent="0.45">
      <c r="A69" s="5" t="s">
        <v>149</v>
      </c>
      <c r="B69">
        <v>2243</v>
      </c>
      <c r="C69" t="s">
        <v>114</v>
      </c>
      <c r="D69">
        <v>1370</v>
      </c>
      <c r="E69" t="s">
        <v>150</v>
      </c>
      <c r="F69" t="s">
        <v>2739</v>
      </c>
      <c r="G69" t="s">
        <v>2740</v>
      </c>
      <c r="H69" t="s">
        <v>2741</v>
      </c>
      <c r="I69" t="s">
        <v>2742</v>
      </c>
      <c r="J69">
        <v>692.01694915248697</v>
      </c>
      <c r="K69">
        <v>1</v>
      </c>
      <c r="L69">
        <v>1</v>
      </c>
      <c r="M69">
        <v>1</v>
      </c>
      <c r="N69" s="6">
        <v>5233871.3732331898</v>
      </c>
      <c r="O69" s="6">
        <v>1453484.7731447699</v>
      </c>
      <c r="P69" s="6">
        <v>1410364.9370160501</v>
      </c>
      <c r="Q69" s="6">
        <v>187754.001283238</v>
      </c>
      <c r="R69" s="6">
        <v>254953.430132977</v>
      </c>
      <c r="S69" s="6">
        <v>277098.34162885399</v>
      </c>
      <c r="T69" s="6">
        <v>5812505.8799999999</v>
      </c>
      <c r="U69" s="6">
        <v>2727922.63481022</v>
      </c>
      <c r="V69" s="6">
        <v>7865339.4044445902</v>
      </c>
      <c r="W69" s="6">
        <v>554234.95878956595</v>
      </c>
      <c r="X69" s="6">
        <v>0</v>
      </c>
      <c r="Y69" s="6">
        <v>0</v>
      </c>
      <c r="Z69" s="6">
        <v>0</v>
      </c>
      <c r="AA69" s="6">
        <v>120354.045125034</v>
      </c>
      <c r="AB69" s="6">
        <v>500.10645103581498</v>
      </c>
      <c r="AC69" s="6">
        <v>277098.34162885399</v>
      </c>
      <c r="AD69" s="6">
        <v>0</v>
      </c>
      <c r="AE69" s="6">
        <v>0</v>
      </c>
      <c r="AF69" s="6">
        <v>0</v>
      </c>
      <c r="AG69" s="6">
        <v>0</v>
      </c>
      <c r="AH69" s="6">
        <v>0</v>
      </c>
      <c r="AI69" s="6">
        <v>0</v>
      </c>
      <c r="AJ69" s="6">
        <v>8817526.8564390708</v>
      </c>
      <c r="AK69" s="6">
        <v>12741.7787486823</v>
      </c>
      <c r="AL69" s="6">
        <v>330.98244656580999</v>
      </c>
      <c r="AM69" s="6">
        <v>93035.839999999997</v>
      </c>
      <c r="AN69" s="6">
        <v>4342.4095032922596</v>
      </c>
      <c r="AO69" s="6">
        <v>33547.471598330201</v>
      </c>
      <c r="AP69" s="6">
        <v>330.98244656580999</v>
      </c>
      <c r="AQ69" s="6">
        <v>93035.839999999997</v>
      </c>
      <c r="AR69" s="6">
        <v>4342.4095032922596</v>
      </c>
      <c r="AS69" s="6">
        <v>18281.8865453037</v>
      </c>
      <c r="AT69" s="6">
        <v>0</v>
      </c>
      <c r="AU69" t="s">
        <v>2973</v>
      </c>
      <c r="AV69" t="s">
        <v>2973</v>
      </c>
    </row>
    <row r="70" spans="1:48" x14ac:dyDescent="0.45">
      <c r="A70" s="5" t="s">
        <v>151</v>
      </c>
      <c r="B70">
        <v>2243</v>
      </c>
      <c r="C70" t="s">
        <v>114</v>
      </c>
      <c r="D70">
        <v>1163</v>
      </c>
      <c r="E70" t="s">
        <v>152</v>
      </c>
      <c r="F70" t="s">
        <v>2739</v>
      </c>
      <c r="G70" t="s">
        <v>2740</v>
      </c>
      <c r="H70" t="s">
        <v>2741</v>
      </c>
      <c r="I70" t="s">
        <v>2742</v>
      </c>
      <c r="J70">
        <v>387.42963844497302</v>
      </c>
      <c r="K70">
        <v>2</v>
      </c>
      <c r="L70">
        <v>1</v>
      </c>
      <c r="M70">
        <v>1</v>
      </c>
      <c r="N70" s="6">
        <v>3890484.8424677602</v>
      </c>
      <c r="O70" s="6">
        <v>1078149.1073106001</v>
      </c>
      <c r="P70" s="6">
        <v>934448.80396524305</v>
      </c>
      <c r="Q70" s="6">
        <v>105115.149163396</v>
      </c>
      <c r="R70" s="6">
        <v>142737.132923834</v>
      </c>
      <c r="S70" s="6">
        <v>155135.08800968999</v>
      </c>
      <c r="T70" s="6">
        <v>4623691.9800000004</v>
      </c>
      <c r="U70" s="6">
        <v>1527243.05583085</v>
      </c>
      <c r="V70" s="6">
        <v>5530296.0472862097</v>
      </c>
      <c r="W70" s="6">
        <v>552978.10204896401</v>
      </c>
      <c r="X70" s="6">
        <v>0</v>
      </c>
      <c r="Y70" s="6">
        <v>0</v>
      </c>
      <c r="Z70" s="6">
        <v>0</v>
      </c>
      <c r="AA70" s="6">
        <v>67380.899044869104</v>
      </c>
      <c r="AB70" s="6">
        <v>279.987450807524</v>
      </c>
      <c r="AC70" s="6">
        <v>155135.08800968999</v>
      </c>
      <c r="AD70" s="6">
        <v>0</v>
      </c>
      <c r="AE70" s="6">
        <v>0</v>
      </c>
      <c r="AF70" s="6">
        <v>0</v>
      </c>
      <c r="AG70" s="6">
        <v>0</v>
      </c>
      <c r="AH70" s="6">
        <v>0</v>
      </c>
      <c r="AI70" s="6">
        <v>0</v>
      </c>
      <c r="AJ70" s="6">
        <v>6306070.1238405397</v>
      </c>
      <c r="AK70" s="6">
        <v>16276.6848430885</v>
      </c>
      <c r="AL70" s="6">
        <v>330.98244656580999</v>
      </c>
      <c r="AM70" s="6">
        <v>93035.839999999997</v>
      </c>
      <c r="AN70" s="6">
        <v>4342.4095032922596</v>
      </c>
      <c r="AO70" s="6">
        <v>33547.471598330201</v>
      </c>
      <c r="AP70" s="6">
        <v>330.98244656580999</v>
      </c>
      <c r="AQ70" s="6">
        <v>93035.839999999997</v>
      </c>
      <c r="AR70" s="6">
        <v>4342.4095032922596</v>
      </c>
      <c r="AS70" s="6">
        <v>18281.8865453037</v>
      </c>
      <c r="AT70" s="6">
        <v>0</v>
      </c>
      <c r="AU70" t="s">
        <v>2973</v>
      </c>
      <c r="AV70" t="s">
        <v>2973</v>
      </c>
    </row>
    <row r="71" spans="1:48" x14ac:dyDescent="0.45">
      <c r="A71" s="5" t="s">
        <v>153</v>
      </c>
      <c r="B71">
        <v>2243</v>
      </c>
      <c r="C71" t="s">
        <v>114</v>
      </c>
      <c r="D71">
        <v>1181</v>
      </c>
      <c r="E71" t="s">
        <v>154</v>
      </c>
      <c r="F71" t="s">
        <v>2739</v>
      </c>
      <c r="G71" t="s">
        <v>2747</v>
      </c>
      <c r="H71" t="s">
        <v>2745</v>
      </c>
      <c r="I71" t="s">
        <v>2742</v>
      </c>
      <c r="J71">
        <v>1011.24499369881</v>
      </c>
      <c r="K71">
        <v>2</v>
      </c>
      <c r="L71">
        <v>1</v>
      </c>
      <c r="M71">
        <v>1</v>
      </c>
      <c r="N71" s="6">
        <v>7711211.8541483199</v>
      </c>
      <c r="O71" s="6">
        <v>3025919.3641759199</v>
      </c>
      <c r="P71" s="6">
        <v>2299702.21528327</v>
      </c>
      <c r="Q71" s="6">
        <v>274365.09189135098</v>
      </c>
      <c r="R71" s="6">
        <v>372563.67804873298</v>
      </c>
      <c r="S71" s="6">
        <v>404924.05724686402</v>
      </c>
      <c r="T71" s="6">
        <v>9697446.3900000006</v>
      </c>
      <c r="U71" s="6">
        <v>3986315.8135475898</v>
      </c>
      <c r="V71" s="6">
        <v>12501203.89807</v>
      </c>
      <c r="W71" s="6">
        <v>1005954.02447162</v>
      </c>
      <c r="X71" s="6">
        <v>0</v>
      </c>
      <c r="Y71" s="6">
        <v>0</v>
      </c>
      <c r="Z71" s="6">
        <v>0</v>
      </c>
      <c r="AA71" s="6">
        <v>175873.474996743</v>
      </c>
      <c r="AB71" s="6">
        <v>730.80600922537701</v>
      </c>
      <c r="AC71" s="6">
        <v>404924.05724686402</v>
      </c>
      <c r="AD71" s="6">
        <v>0</v>
      </c>
      <c r="AE71" s="6">
        <v>0</v>
      </c>
      <c r="AF71" s="6">
        <v>0</v>
      </c>
      <c r="AG71" s="6">
        <v>0</v>
      </c>
      <c r="AH71" s="6">
        <v>0</v>
      </c>
      <c r="AI71" s="6">
        <v>0</v>
      </c>
      <c r="AJ71" s="6">
        <v>14088686.260794399</v>
      </c>
      <c r="AK71" s="6">
        <v>13932.020774968199</v>
      </c>
      <c r="AL71" s="6">
        <v>330.98244656580999</v>
      </c>
      <c r="AM71" s="6">
        <v>93035.839999999997</v>
      </c>
      <c r="AN71" s="6">
        <v>4342.4095032922596</v>
      </c>
      <c r="AO71" s="6">
        <v>33547.471598330201</v>
      </c>
      <c r="AP71" s="6">
        <v>3753.1860850462999</v>
      </c>
      <c r="AQ71" s="6">
        <v>20687.885194392002</v>
      </c>
      <c r="AR71" s="6">
        <v>11185.5712070765</v>
      </c>
      <c r="AS71" s="6">
        <v>14901.359051007599</v>
      </c>
      <c r="AT71" s="6">
        <v>0</v>
      </c>
      <c r="AU71" t="s">
        <v>2973</v>
      </c>
      <c r="AV71" t="s">
        <v>2973</v>
      </c>
    </row>
    <row r="72" spans="1:48" x14ac:dyDescent="0.45">
      <c r="A72" s="5" t="s">
        <v>155</v>
      </c>
      <c r="B72">
        <v>2243</v>
      </c>
      <c r="C72" t="s">
        <v>114</v>
      </c>
      <c r="D72">
        <v>1157</v>
      </c>
      <c r="E72" t="s">
        <v>156</v>
      </c>
      <c r="F72" t="s">
        <v>2739</v>
      </c>
      <c r="G72" t="s">
        <v>2740</v>
      </c>
      <c r="H72" t="s">
        <v>2741</v>
      </c>
      <c r="I72" t="s">
        <v>2742</v>
      </c>
      <c r="J72">
        <v>332.73467497360701</v>
      </c>
      <c r="K72">
        <v>4</v>
      </c>
      <c r="L72">
        <v>1</v>
      </c>
      <c r="M72">
        <v>1</v>
      </c>
      <c r="N72" s="6">
        <v>3870836.8128387998</v>
      </c>
      <c r="O72" s="6">
        <v>968920.68636327097</v>
      </c>
      <c r="P72" s="6">
        <v>836148.49492417695</v>
      </c>
      <c r="Q72" s="6">
        <v>90275.630775347396</v>
      </c>
      <c r="R72" s="6">
        <v>122586.37134913501</v>
      </c>
      <c r="S72" s="6">
        <v>133234.058429522</v>
      </c>
      <c r="T72" s="6">
        <v>4577131.84</v>
      </c>
      <c r="U72" s="6">
        <v>1311636.1562507399</v>
      </c>
      <c r="V72" s="6">
        <v>5042841.9274898199</v>
      </c>
      <c r="W72" s="6">
        <v>787817.13531193405</v>
      </c>
      <c r="X72" s="6">
        <v>0</v>
      </c>
      <c r="Y72" s="6">
        <v>0</v>
      </c>
      <c r="Z72" s="6">
        <v>0</v>
      </c>
      <c r="AA72" s="6">
        <v>57868.4729261061</v>
      </c>
      <c r="AB72" s="6">
        <v>240.460522883724</v>
      </c>
      <c r="AC72" s="6">
        <v>133234.058429522</v>
      </c>
      <c r="AD72" s="6">
        <v>0</v>
      </c>
      <c r="AE72" s="6">
        <v>0</v>
      </c>
      <c r="AF72" s="6">
        <v>0</v>
      </c>
      <c r="AG72" s="6">
        <v>0</v>
      </c>
      <c r="AH72" s="6">
        <v>0</v>
      </c>
      <c r="AI72" s="6">
        <v>0</v>
      </c>
      <c r="AJ72" s="6">
        <v>6022002.0546802599</v>
      </c>
      <c r="AK72" s="6">
        <v>18098.510638117099</v>
      </c>
      <c r="AL72" s="6">
        <v>330.98244656580999</v>
      </c>
      <c r="AM72" s="6">
        <v>93035.839999999997</v>
      </c>
      <c r="AN72" s="6">
        <v>4342.4095032922596</v>
      </c>
      <c r="AO72" s="6">
        <v>33547.471598330201</v>
      </c>
      <c r="AP72" s="6">
        <v>330.98244656580999</v>
      </c>
      <c r="AQ72" s="6">
        <v>93035.839999999997</v>
      </c>
      <c r="AR72" s="6">
        <v>4342.4095032922596</v>
      </c>
      <c r="AS72" s="6">
        <v>18281.8865453037</v>
      </c>
      <c r="AT72" s="6">
        <v>0</v>
      </c>
      <c r="AU72" t="s">
        <v>2973</v>
      </c>
      <c r="AV72" t="s">
        <v>2973</v>
      </c>
    </row>
    <row r="73" spans="1:48" x14ac:dyDescent="0.45">
      <c r="A73" s="5" t="s">
        <v>157</v>
      </c>
      <c r="B73">
        <v>2243</v>
      </c>
      <c r="C73" t="s">
        <v>114</v>
      </c>
      <c r="D73">
        <v>1164</v>
      </c>
      <c r="E73" t="s">
        <v>158</v>
      </c>
      <c r="F73" t="s">
        <v>2739</v>
      </c>
      <c r="G73" t="s">
        <v>2740</v>
      </c>
      <c r="H73" t="s">
        <v>2741</v>
      </c>
      <c r="I73" t="s">
        <v>2742</v>
      </c>
      <c r="J73">
        <v>456.40164566208</v>
      </c>
      <c r="K73">
        <v>2</v>
      </c>
      <c r="L73">
        <v>1</v>
      </c>
      <c r="M73">
        <v>1</v>
      </c>
      <c r="N73" s="6">
        <v>4601865.2247740999</v>
      </c>
      <c r="O73" s="6">
        <v>1418254.63692778</v>
      </c>
      <c r="P73" s="6">
        <v>1055926.8854387701</v>
      </c>
      <c r="Q73" s="6">
        <v>123828.231765502</v>
      </c>
      <c r="R73" s="6">
        <v>342367.33421425102</v>
      </c>
      <c r="S73" s="6">
        <v>182752.95032083799</v>
      </c>
      <c r="T73" s="6">
        <v>5743112.4199999999</v>
      </c>
      <c r="U73" s="6">
        <v>1799129.8931204099</v>
      </c>
      <c r="V73" s="6">
        <v>6381614.8909972301</v>
      </c>
      <c r="W73" s="6">
        <v>906701.753232916</v>
      </c>
      <c r="X73" s="6">
        <v>0</v>
      </c>
      <c r="Y73" s="6">
        <v>0</v>
      </c>
      <c r="Z73" s="6">
        <v>0</v>
      </c>
      <c r="AA73" s="6">
        <v>253595.836784941</v>
      </c>
      <c r="AB73" s="6">
        <v>329.832105324162</v>
      </c>
      <c r="AC73" s="6">
        <v>182752.95032083799</v>
      </c>
      <c r="AD73" s="6">
        <v>0</v>
      </c>
      <c r="AE73" s="6">
        <v>0</v>
      </c>
      <c r="AF73" s="6">
        <v>0</v>
      </c>
      <c r="AG73" s="6">
        <v>0</v>
      </c>
      <c r="AH73" s="6">
        <v>0</v>
      </c>
      <c r="AI73" s="6">
        <v>0</v>
      </c>
      <c r="AJ73" s="6">
        <v>7724995.2634412404</v>
      </c>
      <c r="AK73" s="6">
        <v>16925.870747540699</v>
      </c>
      <c r="AL73" s="6">
        <v>330.98244656580999</v>
      </c>
      <c r="AM73" s="6">
        <v>93035.839999999997</v>
      </c>
      <c r="AN73" s="6">
        <v>4342.4095032922596</v>
      </c>
      <c r="AO73" s="6">
        <v>33547.471598330201</v>
      </c>
      <c r="AP73" s="6">
        <v>330.98244656580999</v>
      </c>
      <c r="AQ73" s="6">
        <v>93035.839999999997</v>
      </c>
      <c r="AR73" s="6">
        <v>4342.4095032922596</v>
      </c>
      <c r="AS73" s="6">
        <v>18281.8865453037</v>
      </c>
      <c r="AT73" s="6">
        <v>0</v>
      </c>
      <c r="AU73" t="s">
        <v>2973</v>
      </c>
      <c r="AV73" t="s">
        <v>2973</v>
      </c>
    </row>
    <row r="74" spans="1:48" x14ac:dyDescent="0.45">
      <c r="A74" s="5" t="s">
        <v>159</v>
      </c>
      <c r="B74">
        <v>2243</v>
      </c>
      <c r="C74" t="s">
        <v>114</v>
      </c>
      <c r="D74">
        <v>4638</v>
      </c>
      <c r="E74" t="s">
        <v>160</v>
      </c>
      <c r="F74" t="s">
        <v>2739</v>
      </c>
      <c r="G74" t="s">
        <v>2748</v>
      </c>
      <c r="H74" t="s">
        <v>2745</v>
      </c>
      <c r="I74" t="s">
        <v>2742</v>
      </c>
      <c r="J74">
        <v>725.32156186944496</v>
      </c>
      <c r="K74">
        <v>1</v>
      </c>
      <c r="L74">
        <v>1</v>
      </c>
      <c r="M74">
        <v>1</v>
      </c>
      <c r="N74" s="6">
        <v>5192645.3370623495</v>
      </c>
      <c r="O74" s="6">
        <v>2053614.4486400499</v>
      </c>
      <c r="P74" s="6">
        <v>1827022.8925061401</v>
      </c>
      <c r="Q74" s="6">
        <v>196790.014500046</v>
      </c>
      <c r="R74" s="6">
        <v>277272.44181425602</v>
      </c>
      <c r="S74" s="6">
        <v>290434.21868181101</v>
      </c>
      <c r="T74" s="6">
        <v>6688136.1100000003</v>
      </c>
      <c r="U74" s="6">
        <v>2859209.0245228498</v>
      </c>
      <c r="V74" s="6">
        <v>8539917.8303151801</v>
      </c>
      <c r="W74" s="6">
        <v>878884.350071516</v>
      </c>
      <c r="X74" s="6">
        <v>0</v>
      </c>
      <c r="Y74" s="6">
        <v>0</v>
      </c>
      <c r="Z74" s="6">
        <v>0</v>
      </c>
      <c r="AA74" s="6">
        <v>126146.309124807</v>
      </c>
      <c r="AB74" s="6">
        <v>2396.6450113353799</v>
      </c>
      <c r="AC74" s="6">
        <v>290434.21868181101</v>
      </c>
      <c r="AD74" s="6">
        <v>0</v>
      </c>
      <c r="AE74" s="6">
        <v>0</v>
      </c>
      <c r="AF74" s="6">
        <v>0</v>
      </c>
      <c r="AG74" s="6">
        <v>0</v>
      </c>
      <c r="AH74" s="6">
        <v>0</v>
      </c>
      <c r="AI74" s="6">
        <v>0</v>
      </c>
      <c r="AJ74" s="6">
        <v>9837779.3532046694</v>
      </c>
      <c r="AK74" s="6">
        <v>13563.335037012799</v>
      </c>
      <c r="AL74" s="6">
        <v>330.98244656580999</v>
      </c>
      <c r="AM74" s="6">
        <v>93035.839999999997</v>
      </c>
      <c r="AN74" s="6">
        <v>4342.4095032922596</v>
      </c>
      <c r="AO74" s="6">
        <v>33547.471598330201</v>
      </c>
      <c r="AP74" s="6">
        <v>330.98244656580999</v>
      </c>
      <c r="AQ74" s="6">
        <v>56162.493707719797</v>
      </c>
      <c r="AR74" s="6">
        <v>12633.9196550985</v>
      </c>
      <c r="AS74" s="6">
        <v>13563.335037012799</v>
      </c>
      <c r="AT74" s="6">
        <v>0</v>
      </c>
      <c r="AU74" t="s">
        <v>2973</v>
      </c>
      <c r="AV74" t="s">
        <v>2973</v>
      </c>
    </row>
    <row r="75" spans="1:48" x14ac:dyDescent="0.45">
      <c r="A75" s="5" t="s">
        <v>161</v>
      </c>
      <c r="B75">
        <v>2243</v>
      </c>
      <c r="C75" t="s">
        <v>114</v>
      </c>
      <c r="D75">
        <v>1184</v>
      </c>
      <c r="E75" t="s">
        <v>162</v>
      </c>
      <c r="F75" t="s">
        <v>2739</v>
      </c>
      <c r="G75" t="s">
        <v>2747</v>
      </c>
      <c r="H75" t="s">
        <v>2741</v>
      </c>
      <c r="I75" t="s">
        <v>2742</v>
      </c>
      <c r="J75">
        <v>865.95686890495904</v>
      </c>
      <c r="K75">
        <v>1</v>
      </c>
      <c r="L75">
        <v>1</v>
      </c>
      <c r="M75">
        <v>1</v>
      </c>
      <c r="N75" s="6">
        <v>6057306.4922275497</v>
      </c>
      <c r="O75" s="6">
        <v>2381205.5078434399</v>
      </c>
      <c r="P75" s="6">
        <v>1880590.61460875</v>
      </c>
      <c r="Q75" s="6">
        <v>234946.36551132199</v>
      </c>
      <c r="R75" s="6">
        <v>319036.51253761898</v>
      </c>
      <c r="S75" s="6">
        <v>346747.59424541797</v>
      </c>
      <c r="T75" s="6">
        <v>7459493.75</v>
      </c>
      <c r="U75" s="6">
        <v>3413591.7427286902</v>
      </c>
      <c r="V75" s="6">
        <v>9667128.3902885597</v>
      </c>
      <c r="W75" s="6">
        <v>1054726.0049631901</v>
      </c>
      <c r="X75" s="6">
        <v>0</v>
      </c>
      <c r="Y75" s="6">
        <v>0</v>
      </c>
      <c r="Z75" s="6">
        <v>0</v>
      </c>
      <c r="AA75" s="6">
        <v>150605.28821463301</v>
      </c>
      <c r="AB75" s="6">
        <v>625.80926231435103</v>
      </c>
      <c r="AC75" s="6">
        <v>346747.59424541797</v>
      </c>
      <c r="AD75" s="6">
        <v>0</v>
      </c>
      <c r="AE75" s="6">
        <v>0</v>
      </c>
      <c r="AF75" s="6">
        <v>0</v>
      </c>
      <c r="AG75" s="6">
        <v>0</v>
      </c>
      <c r="AH75" s="6">
        <v>0</v>
      </c>
      <c r="AI75" s="6">
        <v>0</v>
      </c>
      <c r="AJ75" s="6">
        <v>11219833.086974099</v>
      </c>
      <c r="AK75" s="6">
        <v>12956.5726537421</v>
      </c>
      <c r="AL75" s="6">
        <v>330.98244656580999</v>
      </c>
      <c r="AM75" s="6">
        <v>93035.839999999997</v>
      </c>
      <c r="AN75" s="6">
        <v>4342.4095032922596</v>
      </c>
      <c r="AO75" s="6">
        <v>33547.471598330201</v>
      </c>
      <c r="AP75" s="6">
        <v>3753.1860850462999</v>
      </c>
      <c r="AQ75" s="6">
        <v>20687.885194392002</v>
      </c>
      <c r="AR75" s="6">
        <v>11185.5712070765</v>
      </c>
      <c r="AS75" s="6">
        <v>14901.359051007599</v>
      </c>
      <c r="AT75" s="6">
        <v>0</v>
      </c>
      <c r="AU75" t="s">
        <v>2973</v>
      </c>
      <c r="AV75" t="s">
        <v>2973</v>
      </c>
    </row>
    <row r="76" spans="1:48" x14ac:dyDescent="0.45">
      <c r="A76" s="5" t="s">
        <v>163</v>
      </c>
      <c r="B76">
        <v>2243</v>
      </c>
      <c r="C76" t="s">
        <v>114</v>
      </c>
      <c r="D76">
        <v>1165</v>
      </c>
      <c r="E76" t="s">
        <v>164</v>
      </c>
      <c r="F76" t="s">
        <v>2739</v>
      </c>
      <c r="G76" t="s">
        <v>2740</v>
      </c>
      <c r="H76" t="s">
        <v>2741</v>
      </c>
      <c r="I76" t="s">
        <v>2742</v>
      </c>
      <c r="J76">
        <v>654.00252936043501</v>
      </c>
      <c r="K76">
        <v>1</v>
      </c>
      <c r="L76">
        <v>1</v>
      </c>
      <c r="M76">
        <v>1</v>
      </c>
      <c r="N76" s="6">
        <v>5600555.5327114901</v>
      </c>
      <c r="O76" s="6">
        <v>1590842.5932916601</v>
      </c>
      <c r="P76" s="6">
        <v>1369623.1769646099</v>
      </c>
      <c r="Q76" s="6">
        <v>177440.15068873999</v>
      </c>
      <c r="R76" s="6">
        <v>240948.12761492701</v>
      </c>
      <c r="S76" s="6">
        <v>261876.55740050299</v>
      </c>
      <c r="T76" s="6">
        <v>6401339.3399999999</v>
      </c>
      <c r="U76" s="6">
        <v>2578070.2412714302</v>
      </c>
      <c r="V76" s="6">
        <v>8240720.9510197397</v>
      </c>
      <c r="W76" s="6">
        <v>624473.33406384499</v>
      </c>
      <c r="X76" s="6">
        <v>0</v>
      </c>
      <c r="Y76" s="6">
        <v>0</v>
      </c>
      <c r="Z76" s="6">
        <v>0</v>
      </c>
      <c r="AA76" s="6">
        <v>113742.66197805</v>
      </c>
      <c r="AB76" s="6">
        <v>472.63420979422199</v>
      </c>
      <c r="AC76" s="6">
        <v>261876.55740050299</v>
      </c>
      <c r="AD76" s="6">
        <v>0</v>
      </c>
      <c r="AE76" s="6">
        <v>0</v>
      </c>
      <c r="AF76" s="6">
        <v>0</v>
      </c>
      <c r="AG76" s="6">
        <v>0</v>
      </c>
      <c r="AH76" s="6">
        <v>0</v>
      </c>
      <c r="AI76" s="6">
        <v>0</v>
      </c>
      <c r="AJ76" s="6">
        <v>9241286.1386719309</v>
      </c>
      <c r="AK76" s="6">
        <v>14130.352290394399</v>
      </c>
      <c r="AL76" s="6">
        <v>330.98244656580999</v>
      </c>
      <c r="AM76" s="6">
        <v>93035.839999999997</v>
      </c>
      <c r="AN76" s="6">
        <v>4342.4095032922596</v>
      </c>
      <c r="AO76" s="6">
        <v>33547.471598330201</v>
      </c>
      <c r="AP76" s="6">
        <v>330.98244656580999</v>
      </c>
      <c r="AQ76" s="6">
        <v>93035.839999999997</v>
      </c>
      <c r="AR76" s="6">
        <v>4342.4095032922596</v>
      </c>
      <c r="AS76" s="6">
        <v>18281.8865453037</v>
      </c>
      <c r="AT76" s="6">
        <v>0</v>
      </c>
      <c r="AU76" t="s">
        <v>2973</v>
      </c>
      <c r="AV76" t="s">
        <v>2973</v>
      </c>
    </row>
    <row r="77" spans="1:48" x14ac:dyDescent="0.45">
      <c r="A77" s="5" t="s">
        <v>165</v>
      </c>
      <c r="B77">
        <v>2243</v>
      </c>
      <c r="C77" t="s">
        <v>114</v>
      </c>
      <c r="D77">
        <v>4867</v>
      </c>
      <c r="E77" t="s">
        <v>166</v>
      </c>
      <c r="F77" t="s">
        <v>3</v>
      </c>
      <c r="G77" t="s">
        <v>2740</v>
      </c>
      <c r="H77" t="s">
        <v>2741</v>
      </c>
      <c r="I77" t="s">
        <v>2742</v>
      </c>
      <c r="J77">
        <v>276.87283236993198</v>
      </c>
      <c r="K77">
        <v>1</v>
      </c>
      <c r="L77">
        <v>1</v>
      </c>
      <c r="M77">
        <v>1</v>
      </c>
      <c r="N77" s="6">
        <v>250446.53756148901</v>
      </c>
      <c r="O77" s="6">
        <v>242368.55438626299</v>
      </c>
      <c r="P77" s="6">
        <v>421489.112181084</v>
      </c>
      <c r="Q77" s="6">
        <v>75119.521548919598</v>
      </c>
      <c r="R77" s="6">
        <v>102005.70724430701</v>
      </c>
      <c r="S77" s="6">
        <v>110865.785564576</v>
      </c>
      <c r="T77" s="6">
        <v>0</v>
      </c>
      <c r="U77" s="6">
        <v>1091429.4329220599</v>
      </c>
      <c r="V77" s="6">
        <v>910692.47891077597</v>
      </c>
      <c r="W77" s="6">
        <v>132383.75790603101</v>
      </c>
      <c r="X77" s="6">
        <v>0</v>
      </c>
      <c r="Y77" s="6">
        <v>0</v>
      </c>
      <c r="Z77" s="6">
        <v>0</v>
      </c>
      <c r="AA77" s="6">
        <v>48153.105789904897</v>
      </c>
      <c r="AB77" s="6">
        <v>200.090315351871</v>
      </c>
      <c r="AC77" s="6">
        <v>110865.785564576</v>
      </c>
      <c r="AD77" s="6">
        <v>0</v>
      </c>
      <c r="AE77" s="6">
        <v>0</v>
      </c>
      <c r="AF77" s="6">
        <v>0</v>
      </c>
      <c r="AG77" s="6">
        <v>0</v>
      </c>
      <c r="AH77" s="6">
        <v>0</v>
      </c>
      <c r="AI77" s="6">
        <v>0</v>
      </c>
      <c r="AJ77" s="6">
        <v>1202295.2184866399</v>
      </c>
      <c r="AK77" s="6">
        <v>4342.4095032922696</v>
      </c>
      <c r="AL77" s="6">
        <v>330.98244656580999</v>
      </c>
      <c r="AM77" s="6">
        <v>93035.839999999997</v>
      </c>
      <c r="AN77" s="6">
        <v>4342.4095032922596</v>
      </c>
      <c r="AO77" s="6">
        <v>33547.471598330201</v>
      </c>
      <c r="AP77" s="6">
        <v>330.98244656580999</v>
      </c>
      <c r="AQ77" s="6">
        <v>93035.839999999997</v>
      </c>
      <c r="AR77" s="6">
        <v>4342.4095032922596</v>
      </c>
      <c r="AS77" s="6">
        <v>18281.8865453037</v>
      </c>
      <c r="AT77" s="6">
        <v>0</v>
      </c>
      <c r="AU77" t="s">
        <v>2973</v>
      </c>
      <c r="AV77" t="s">
        <v>2976</v>
      </c>
    </row>
    <row r="78" spans="1:48" x14ac:dyDescent="0.45">
      <c r="A78" s="5" t="s">
        <v>167</v>
      </c>
      <c r="B78">
        <v>2243</v>
      </c>
      <c r="C78" t="s">
        <v>114</v>
      </c>
      <c r="D78">
        <v>4474</v>
      </c>
      <c r="E78" t="s">
        <v>168</v>
      </c>
      <c r="F78" t="s">
        <v>2739</v>
      </c>
      <c r="G78" t="s">
        <v>2748</v>
      </c>
      <c r="H78" t="s">
        <v>2745</v>
      </c>
      <c r="I78" t="s">
        <v>2742</v>
      </c>
      <c r="J78">
        <v>866.727207520148</v>
      </c>
      <c r="K78">
        <v>1</v>
      </c>
      <c r="L78">
        <v>1</v>
      </c>
      <c r="M78">
        <v>1</v>
      </c>
      <c r="N78" s="6">
        <v>5943025.9254080802</v>
      </c>
      <c r="O78" s="6">
        <v>2268618.6057875198</v>
      </c>
      <c r="P78" s="6">
        <v>1836985.62666195</v>
      </c>
      <c r="Q78" s="6">
        <v>235155.36929008999</v>
      </c>
      <c r="R78" s="6">
        <v>319320.32129771699</v>
      </c>
      <c r="S78" s="6">
        <v>347056.05425210297</v>
      </c>
      <c r="T78" s="6">
        <v>7186477.4400000004</v>
      </c>
      <c r="U78" s="6">
        <v>3416628.4084453499</v>
      </c>
      <c r="V78" s="6">
        <v>9629729.6746241506</v>
      </c>
      <c r="W78" s="6">
        <v>822010.544061661</v>
      </c>
      <c r="X78" s="6">
        <v>0</v>
      </c>
      <c r="Y78" s="6">
        <v>0</v>
      </c>
      <c r="Z78" s="6">
        <v>0</v>
      </c>
      <c r="AA78" s="6">
        <v>150739.26378931699</v>
      </c>
      <c r="AB78" s="6">
        <v>626.36597022650597</v>
      </c>
      <c r="AC78" s="6">
        <v>347056.05425210297</v>
      </c>
      <c r="AD78" s="6">
        <v>0</v>
      </c>
      <c r="AE78" s="6">
        <v>0</v>
      </c>
      <c r="AF78" s="6">
        <v>0</v>
      </c>
      <c r="AG78" s="6">
        <v>0</v>
      </c>
      <c r="AH78" s="6">
        <v>0</v>
      </c>
      <c r="AI78" s="6">
        <v>0</v>
      </c>
      <c r="AJ78" s="6">
        <v>10950161.9026975</v>
      </c>
      <c r="AK78" s="6">
        <v>12633.9196550985</v>
      </c>
      <c r="AL78" s="6">
        <v>330.98244656580999</v>
      </c>
      <c r="AM78" s="6">
        <v>93035.839999999997</v>
      </c>
      <c r="AN78" s="6">
        <v>4342.4095032922596</v>
      </c>
      <c r="AO78" s="6">
        <v>33547.471598330201</v>
      </c>
      <c r="AP78" s="6">
        <v>330.98244656580999</v>
      </c>
      <c r="AQ78" s="6">
        <v>56162.493707719797</v>
      </c>
      <c r="AR78" s="6">
        <v>12633.9196550985</v>
      </c>
      <c r="AS78" s="6">
        <v>13563.335037012799</v>
      </c>
      <c r="AT78" s="6">
        <v>0</v>
      </c>
      <c r="AU78" t="s">
        <v>2973</v>
      </c>
      <c r="AV78" t="s">
        <v>2973</v>
      </c>
    </row>
    <row r="79" spans="1:48" x14ac:dyDescent="0.45">
      <c r="A79" s="5" t="s">
        <v>169</v>
      </c>
      <c r="B79">
        <v>2243</v>
      </c>
      <c r="C79" t="s">
        <v>114</v>
      </c>
      <c r="D79">
        <v>3437</v>
      </c>
      <c r="E79" t="s">
        <v>170</v>
      </c>
      <c r="F79" t="s">
        <v>2739</v>
      </c>
      <c r="G79" t="s">
        <v>2740</v>
      </c>
      <c r="H79" t="s">
        <v>2741</v>
      </c>
      <c r="I79" t="s">
        <v>2742</v>
      </c>
      <c r="J79">
        <v>730.58535736549004</v>
      </c>
      <c r="K79">
        <v>1</v>
      </c>
      <c r="L79">
        <v>1</v>
      </c>
      <c r="M79">
        <v>1</v>
      </c>
      <c r="N79" s="6">
        <v>5663245.5764162103</v>
      </c>
      <c r="O79" s="6">
        <v>1498580.16261024</v>
      </c>
      <c r="P79" s="6">
        <v>1412424.1348445499</v>
      </c>
      <c r="Q79" s="6">
        <v>198218.15678403099</v>
      </c>
      <c r="R79" s="6">
        <v>269162.83350195002</v>
      </c>
      <c r="S79" s="6">
        <v>292541.954633096</v>
      </c>
      <c r="T79" s="6">
        <v>6161672.0199999996</v>
      </c>
      <c r="U79" s="6">
        <v>2879958.84415698</v>
      </c>
      <c r="V79" s="6">
        <v>8418535.8813030608</v>
      </c>
      <c r="W79" s="6">
        <v>495505.22710236203</v>
      </c>
      <c r="X79" s="6">
        <v>0</v>
      </c>
      <c r="Y79" s="6">
        <v>0</v>
      </c>
      <c r="Z79" s="6">
        <v>0</v>
      </c>
      <c r="AA79" s="6">
        <v>127061.776703218</v>
      </c>
      <c r="AB79" s="6">
        <v>527.97904834304597</v>
      </c>
      <c r="AC79" s="6">
        <v>292541.954633096</v>
      </c>
      <c r="AD79" s="6">
        <v>0</v>
      </c>
      <c r="AE79" s="6">
        <v>0</v>
      </c>
      <c r="AF79" s="6">
        <v>0</v>
      </c>
      <c r="AG79" s="6">
        <v>0</v>
      </c>
      <c r="AH79" s="6">
        <v>0</v>
      </c>
      <c r="AI79" s="6">
        <v>0</v>
      </c>
      <c r="AJ79" s="6">
        <v>9334172.8187900893</v>
      </c>
      <c r="AK79" s="6">
        <v>12776.2933169772</v>
      </c>
      <c r="AL79" s="6">
        <v>330.98244656580999</v>
      </c>
      <c r="AM79" s="6">
        <v>93035.839999999997</v>
      </c>
      <c r="AN79" s="6">
        <v>4342.4095032922596</v>
      </c>
      <c r="AO79" s="6">
        <v>33547.471598330201</v>
      </c>
      <c r="AP79" s="6">
        <v>330.98244656580999</v>
      </c>
      <c r="AQ79" s="6">
        <v>93035.839999999997</v>
      </c>
      <c r="AR79" s="6">
        <v>4342.4095032922596</v>
      </c>
      <c r="AS79" s="6">
        <v>18281.8865453037</v>
      </c>
      <c r="AT79" s="6">
        <v>0</v>
      </c>
      <c r="AU79" t="s">
        <v>2973</v>
      </c>
      <c r="AV79" t="s">
        <v>2973</v>
      </c>
    </row>
    <row r="80" spans="1:48" x14ac:dyDescent="0.45">
      <c r="A80" s="5" t="s">
        <v>171</v>
      </c>
      <c r="B80">
        <v>2243</v>
      </c>
      <c r="C80" t="s">
        <v>114</v>
      </c>
      <c r="D80">
        <v>1166</v>
      </c>
      <c r="E80" t="s">
        <v>172</v>
      </c>
      <c r="F80" t="s">
        <v>2739</v>
      </c>
      <c r="G80" t="s">
        <v>2740</v>
      </c>
      <c r="H80" t="s">
        <v>2741</v>
      </c>
      <c r="I80" t="s">
        <v>2742</v>
      </c>
      <c r="J80">
        <v>657.34927983270995</v>
      </c>
      <c r="K80">
        <v>3</v>
      </c>
      <c r="L80">
        <v>1</v>
      </c>
      <c r="M80">
        <v>1</v>
      </c>
      <c r="N80" s="6">
        <v>6532796.0605623899</v>
      </c>
      <c r="O80" s="6">
        <v>1680579.45705891</v>
      </c>
      <c r="P80" s="6">
        <v>1510676.27289309</v>
      </c>
      <c r="Q80" s="6">
        <v>178348.17150128799</v>
      </c>
      <c r="R80" s="6">
        <v>242181.140063178</v>
      </c>
      <c r="S80" s="6">
        <v>263216.667649029</v>
      </c>
      <c r="T80" s="6">
        <v>7553318.0099999998</v>
      </c>
      <c r="U80" s="6">
        <v>2591263.0920788599</v>
      </c>
      <c r="V80" s="6">
        <v>8980932.2411841191</v>
      </c>
      <c r="W80" s="6">
        <v>1048849.08669757</v>
      </c>
      <c r="X80" s="6">
        <v>0</v>
      </c>
      <c r="Y80" s="6">
        <v>0</v>
      </c>
      <c r="Z80" s="6">
        <v>0</v>
      </c>
      <c r="AA80" s="6">
        <v>114324.72135947899</v>
      </c>
      <c r="AB80" s="6">
        <v>475.05283769523197</v>
      </c>
      <c r="AC80" s="6">
        <v>263216.667649029</v>
      </c>
      <c r="AD80" s="6">
        <v>0</v>
      </c>
      <c r="AE80" s="6">
        <v>0</v>
      </c>
      <c r="AF80" s="6">
        <v>0</v>
      </c>
      <c r="AG80" s="6">
        <v>0</v>
      </c>
      <c r="AH80" s="6">
        <v>0</v>
      </c>
      <c r="AI80" s="6">
        <v>0</v>
      </c>
      <c r="AJ80" s="6">
        <v>10407797.769727901</v>
      </c>
      <c r="AK80" s="6">
        <v>15832.979648774501</v>
      </c>
      <c r="AL80" s="6">
        <v>330.98244656580999</v>
      </c>
      <c r="AM80" s="6">
        <v>93035.839999999997</v>
      </c>
      <c r="AN80" s="6">
        <v>4342.4095032922596</v>
      </c>
      <c r="AO80" s="6">
        <v>33547.471598330201</v>
      </c>
      <c r="AP80" s="6">
        <v>330.98244656580999</v>
      </c>
      <c r="AQ80" s="6">
        <v>93035.839999999997</v>
      </c>
      <c r="AR80" s="6">
        <v>4342.4095032922596</v>
      </c>
      <c r="AS80" s="6">
        <v>18281.8865453037</v>
      </c>
      <c r="AT80" s="6">
        <v>0</v>
      </c>
      <c r="AU80" t="s">
        <v>2973</v>
      </c>
      <c r="AV80" t="s">
        <v>2973</v>
      </c>
    </row>
    <row r="81" spans="1:48" x14ac:dyDescent="0.45">
      <c r="A81" s="5" t="s">
        <v>173</v>
      </c>
      <c r="B81">
        <v>2243</v>
      </c>
      <c r="C81" t="s">
        <v>114</v>
      </c>
      <c r="D81">
        <v>1168</v>
      </c>
      <c r="E81" t="s">
        <v>174</v>
      </c>
      <c r="F81" t="s">
        <v>2739</v>
      </c>
      <c r="G81" t="s">
        <v>2740</v>
      </c>
      <c r="H81" t="s">
        <v>2741</v>
      </c>
      <c r="I81" t="s">
        <v>2742</v>
      </c>
      <c r="J81">
        <v>295.78600241412403</v>
      </c>
      <c r="K81">
        <v>3</v>
      </c>
      <c r="L81">
        <v>2</v>
      </c>
      <c r="M81">
        <v>1</v>
      </c>
      <c r="N81" s="6">
        <v>3456984.97866099</v>
      </c>
      <c r="O81" s="6">
        <v>905371.42883829202</v>
      </c>
      <c r="P81" s="6">
        <v>737506.06343850004</v>
      </c>
      <c r="Q81" s="6">
        <v>80250.932502215102</v>
      </c>
      <c r="R81" s="6">
        <v>108973.712266959</v>
      </c>
      <c r="S81" s="6">
        <v>118439.02211695899</v>
      </c>
      <c r="T81" s="6">
        <v>4123102.19</v>
      </c>
      <c r="U81" s="6">
        <v>1165984.92570696</v>
      </c>
      <c r="V81" s="6">
        <v>4552337.0189414201</v>
      </c>
      <c r="W81" s="6">
        <v>685093.89612823399</v>
      </c>
      <c r="X81" s="6">
        <v>0</v>
      </c>
      <c r="Y81" s="6">
        <v>0</v>
      </c>
      <c r="Z81" s="6">
        <v>0</v>
      </c>
      <c r="AA81" s="6">
        <v>51442.442162003601</v>
      </c>
      <c r="AB81" s="6">
        <v>213.758475301164</v>
      </c>
      <c r="AC81" s="6">
        <v>118439.02211695899</v>
      </c>
      <c r="AD81" s="6">
        <v>0</v>
      </c>
      <c r="AE81" s="6">
        <v>0</v>
      </c>
      <c r="AF81" s="6">
        <v>0</v>
      </c>
      <c r="AG81" s="6">
        <v>0</v>
      </c>
      <c r="AH81" s="6">
        <v>0</v>
      </c>
      <c r="AI81" s="6">
        <v>0</v>
      </c>
      <c r="AJ81" s="6">
        <v>5407526.1378239198</v>
      </c>
      <c r="AK81" s="6">
        <v>18281.8865453037</v>
      </c>
      <c r="AL81" s="6">
        <v>330.98244656580999</v>
      </c>
      <c r="AM81" s="6">
        <v>93035.839999999997</v>
      </c>
      <c r="AN81" s="6">
        <v>4342.4095032922596</v>
      </c>
      <c r="AO81" s="6">
        <v>33547.471598330201</v>
      </c>
      <c r="AP81" s="6">
        <v>330.98244656580999</v>
      </c>
      <c r="AQ81" s="6">
        <v>93035.839999999997</v>
      </c>
      <c r="AR81" s="6">
        <v>4342.4095032922596</v>
      </c>
      <c r="AS81" s="6">
        <v>18281.8865453037</v>
      </c>
      <c r="AT81" s="6">
        <v>0</v>
      </c>
      <c r="AU81" t="s">
        <v>2973</v>
      </c>
      <c r="AV81" t="s">
        <v>2973</v>
      </c>
    </row>
    <row r="82" spans="1:48" x14ac:dyDescent="0.45">
      <c r="A82" s="5" t="s">
        <v>175</v>
      </c>
      <c r="B82">
        <v>2243</v>
      </c>
      <c r="C82" t="s">
        <v>114</v>
      </c>
      <c r="D82">
        <v>1169</v>
      </c>
      <c r="E82" t="s">
        <v>176</v>
      </c>
      <c r="F82" t="s">
        <v>2739</v>
      </c>
      <c r="G82" t="s">
        <v>2740</v>
      </c>
      <c r="H82" t="s">
        <v>2741</v>
      </c>
      <c r="I82" t="s">
        <v>2742</v>
      </c>
      <c r="J82">
        <v>579.94792247974601</v>
      </c>
      <c r="K82">
        <v>3</v>
      </c>
      <c r="L82">
        <v>1</v>
      </c>
      <c r="M82">
        <v>1</v>
      </c>
      <c r="N82" s="6">
        <v>5827926.6325380299</v>
      </c>
      <c r="O82" s="6">
        <v>1414826.72465975</v>
      </c>
      <c r="P82" s="6">
        <v>1316509.53123293</v>
      </c>
      <c r="Q82" s="6">
        <v>157348.08679878101</v>
      </c>
      <c r="R82" s="6">
        <v>213664.87094830399</v>
      </c>
      <c r="S82" s="6">
        <v>232223.513812847</v>
      </c>
      <c r="T82" s="6">
        <v>6644127.9900000002</v>
      </c>
      <c r="U82" s="6">
        <v>2286147.8561778101</v>
      </c>
      <c r="V82" s="6">
        <v>7760227.2571965996</v>
      </c>
      <c r="W82" s="6">
        <v>1068766.2226816099</v>
      </c>
      <c r="X82" s="6">
        <v>0</v>
      </c>
      <c r="Y82" s="6">
        <v>0</v>
      </c>
      <c r="Z82" s="6">
        <v>0</v>
      </c>
      <c r="AA82" s="6">
        <v>100863.24983482</v>
      </c>
      <c r="AB82" s="6">
        <v>419.11646478044599</v>
      </c>
      <c r="AC82" s="6">
        <v>232223.513812847</v>
      </c>
      <c r="AD82" s="6">
        <v>0</v>
      </c>
      <c r="AE82" s="6">
        <v>0</v>
      </c>
      <c r="AF82" s="6">
        <v>0</v>
      </c>
      <c r="AG82" s="6">
        <v>0</v>
      </c>
      <c r="AH82" s="6">
        <v>0</v>
      </c>
      <c r="AI82" s="6">
        <v>0</v>
      </c>
      <c r="AJ82" s="6">
        <v>9162499.3599906508</v>
      </c>
      <c r="AK82" s="6">
        <v>15798.831248181001</v>
      </c>
      <c r="AL82" s="6">
        <v>330.98244656580999</v>
      </c>
      <c r="AM82" s="6">
        <v>93035.839999999997</v>
      </c>
      <c r="AN82" s="6">
        <v>4342.4095032922596</v>
      </c>
      <c r="AO82" s="6">
        <v>33547.471598330201</v>
      </c>
      <c r="AP82" s="6">
        <v>330.98244656580999</v>
      </c>
      <c r="AQ82" s="6">
        <v>93035.839999999997</v>
      </c>
      <c r="AR82" s="6">
        <v>4342.4095032922596</v>
      </c>
      <c r="AS82" s="6">
        <v>18281.8865453037</v>
      </c>
      <c r="AT82" s="6">
        <v>0</v>
      </c>
      <c r="AU82" t="s">
        <v>2973</v>
      </c>
      <c r="AV82" t="s">
        <v>2973</v>
      </c>
    </row>
    <row r="83" spans="1:48" x14ac:dyDescent="0.45">
      <c r="A83" s="5" t="s">
        <v>177</v>
      </c>
      <c r="B83">
        <v>2243</v>
      </c>
      <c r="C83" t="s">
        <v>114</v>
      </c>
      <c r="D83">
        <v>1182</v>
      </c>
      <c r="E83" t="s">
        <v>178</v>
      </c>
      <c r="F83" t="s">
        <v>2739</v>
      </c>
      <c r="G83" t="s">
        <v>2747</v>
      </c>
      <c r="H83" t="s">
        <v>2741</v>
      </c>
      <c r="I83" t="s">
        <v>2742</v>
      </c>
      <c r="J83">
        <v>811.16513370170696</v>
      </c>
      <c r="K83">
        <v>2</v>
      </c>
      <c r="L83">
        <v>1</v>
      </c>
      <c r="M83">
        <v>1</v>
      </c>
      <c r="N83" s="6">
        <v>6658612.91730313</v>
      </c>
      <c r="O83" s="6">
        <v>2645717.5049922201</v>
      </c>
      <c r="P83" s="6">
        <v>1857519.8480031299</v>
      </c>
      <c r="Q83" s="6">
        <v>220080.591581563</v>
      </c>
      <c r="R83" s="6">
        <v>298850.09824514302</v>
      </c>
      <c r="S83" s="6">
        <v>324807.81520043599</v>
      </c>
      <c r="T83" s="6">
        <v>8483177.5899999999</v>
      </c>
      <c r="U83" s="6">
        <v>3197603.3701252001</v>
      </c>
      <c r="V83" s="6">
        <v>10587663.508087199</v>
      </c>
      <c r="W83" s="6">
        <v>951455.207866524</v>
      </c>
      <c r="X83" s="6">
        <v>0</v>
      </c>
      <c r="Y83" s="6">
        <v>0</v>
      </c>
      <c r="Z83" s="6">
        <v>0</v>
      </c>
      <c r="AA83" s="6">
        <v>141076.03177198701</v>
      </c>
      <c r="AB83" s="6">
        <v>586.21239944538399</v>
      </c>
      <c r="AC83" s="6">
        <v>324807.81520043599</v>
      </c>
      <c r="AD83" s="6">
        <v>0</v>
      </c>
      <c r="AE83" s="6">
        <v>0</v>
      </c>
      <c r="AF83" s="6">
        <v>0</v>
      </c>
      <c r="AG83" s="6">
        <v>0</v>
      </c>
      <c r="AH83" s="6">
        <v>0</v>
      </c>
      <c r="AI83" s="6">
        <v>0</v>
      </c>
      <c r="AJ83" s="6">
        <v>12005588.7753256</v>
      </c>
      <c r="AK83" s="6">
        <v>14800.4250633145</v>
      </c>
      <c r="AL83" s="6">
        <v>330.98244656580999</v>
      </c>
      <c r="AM83" s="6">
        <v>93035.839999999997</v>
      </c>
      <c r="AN83" s="6">
        <v>4342.4095032922596</v>
      </c>
      <c r="AO83" s="6">
        <v>33547.471598330201</v>
      </c>
      <c r="AP83" s="6">
        <v>3753.1860850462999</v>
      </c>
      <c r="AQ83" s="6">
        <v>20687.885194392002</v>
      </c>
      <c r="AR83" s="6">
        <v>11185.5712070765</v>
      </c>
      <c r="AS83" s="6">
        <v>14901.359051007599</v>
      </c>
      <c r="AT83" s="6">
        <v>0</v>
      </c>
      <c r="AU83" t="s">
        <v>2973</v>
      </c>
      <c r="AV83" t="s">
        <v>2973</v>
      </c>
    </row>
    <row r="84" spans="1:48" x14ac:dyDescent="0.45">
      <c r="A84" s="5" t="s">
        <v>179</v>
      </c>
      <c r="B84">
        <v>2243</v>
      </c>
      <c r="C84" t="s">
        <v>114</v>
      </c>
      <c r="D84">
        <v>1170</v>
      </c>
      <c r="E84" t="s">
        <v>180</v>
      </c>
      <c r="F84" t="s">
        <v>2739</v>
      </c>
      <c r="G84" t="s">
        <v>2740</v>
      </c>
      <c r="H84" t="s">
        <v>2741</v>
      </c>
      <c r="I84" t="s">
        <v>2742</v>
      </c>
      <c r="J84">
        <v>304.406779661001</v>
      </c>
      <c r="K84">
        <v>1</v>
      </c>
      <c r="L84">
        <v>1</v>
      </c>
      <c r="M84">
        <v>1</v>
      </c>
      <c r="N84" s="6">
        <v>2603637.5206137402</v>
      </c>
      <c r="O84" s="6">
        <v>884952.68281810405</v>
      </c>
      <c r="P84" s="6">
        <v>723935.84698765201</v>
      </c>
      <c r="Q84" s="6">
        <v>82589.871489554906</v>
      </c>
      <c r="R84" s="6">
        <v>112149.785818619</v>
      </c>
      <c r="S84" s="6">
        <v>121890.965138856</v>
      </c>
      <c r="T84" s="6">
        <v>3207297.78</v>
      </c>
      <c r="U84" s="6">
        <v>1199967.9277276699</v>
      </c>
      <c r="V84" s="6">
        <v>4007088.9229022502</v>
      </c>
      <c r="W84" s="6">
        <v>347015.047768271</v>
      </c>
      <c r="X84" s="6">
        <v>0</v>
      </c>
      <c r="Y84" s="6">
        <v>0</v>
      </c>
      <c r="Z84" s="6">
        <v>0</v>
      </c>
      <c r="AA84" s="6">
        <v>52941.748523002701</v>
      </c>
      <c r="AB84" s="6">
        <v>219.98853414493399</v>
      </c>
      <c r="AC84" s="6">
        <v>121890.965138856</v>
      </c>
      <c r="AD84" s="6">
        <v>0</v>
      </c>
      <c r="AE84" s="6">
        <v>0</v>
      </c>
      <c r="AF84" s="6">
        <v>0</v>
      </c>
      <c r="AG84" s="6">
        <v>0</v>
      </c>
      <c r="AH84" s="6">
        <v>0</v>
      </c>
      <c r="AI84" s="6">
        <v>0</v>
      </c>
      <c r="AJ84" s="6">
        <v>4529156.6728665195</v>
      </c>
      <c r="AK84" s="6">
        <v>14878.632722669199</v>
      </c>
      <c r="AL84" s="6">
        <v>330.98244656580999</v>
      </c>
      <c r="AM84" s="6">
        <v>93035.839999999997</v>
      </c>
      <c r="AN84" s="6">
        <v>4342.4095032922596</v>
      </c>
      <c r="AO84" s="6">
        <v>33547.471598330201</v>
      </c>
      <c r="AP84" s="6">
        <v>330.98244656580999</v>
      </c>
      <c r="AQ84" s="6">
        <v>93035.839999999997</v>
      </c>
      <c r="AR84" s="6">
        <v>4342.4095032922596</v>
      </c>
      <c r="AS84" s="6">
        <v>18281.8865453037</v>
      </c>
      <c r="AT84" s="6">
        <v>0</v>
      </c>
      <c r="AU84" t="s">
        <v>2973</v>
      </c>
      <c r="AV84" t="s">
        <v>2973</v>
      </c>
    </row>
    <row r="85" spans="1:48" x14ac:dyDescent="0.45">
      <c r="A85" s="5" t="s">
        <v>181</v>
      </c>
      <c r="B85">
        <v>2243</v>
      </c>
      <c r="C85" t="s">
        <v>114</v>
      </c>
      <c r="D85">
        <v>1183</v>
      </c>
      <c r="E85" t="s">
        <v>182</v>
      </c>
      <c r="F85" t="s">
        <v>2739</v>
      </c>
      <c r="G85" t="s">
        <v>2747</v>
      </c>
      <c r="H85" t="s">
        <v>2741</v>
      </c>
      <c r="I85" t="s">
        <v>2742</v>
      </c>
      <c r="J85">
        <v>904.01668873247297</v>
      </c>
      <c r="K85">
        <v>2</v>
      </c>
      <c r="L85">
        <v>1</v>
      </c>
      <c r="M85">
        <v>1</v>
      </c>
      <c r="N85" s="6">
        <v>6094407.3295509098</v>
      </c>
      <c r="O85" s="6">
        <v>2793652.2299163602</v>
      </c>
      <c r="P85" s="6">
        <v>2017972.9080523499</v>
      </c>
      <c r="Q85" s="6">
        <v>245272.533778568</v>
      </c>
      <c r="R85" s="6">
        <v>333058.54137253598</v>
      </c>
      <c r="S85" s="6">
        <v>361987.55761598703</v>
      </c>
      <c r="T85" s="6">
        <v>7920740.4400000004</v>
      </c>
      <c r="U85" s="6">
        <v>3563623.1026707101</v>
      </c>
      <c r="V85" s="6">
        <v>10264932.8538968</v>
      </c>
      <c r="W85" s="6">
        <v>1061552.80722609</v>
      </c>
      <c r="X85" s="6">
        <v>0</v>
      </c>
      <c r="Y85" s="6">
        <v>0</v>
      </c>
      <c r="Z85" s="6">
        <v>0</v>
      </c>
      <c r="AA85" s="6">
        <v>157224.567234577</v>
      </c>
      <c r="AB85" s="6">
        <v>653.31431323009997</v>
      </c>
      <c r="AC85" s="6">
        <v>361987.55761598703</v>
      </c>
      <c r="AD85" s="6">
        <v>0</v>
      </c>
      <c r="AE85" s="6">
        <v>0</v>
      </c>
      <c r="AF85" s="6">
        <v>0</v>
      </c>
      <c r="AG85" s="6">
        <v>0</v>
      </c>
      <c r="AH85" s="6">
        <v>0</v>
      </c>
      <c r="AI85" s="6">
        <v>0</v>
      </c>
      <c r="AJ85" s="6">
        <v>11846351.1002867</v>
      </c>
      <c r="AK85" s="6">
        <v>13104.1287710037</v>
      </c>
      <c r="AL85" s="6">
        <v>330.98244656580999</v>
      </c>
      <c r="AM85" s="6">
        <v>93035.839999999997</v>
      </c>
      <c r="AN85" s="6">
        <v>4342.4095032922596</v>
      </c>
      <c r="AO85" s="6">
        <v>33547.471598330201</v>
      </c>
      <c r="AP85" s="6">
        <v>3753.1860850462999</v>
      </c>
      <c r="AQ85" s="6">
        <v>20687.885194392002</v>
      </c>
      <c r="AR85" s="6">
        <v>11185.5712070765</v>
      </c>
      <c r="AS85" s="6">
        <v>14901.359051007599</v>
      </c>
      <c r="AT85" s="6">
        <v>0</v>
      </c>
      <c r="AU85" t="s">
        <v>2973</v>
      </c>
      <c r="AV85" t="s">
        <v>2973</v>
      </c>
    </row>
    <row r="86" spans="1:48" x14ac:dyDescent="0.45">
      <c r="A86" s="5" t="s">
        <v>2800</v>
      </c>
      <c r="B86">
        <v>2243</v>
      </c>
      <c r="C86" t="s">
        <v>114</v>
      </c>
      <c r="D86">
        <v>5381</v>
      </c>
      <c r="E86" t="s">
        <v>2801</v>
      </c>
      <c r="F86" t="s">
        <v>2739</v>
      </c>
      <c r="G86" t="s">
        <v>2744</v>
      </c>
      <c r="H86" t="s">
        <v>2741</v>
      </c>
      <c r="I86" t="s">
        <v>2742</v>
      </c>
      <c r="J86">
        <v>1395.34558898161</v>
      </c>
      <c r="K86">
        <v>1</v>
      </c>
      <c r="L86">
        <v>1</v>
      </c>
      <c r="M86">
        <v>1</v>
      </c>
      <c r="N86" s="6">
        <v>1262165.9859903699</v>
      </c>
      <c r="O86" s="6">
        <v>1221455.6783197301</v>
      </c>
      <c r="P86" s="6">
        <v>2124162.8095162902</v>
      </c>
      <c r="Q86" s="6">
        <v>378577.02448626602</v>
      </c>
      <c r="R86" s="6">
        <v>514074.32226546499</v>
      </c>
      <c r="S86" s="6">
        <v>558726.12539254501</v>
      </c>
      <c r="T86" s="6">
        <v>0</v>
      </c>
      <c r="U86" s="6">
        <v>5500435.8205781104</v>
      </c>
      <c r="V86" s="6">
        <v>4589582.5982270502</v>
      </c>
      <c r="W86" s="6">
        <v>667169.44044615398</v>
      </c>
      <c r="X86" s="6">
        <v>0</v>
      </c>
      <c r="Y86" s="6">
        <v>0</v>
      </c>
      <c r="Z86" s="6">
        <v>0</v>
      </c>
      <c r="AA86" s="6">
        <v>242675.39427608001</v>
      </c>
      <c r="AB86" s="6">
        <v>1008.38762884159</v>
      </c>
      <c r="AC86" s="6">
        <v>558726.12539254501</v>
      </c>
      <c r="AD86" s="6">
        <v>0</v>
      </c>
      <c r="AE86" s="6">
        <v>0</v>
      </c>
      <c r="AF86" s="6">
        <v>0</v>
      </c>
      <c r="AG86" s="6">
        <v>0</v>
      </c>
      <c r="AH86" s="6">
        <v>0</v>
      </c>
      <c r="AI86" s="6">
        <v>0</v>
      </c>
      <c r="AJ86" s="6">
        <v>6059161.9459706601</v>
      </c>
      <c r="AK86" s="6">
        <v>4342.4095032922696</v>
      </c>
      <c r="AL86" s="6">
        <v>330.98244656580999</v>
      </c>
      <c r="AM86" s="6">
        <v>93035.839999999997</v>
      </c>
      <c r="AN86" s="6">
        <v>4342.4095032922596</v>
      </c>
      <c r="AO86" s="6">
        <v>33547.471598330201</v>
      </c>
      <c r="AP86" s="6">
        <v>330.98244656580999</v>
      </c>
      <c r="AQ86" s="6">
        <v>40734.411818744898</v>
      </c>
      <c r="AR86" s="6">
        <v>4342.4095032922696</v>
      </c>
      <c r="AS86" s="6">
        <v>33547.471598330201</v>
      </c>
      <c r="AT86" s="6">
        <v>0</v>
      </c>
      <c r="AU86" t="s">
        <v>2973</v>
      </c>
      <c r="AV86" t="s">
        <v>2976</v>
      </c>
    </row>
    <row r="87" spans="1:48" x14ac:dyDescent="0.45">
      <c r="A87" s="5" t="s">
        <v>183</v>
      </c>
      <c r="B87">
        <v>2243</v>
      </c>
      <c r="C87" t="s">
        <v>114</v>
      </c>
      <c r="D87">
        <v>1303</v>
      </c>
      <c r="E87" t="s">
        <v>184</v>
      </c>
      <c r="F87" t="s">
        <v>2739</v>
      </c>
      <c r="G87" t="s">
        <v>2740</v>
      </c>
      <c r="H87" t="s">
        <v>2741</v>
      </c>
      <c r="I87" t="s">
        <v>2742</v>
      </c>
      <c r="J87">
        <v>645.81355932197005</v>
      </c>
      <c r="K87">
        <v>1</v>
      </c>
      <c r="L87">
        <v>1</v>
      </c>
      <c r="M87">
        <v>1</v>
      </c>
      <c r="N87" s="6">
        <v>4138364.9538671998</v>
      </c>
      <c r="O87" s="6">
        <v>1257709.6441045499</v>
      </c>
      <c r="P87" s="6">
        <v>1311393.4922616701</v>
      </c>
      <c r="Q87" s="6">
        <v>175218.36711394001</v>
      </c>
      <c r="R87" s="6">
        <v>237931.14081551399</v>
      </c>
      <c r="S87" s="6">
        <v>258597.51919184899</v>
      </c>
      <c r="T87" s="6">
        <v>4574828.18</v>
      </c>
      <c r="U87" s="6">
        <v>2545789.41816288</v>
      </c>
      <c r="V87" s="6">
        <v>6484524.4210073799</v>
      </c>
      <c r="W87" s="6">
        <v>523308.006382194</v>
      </c>
      <c r="X87" s="6">
        <v>0</v>
      </c>
      <c r="Y87" s="6">
        <v>0</v>
      </c>
      <c r="Z87" s="6">
        <v>0</v>
      </c>
      <c r="AA87" s="6">
        <v>112318.454564136</v>
      </c>
      <c r="AB87" s="6">
        <v>466.71620916057998</v>
      </c>
      <c r="AC87" s="6">
        <v>258597.51919184899</v>
      </c>
      <c r="AD87" s="6">
        <v>0</v>
      </c>
      <c r="AE87" s="6">
        <v>0</v>
      </c>
      <c r="AF87" s="6">
        <v>0</v>
      </c>
      <c r="AG87" s="6">
        <v>0</v>
      </c>
      <c r="AH87" s="6">
        <v>0</v>
      </c>
      <c r="AI87" s="6">
        <v>0</v>
      </c>
      <c r="AJ87" s="6">
        <v>7379215.1173547301</v>
      </c>
      <c r="AK87" s="6">
        <v>11426.2313183731</v>
      </c>
      <c r="AL87" s="6">
        <v>330.98244656580999</v>
      </c>
      <c r="AM87" s="6">
        <v>93035.839999999997</v>
      </c>
      <c r="AN87" s="6">
        <v>4342.4095032922596</v>
      </c>
      <c r="AO87" s="6">
        <v>33547.471598330201</v>
      </c>
      <c r="AP87" s="6">
        <v>330.98244656580999</v>
      </c>
      <c r="AQ87" s="6">
        <v>93035.839999999997</v>
      </c>
      <c r="AR87" s="6">
        <v>4342.4095032922596</v>
      </c>
      <c r="AS87" s="6">
        <v>18281.8865453037</v>
      </c>
      <c r="AT87" s="6">
        <v>0</v>
      </c>
      <c r="AU87" t="s">
        <v>2973</v>
      </c>
      <c r="AV87" t="s">
        <v>2973</v>
      </c>
    </row>
    <row r="88" spans="1:48" x14ac:dyDescent="0.45">
      <c r="A88" s="5" t="s">
        <v>185</v>
      </c>
      <c r="B88">
        <v>2243</v>
      </c>
      <c r="C88" t="s">
        <v>114</v>
      </c>
      <c r="D88">
        <v>1171</v>
      </c>
      <c r="E88" t="s">
        <v>186</v>
      </c>
      <c r="F88" t="s">
        <v>2739</v>
      </c>
      <c r="G88" t="s">
        <v>2740</v>
      </c>
      <c r="H88" t="s">
        <v>2741</v>
      </c>
      <c r="I88" t="s">
        <v>2742</v>
      </c>
      <c r="J88">
        <v>569.00564971745496</v>
      </c>
      <c r="K88">
        <v>1</v>
      </c>
      <c r="L88">
        <v>1</v>
      </c>
      <c r="M88">
        <v>1</v>
      </c>
      <c r="N88" s="6">
        <v>4631476.6216123002</v>
      </c>
      <c r="O88" s="6">
        <v>1330523.49316892</v>
      </c>
      <c r="P88" s="6">
        <v>1163986.5481108399</v>
      </c>
      <c r="Q88" s="6">
        <v>154379.29319225301</v>
      </c>
      <c r="R88" s="6">
        <v>209633.510188118</v>
      </c>
      <c r="S88" s="6">
        <v>227841.994487641</v>
      </c>
      <c r="T88" s="6">
        <v>5246985.92</v>
      </c>
      <c r="U88" s="6">
        <v>2243013.5462724301</v>
      </c>
      <c r="V88" s="6">
        <v>6971061.5804096498</v>
      </c>
      <c r="W88" s="6">
        <v>419566.48300506599</v>
      </c>
      <c r="X88" s="6">
        <v>0</v>
      </c>
      <c r="Y88" s="6">
        <v>0</v>
      </c>
      <c r="Z88" s="6">
        <v>0</v>
      </c>
      <c r="AA88" s="6">
        <v>98960.194148950002</v>
      </c>
      <c r="AB88" s="6">
        <v>411.20870875782703</v>
      </c>
      <c r="AC88" s="6">
        <v>227841.994487641</v>
      </c>
      <c r="AD88" s="6">
        <v>0</v>
      </c>
      <c r="AE88" s="6">
        <v>0</v>
      </c>
      <c r="AF88" s="6">
        <v>0</v>
      </c>
      <c r="AG88" s="6">
        <v>0</v>
      </c>
      <c r="AH88" s="6">
        <v>0</v>
      </c>
      <c r="AI88" s="6">
        <v>0</v>
      </c>
      <c r="AJ88" s="6">
        <v>7717841.46076007</v>
      </c>
      <c r="AK88" s="6">
        <v>13563.734322484201</v>
      </c>
      <c r="AL88" s="6">
        <v>330.98244656580999</v>
      </c>
      <c r="AM88" s="6">
        <v>93035.839999999997</v>
      </c>
      <c r="AN88" s="6">
        <v>4342.4095032922596</v>
      </c>
      <c r="AO88" s="6">
        <v>33547.471598330201</v>
      </c>
      <c r="AP88" s="6">
        <v>330.98244656580999</v>
      </c>
      <c r="AQ88" s="6">
        <v>93035.839999999997</v>
      </c>
      <c r="AR88" s="6">
        <v>4342.4095032922596</v>
      </c>
      <c r="AS88" s="6">
        <v>18281.8865453037</v>
      </c>
      <c r="AT88" s="6">
        <v>0</v>
      </c>
      <c r="AU88" t="s">
        <v>2973</v>
      </c>
      <c r="AV88" t="s">
        <v>2973</v>
      </c>
    </row>
    <row r="89" spans="1:48" x14ac:dyDescent="0.45">
      <c r="A89" s="5" t="s">
        <v>187</v>
      </c>
      <c r="B89">
        <v>2243</v>
      </c>
      <c r="C89" t="s">
        <v>114</v>
      </c>
      <c r="D89">
        <v>1172</v>
      </c>
      <c r="E89" t="s">
        <v>188</v>
      </c>
      <c r="F89" t="s">
        <v>2739</v>
      </c>
      <c r="G89" t="s">
        <v>2740</v>
      </c>
      <c r="H89" t="s">
        <v>2741</v>
      </c>
      <c r="I89" t="s">
        <v>2742</v>
      </c>
      <c r="J89">
        <v>548.22033898300299</v>
      </c>
      <c r="K89">
        <v>2</v>
      </c>
      <c r="L89">
        <v>1</v>
      </c>
      <c r="M89">
        <v>1</v>
      </c>
      <c r="N89" s="6">
        <v>5432840.8274221104</v>
      </c>
      <c r="O89" s="6">
        <v>1489755.30680686</v>
      </c>
      <c r="P89" s="6">
        <v>1160899.5192185501</v>
      </c>
      <c r="Q89" s="6">
        <v>148739.94394930699</v>
      </c>
      <c r="R89" s="6">
        <v>201975.76961598601</v>
      </c>
      <c r="S89" s="6">
        <v>219519.112885087</v>
      </c>
      <c r="T89" s="6">
        <v>6273133.2699999996</v>
      </c>
      <c r="U89" s="6">
        <v>2161078.0970128202</v>
      </c>
      <c r="V89" s="6">
        <v>7519665.5292718401</v>
      </c>
      <c r="W89" s="6">
        <v>818804.39090838504</v>
      </c>
      <c r="X89" s="6">
        <v>0</v>
      </c>
      <c r="Y89" s="6">
        <v>0</v>
      </c>
      <c r="Z89" s="6">
        <v>0</v>
      </c>
      <c r="AA89" s="6">
        <v>95345.259241451306</v>
      </c>
      <c r="AB89" s="6">
        <v>396.18759114240697</v>
      </c>
      <c r="AC89" s="6">
        <v>219519.112885087</v>
      </c>
      <c r="AD89" s="6">
        <v>0</v>
      </c>
      <c r="AE89" s="6">
        <v>0</v>
      </c>
      <c r="AF89" s="6">
        <v>0</v>
      </c>
      <c r="AG89" s="6">
        <v>0</v>
      </c>
      <c r="AH89" s="6">
        <v>0</v>
      </c>
      <c r="AI89" s="6">
        <v>0</v>
      </c>
      <c r="AJ89" s="6">
        <v>8653730.4798978996</v>
      </c>
      <c r="AK89" s="6">
        <v>15785.132116680201</v>
      </c>
      <c r="AL89" s="6">
        <v>330.98244656580999</v>
      </c>
      <c r="AM89" s="6">
        <v>93035.839999999997</v>
      </c>
      <c r="AN89" s="6">
        <v>4342.4095032922596</v>
      </c>
      <c r="AO89" s="6">
        <v>33547.471598330201</v>
      </c>
      <c r="AP89" s="6">
        <v>330.98244656580999</v>
      </c>
      <c r="AQ89" s="6">
        <v>93035.839999999997</v>
      </c>
      <c r="AR89" s="6">
        <v>4342.4095032922596</v>
      </c>
      <c r="AS89" s="6">
        <v>18281.8865453037</v>
      </c>
      <c r="AT89" s="6">
        <v>0</v>
      </c>
      <c r="AU89" t="s">
        <v>2973</v>
      </c>
      <c r="AV89" t="s">
        <v>2973</v>
      </c>
    </row>
    <row r="90" spans="1:48" x14ac:dyDescent="0.45">
      <c r="A90" s="5" t="s">
        <v>189</v>
      </c>
      <c r="B90">
        <v>2243</v>
      </c>
      <c r="C90" t="s">
        <v>114</v>
      </c>
      <c r="D90">
        <v>1173</v>
      </c>
      <c r="E90" t="s">
        <v>190</v>
      </c>
      <c r="F90" t="s">
        <v>2739</v>
      </c>
      <c r="G90" t="s">
        <v>2740</v>
      </c>
      <c r="H90" t="s">
        <v>2741</v>
      </c>
      <c r="I90" t="s">
        <v>2742</v>
      </c>
      <c r="J90">
        <v>365.04739514885898</v>
      </c>
      <c r="K90">
        <v>2</v>
      </c>
      <c r="L90">
        <v>1</v>
      </c>
      <c r="M90">
        <v>1</v>
      </c>
      <c r="N90" s="6">
        <v>3686134.8359093401</v>
      </c>
      <c r="O90" s="6">
        <v>1050811.9403468501</v>
      </c>
      <c r="P90" s="6">
        <v>854071.33233803697</v>
      </c>
      <c r="Q90" s="6">
        <v>99042.529494633403</v>
      </c>
      <c r="R90" s="6">
        <v>134491.04919799001</v>
      </c>
      <c r="S90" s="6">
        <v>146172.760559644</v>
      </c>
      <c r="T90" s="6">
        <v>4385539.17</v>
      </c>
      <c r="U90" s="6">
        <v>1439012.5172868499</v>
      </c>
      <c r="V90" s="6">
        <v>5281548.3019623104</v>
      </c>
      <c r="W90" s="6">
        <v>479251.34387556103</v>
      </c>
      <c r="X90" s="6">
        <v>0</v>
      </c>
      <c r="Y90" s="6">
        <v>0</v>
      </c>
      <c r="Z90" s="6">
        <v>0</v>
      </c>
      <c r="AA90" s="6">
        <v>63488.2291861915</v>
      </c>
      <c r="AB90" s="6">
        <v>263.81226279406798</v>
      </c>
      <c r="AC90" s="6">
        <v>146172.760559644</v>
      </c>
      <c r="AD90" s="6">
        <v>0</v>
      </c>
      <c r="AE90" s="6">
        <v>0</v>
      </c>
      <c r="AF90" s="6">
        <v>0</v>
      </c>
      <c r="AG90" s="6">
        <v>0</v>
      </c>
      <c r="AH90" s="6">
        <v>0</v>
      </c>
      <c r="AI90" s="6">
        <v>0</v>
      </c>
      <c r="AJ90" s="6">
        <v>5970724.44784649</v>
      </c>
      <c r="AK90" s="6">
        <v>16356.0253468231</v>
      </c>
      <c r="AL90" s="6">
        <v>330.98244656580999</v>
      </c>
      <c r="AM90" s="6">
        <v>93035.839999999997</v>
      </c>
      <c r="AN90" s="6">
        <v>4342.4095032922596</v>
      </c>
      <c r="AO90" s="6">
        <v>33547.471598330201</v>
      </c>
      <c r="AP90" s="6">
        <v>330.98244656580999</v>
      </c>
      <c r="AQ90" s="6">
        <v>93035.839999999997</v>
      </c>
      <c r="AR90" s="6">
        <v>4342.4095032922596</v>
      </c>
      <c r="AS90" s="6">
        <v>18281.8865453037</v>
      </c>
      <c r="AT90" s="6">
        <v>0</v>
      </c>
      <c r="AU90" t="s">
        <v>2973</v>
      </c>
      <c r="AV90" t="s">
        <v>2973</v>
      </c>
    </row>
    <row r="91" spans="1:48" x14ac:dyDescent="0.45">
      <c r="A91" s="5" t="s">
        <v>191</v>
      </c>
      <c r="B91">
        <v>2243</v>
      </c>
      <c r="C91" t="s">
        <v>114</v>
      </c>
      <c r="D91">
        <v>1174</v>
      </c>
      <c r="E91" t="s">
        <v>192</v>
      </c>
      <c r="F91" t="s">
        <v>2739</v>
      </c>
      <c r="G91" t="s">
        <v>2740</v>
      </c>
      <c r="H91" t="s">
        <v>2741</v>
      </c>
      <c r="I91" t="s">
        <v>2742</v>
      </c>
      <c r="J91">
        <v>419.52482126467498</v>
      </c>
      <c r="K91">
        <v>1</v>
      </c>
      <c r="L91">
        <v>1</v>
      </c>
      <c r="M91">
        <v>1</v>
      </c>
      <c r="N91" s="6">
        <v>4282044.1811671201</v>
      </c>
      <c r="O91" s="6">
        <v>1176908.4537468499</v>
      </c>
      <c r="P91" s="6">
        <v>886913.51986328105</v>
      </c>
      <c r="Q91" s="6">
        <v>113823.02691652899</v>
      </c>
      <c r="R91" s="6">
        <v>154561.66548860699</v>
      </c>
      <c r="S91" s="6">
        <v>167986.683544317</v>
      </c>
      <c r="T91" s="6">
        <v>4960488.96</v>
      </c>
      <c r="U91" s="6">
        <v>1653761.8871824001</v>
      </c>
      <c r="V91" s="6">
        <v>6081840.8260356104</v>
      </c>
      <c r="W91" s="6">
        <v>459144.01747281698</v>
      </c>
      <c r="X91" s="6">
        <v>0</v>
      </c>
      <c r="Y91" s="6">
        <v>0</v>
      </c>
      <c r="Z91" s="6">
        <v>0</v>
      </c>
      <c r="AA91" s="6">
        <v>72962.821693020102</v>
      </c>
      <c r="AB91" s="6">
        <v>303.181980934227</v>
      </c>
      <c r="AC91" s="6">
        <v>167986.683544317</v>
      </c>
      <c r="AD91" s="6">
        <v>0</v>
      </c>
      <c r="AE91" s="6">
        <v>0</v>
      </c>
      <c r="AF91" s="6">
        <v>0</v>
      </c>
      <c r="AG91" s="6">
        <v>0</v>
      </c>
      <c r="AH91" s="6">
        <v>0</v>
      </c>
      <c r="AI91" s="6">
        <v>0</v>
      </c>
      <c r="AJ91" s="6">
        <v>6782237.5307266898</v>
      </c>
      <c r="AK91" s="6">
        <v>16166.474990160001</v>
      </c>
      <c r="AL91" s="6">
        <v>330.98244656580999</v>
      </c>
      <c r="AM91" s="6">
        <v>93035.839999999997</v>
      </c>
      <c r="AN91" s="6">
        <v>4342.4095032922596</v>
      </c>
      <c r="AO91" s="6">
        <v>33547.471598330201</v>
      </c>
      <c r="AP91" s="6">
        <v>330.98244656580999</v>
      </c>
      <c r="AQ91" s="6">
        <v>93035.839999999997</v>
      </c>
      <c r="AR91" s="6">
        <v>4342.4095032922596</v>
      </c>
      <c r="AS91" s="6">
        <v>18281.8865453037</v>
      </c>
      <c r="AT91" s="6">
        <v>0</v>
      </c>
      <c r="AU91" t="s">
        <v>2973</v>
      </c>
      <c r="AV91" t="s">
        <v>2973</v>
      </c>
    </row>
    <row r="92" spans="1:48" x14ac:dyDescent="0.45">
      <c r="A92" s="5" t="s">
        <v>193</v>
      </c>
      <c r="B92">
        <v>2243</v>
      </c>
      <c r="C92" t="s">
        <v>114</v>
      </c>
      <c r="D92">
        <v>1175</v>
      </c>
      <c r="E92" t="s">
        <v>194</v>
      </c>
      <c r="F92" t="s">
        <v>2739</v>
      </c>
      <c r="G92" t="s">
        <v>2740</v>
      </c>
      <c r="H92" t="s">
        <v>2741</v>
      </c>
      <c r="I92" t="s">
        <v>2742</v>
      </c>
      <c r="J92">
        <v>568.12668280864295</v>
      </c>
      <c r="K92">
        <v>1</v>
      </c>
      <c r="L92">
        <v>1</v>
      </c>
      <c r="M92">
        <v>1</v>
      </c>
      <c r="N92" s="6">
        <v>4254148.07823129</v>
      </c>
      <c r="O92" s="6">
        <v>1369514.64434046</v>
      </c>
      <c r="P92" s="6">
        <v>1176374.4890093601</v>
      </c>
      <c r="Q92" s="6">
        <v>154140.817018617</v>
      </c>
      <c r="R92" s="6">
        <v>238068.68050641799</v>
      </c>
      <c r="S92" s="6">
        <v>227490.037396017</v>
      </c>
      <c r="T92" s="6">
        <v>4952698.04</v>
      </c>
      <c r="U92" s="6">
        <v>2239548.66910615</v>
      </c>
      <c r="V92" s="6">
        <v>6573519.3249652702</v>
      </c>
      <c r="W92" s="6">
        <v>519509.484459873</v>
      </c>
      <c r="X92" s="6">
        <v>0</v>
      </c>
      <c r="Y92" s="6">
        <v>0</v>
      </c>
      <c r="Z92" s="6">
        <v>0</v>
      </c>
      <c r="AA92" s="6">
        <v>98807.326183597193</v>
      </c>
      <c r="AB92" s="6">
        <v>410.57349740659902</v>
      </c>
      <c r="AC92" s="6">
        <v>227490.037396017</v>
      </c>
      <c r="AD92" s="6">
        <v>0</v>
      </c>
      <c r="AE92" s="6">
        <v>0</v>
      </c>
      <c r="AF92" s="6">
        <v>0</v>
      </c>
      <c r="AG92" s="6">
        <v>0</v>
      </c>
      <c r="AH92" s="6">
        <v>0</v>
      </c>
      <c r="AI92" s="6">
        <v>0</v>
      </c>
      <c r="AJ92" s="6">
        <v>7419736.7465021703</v>
      </c>
      <c r="AK92" s="6">
        <v>13060.003993865001</v>
      </c>
      <c r="AL92" s="6">
        <v>330.98244656580999</v>
      </c>
      <c r="AM92" s="6">
        <v>93035.839999999997</v>
      </c>
      <c r="AN92" s="6">
        <v>4342.4095032922596</v>
      </c>
      <c r="AO92" s="6">
        <v>33547.471598330201</v>
      </c>
      <c r="AP92" s="6">
        <v>330.98244656580999</v>
      </c>
      <c r="AQ92" s="6">
        <v>93035.839999999997</v>
      </c>
      <c r="AR92" s="6">
        <v>4342.4095032922596</v>
      </c>
      <c r="AS92" s="6">
        <v>18281.8865453037</v>
      </c>
      <c r="AT92" s="6">
        <v>0</v>
      </c>
      <c r="AU92" t="s">
        <v>2973</v>
      </c>
      <c r="AV92" t="s">
        <v>2973</v>
      </c>
    </row>
    <row r="93" spans="1:48" x14ac:dyDescent="0.45">
      <c r="A93" s="5" t="s">
        <v>2802</v>
      </c>
      <c r="B93">
        <v>2243</v>
      </c>
      <c r="C93" t="s">
        <v>114</v>
      </c>
      <c r="D93">
        <v>5382</v>
      </c>
      <c r="E93" t="s">
        <v>2803</v>
      </c>
      <c r="F93" t="s">
        <v>2739</v>
      </c>
      <c r="G93" t="s">
        <v>2740</v>
      </c>
      <c r="H93" t="s">
        <v>2741</v>
      </c>
      <c r="I93" t="s">
        <v>2742</v>
      </c>
      <c r="J93">
        <v>618.05649717504105</v>
      </c>
      <c r="K93">
        <v>2</v>
      </c>
      <c r="L93">
        <v>1</v>
      </c>
      <c r="M93">
        <v>1</v>
      </c>
      <c r="N93" s="6">
        <v>559065.72129133705</v>
      </c>
      <c r="O93" s="6">
        <v>541033.43570092996</v>
      </c>
      <c r="P93" s="6">
        <v>940879.90519776498</v>
      </c>
      <c r="Q93" s="6">
        <v>167687.482952308</v>
      </c>
      <c r="R93" s="6">
        <v>227704.86209005699</v>
      </c>
      <c r="S93" s="6">
        <v>247482.99967202701</v>
      </c>
      <c r="T93" s="6">
        <v>0</v>
      </c>
      <c r="U93" s="6">
        <v>2436371.4072324</v>
      </c>
      <c r="V93" s="6">
        <v>2032916.6957312999</v>
      </c>
      <c r="W93" s="6">
        <v>295517.046558576</v>
      </c>
      <c r="X93" s="6">
        <v>0</v>
      </c>
      <c r="Y93" s="6">
        <v>0</v>
      </c>
      <c r="Z93" s="6">
        <v>0</v>
      </c>
      <c r="AA93" s="6">
        <v>107491.008192683</v>
      </c>
      <c r="AB93" s="6">
        <v>446.65674983883599</v>
      </c>
      <c r="AC93" s="6">
        <v>247482.99967202701</v>
      </c>
      <c r="AD93" s="6">
        <v>0</v>
      </c>
      <c r="AE93" s="6">
        <v>0</v>
      </c>
      <c r="AF93" s="6">
        <v>0</v>
      </c>
      <c r="AG93" s="6">
        <v>0</v>
      </c>
      <c r="AH93" s="6">
        <v>0</v>
      </c>
      <c r="AI93" s="6">
        <v>0</v>
      </c>
      <c r="AJ93" s="6">
        <v>2683854.4069044301</v>
      </c>
      <c r="AK93" s="6">
        <v>4342.4095032922596</v>
      </c>
      <c r="AL93" s="6">
        <v>330.98244656580999</v>
      </c>
      <c r="AM93" s="6">
        <v>93035.839999999997</v>
      </c>
      <c r="AN93" s="6">
        <v>4342.4095032922596</v>
      </c>
      <c r="AO93" s="6">
        <v>33547.471598330201</v>
      </c>
      <c r="AP93" s="6">
        <v>330.98244656580999</v>
      </c>
      <c r="AQ93" s="6">
        <v>93035.839999999997</v>
      </c>
      <c r="AR93" s="6">
        <v>4342.4095032922596</v>
      </c>
      <c r="AS93" s="6">
        <v>18281.8865453037</v>
      </c>
      <c r="AT93" s="6">
        <v>0</v>
      </c>
      <c r="AU93" t="s">
        <v>2973</v>
      </c>
      <c r="AV93" t="s">
        <v>2976</v>
      </c>
    </row>
    <row r="94" spans="1:48" x14ac:dyDescent="0.45">
      <c r="A94" s="5" t="s">
        <v>195</v>
      </c>
      <c r="B94">
        <v>2243</v>
      </c>
      <c r="C94" t="s">
        <v>114</v>
      </c>
      <c r="D94">
        <v>2781</v>
      </c>
      <c r="E94" t="s">
        <v>196</v>
      </c>
      <c r="F94" t="s">
        <v>2739</v>
      </c>
      <c r="G94" t="s">
        <v>2740</v>
      </c>
      <c r="H94" t="s">
        <v>2741</v>
      </c>
      <c r="I94" t="s">
        <v>2742</v>
      </c>
      <c r="J94">
        <v>557.57062146888404</v>
      </c>
      <c r="K94">
        <v>1</v>
      </c>
      <c r="L94">
        <v>1</v>
      </c>
      <c r="M94">
        <v>1</v>
      </c>
      <c r="N94" s="6">
        <v>5070269.5765454601</v>
      </c>
      <c r="O94" s="6">
        <v>1187144.7240667799</v>
      </c>
      <c r="P94" s="6">
        <v>1160378.3533465201</v>
      </c>
      <c r="Q94" s="6">
        <v>151276.80804201899</v>
      </c>
      <c r="R94" s="6">
        <v>205420.60806308899</v>
      </c>
      <c r="S94" s="6">
        <v>223263.165359195</v>
      </c>
      <c r="T94" s="6">
        <v>5576553.2699999996</v>
      </c>
      <c r="U94" s="6">
        <v>2197936.8000638601</v>
      </c>
      <c r="V94" s="6">
        <v>7159649.5180794504</v>
      </c>
      <c r="W94" s="6">
        <v>517466.16760858201</v>
      </c>
      <c r="X94" s="6">
        <v>0</v>
      </c>
      <c r="Y94" s="6">
        <v>0</v>
      </c>
      <c r="Z94" s="6">
        <v>0</v>
      </c>
      <c r="AA94" s="6">
        <v>96971.439527376002</v>
      </c>
      <c r="AB94" s="6">
        <v>402.94484845514103</v>
      </c>
      <c r="AC94" s="6">
        <v>223263.165359195</v>
      </c>
      <c r="AD94" s="6">
        <v>0</v>
      </c>
      <c r="AE94" s="6">
        <v>0</v>
      </c>
      <c r="AF94" s="6">
        <v>0</v>
      </c>
      <c r="AG94" s="6">
        <v>0</v>
      </c>
      <c r="AH94" s="6">
        <v>0</v>
      </c>
      <c r="AI94" s="6">
        <v>0</v>
      </c>
      <c r="AJ94" s="6">
        <v>7997753.2354230499</v>
      </c>
      <c r="AK94" s="6">
        <v>14343.928692572599</v>
      </c>
      <c r="AL94" s="6">
        <v>330.98244656580999</v>
      </c>
      <c r="AM94" s="6">
        <v>93035.839999999997</v>
      </c>
      <c r="AN94" s="6">
        <v>4342.4095032922596</v>
      </c>
      <c r="AO94" s="6">
        <v>33547.471598330201</v>
      </c>
      <c r="AP94" s="6">
        <v>330.98244656580999</v>
      </c>
      <c r="AQ94" s="6">
        <v>93035.839999999997</v>
      </c>
      <c r="AR94" s="6">
        <v>4342.4095032922596</v>
      </c>
      <c r="AS94" s="6">
        <v>18281.8865453037</v>
      </c>
      <c r="AT94" s="6">
        <v>0</v>
      </c>
      <c r="AU94" t="s">
        <v>2973</v>
      </c>
      <c r="AV94" t="s">
        <v>2973</v>
      </c>
    </row>
    <row r="95" spans="1:48" x14ac:dyDescent="0.45">
      <c r="A95" s="5" t="s">
        <v>197</v>
      </c>
      <c r="B95">
        <v>2243</v>
      </c>
      <c r="C95" t="s">
        <v>114</v>
      </c>
      <c r="D95">
        <v>1314</v>
      </c>
      <c r="E95" t="s">
        <v>198</v>
      </c>
      <c r="F95" t="s">
        <v>2739</v>
      </c>
      <c r="G95" t="s">
        <v>2744</v>
      </c>
      <c r="H95" t="s">
        <v>2745</v>
      </c>
      <c r="I95" t="s">
        <v>2742</v>
      </c>
      <c r="J95">
        <v>162.65713228779001</v>
      </c>
      <c r="K95">
        <v>1</v>
      </c>
      <c r="L95">
        <v>1</v>
      </c>
      <c r="M95">
        <v>1</v>
      </c>
      <c r="N95" s="6">
        <v>1254276.9339978001</v>
      </c>
      <c r="O95" s="6">
        <v>531200.293921898</v>
      </c>
      <c r="P95" s="6">
        <v>251611.58205259801</v>
      </c>
      <c r="Q95" s="6">
        <v>44131.184159132397</v>
      </c>
      <c r="R95" s="6">
        <v>59926.268949270197</v>
      </c>
      <c r="S95" s="6">
        <v>65131.383944065703</v>
      </c>
      <c r="T95" s="6">
        <v>1499953.77</v>
      </c>
      <c r="U95" s="6">
        <v>641192.49308069795</v>
      </c>
      <c r="V95" s="6">
        <v>2032704.2351970701</v>
      </c>
      <c r="W95" s="6">
        <v>80035.513065585605</v>
      </c>
      <c r="X95" s="6">
        <v>0</v>
      </c>
      <c r="Y95" s="6">
        <v>0</v>
      </c>
      <c r="Z95" s="6">
        <v>0</v>
      </c>
      <c r="AA95" s="6">
        <v>28288.965845776798</v>
      </c>
      <c r="AB95" s="6">
        <v>117.54897226684101</v>
      </c>
      <c r="AC95" s="6">
        <v>65131.383944065703</v>
      </c>
      <c r="AD95" s="6">
        <v>0</v>
      </c>
      <c r="AE95" s="6">
        <v>0</v>
      </c>
      <c r="AF95" s="6">
        <v>0</v>
      </c>
      <c r="AG95" s="6">
        <v>0</v>
      </c>
      <c r="AH95" s="6">
        <v>0</v>
      </c>
      <c r="AI95" s="6">
        <v>0</v>
      </c>
      <c r="AJ95" s="6">
        <v>2206277.64702476</v>
      </c>
      <c r="AK95" s="6">
        <v>13563.977281495399</v>
      </c>
      <c r="AL95" s="6">
        <v>330.98244656580999</v>
      </c>
      <c r="AM95" s="6">
        <v>93035.839999999997</v>
      </c>
      <c r="AN95" s="6">
        <v>4342.4095032922596</v>
      </c>
      <c r="AO95" s="6">
        <v>33547.471598330201</v>
      </c>
      <c r="AP95" s="6">
        <v>330.98244656580999</v>
      </c>
      <c r="AQ95" s="6">
        <v>40734.411818744898</v>
      </c>
      <c r="AR95" s="6">
        <v>4342.4095032922696</v>
      </c>
      <c r="AS95" s="6">
        <v>33547.471598330201</v>
      </c>
      <c r="AT95" s="6">
        <v>0</v>
      </c>
      <c r="AU95" t="s">
        <v>2973</v>
      </c>
      <c r="AV95" t="s">
        <v>2973</v>
      </c>
    </row>
    <row r="96" spans="1:48" x14ac:dyDescent="0.45">
      <c r="A96" s="5" t="s">
        <v>199</v>
      </c>
      <c r="B96">
        <v>2243</v>
      </c>
      <c r="C96" t="s">
        <v>114</v>
      </c>
      <c r="D96">
        <v>1270</v>
      </c>
      <c r="E96" t="s">
        <v>200</v>
      </c>
      <c r="F96" t="s">
        <v>2739</v>
      </c>
      <c r="G96" t="s">
        <v>2740</v>
      </c>
      <c r="H96" t="s">
        <v>2741</v>
      </c>
      <c r="I96" t="s">
        <v>2742</v>
      </c>
      <c r="J96">
        <v>549.90577008161097</v>
      </c>
      <c r="K96">
        <v>1</v>
      </c>
      <c r="L96">
        <v>1</v>
      </c>
      <c r="M96">
        <v>1</v>
      </c>
      <c r="N96" s="6">
        <v>4531176.3115309495</v>
      </c>
      <c r="O96" s="6">
        <v>1179441.6071345799</v>
      </c>
      <c r="P96" s="6">
        <v>1152297.29506604</v>
      </c>
      <c r="Q96" s="6">
        <v>149197.22528185</v>
      </c>
      <c r="R96" s="6">
        <v>202596.71747047</v>
      </c>
      <c r="S96" s="6">
        <v>220193.99543373799</v>
      </c>
      <c r="T96" s="6">
        <v>5046987.1100000003</v>
      </c>
      <c r="U96" s="6">
        <v>2167722.0464838999</v>
      </c>
      <c r="V96" s="6">
        <v>6662487.5935995504</v>
      </c>
      <c r="W96" s="6">
        <v>456185.77160582901</v>
      </c>
      <c r="X96" s="6">
        <v>0</v>
      </c>
      <c r="Y96" s="6">
        <v>0</v>
      </c>
      <c r="Z96" s="6">
        <v>0</v>
      </c>
      <c r="AA96" s="6">
        <v>95638.385660891407</v>
      </c>
      <c r="AB96" s="6">
        <v>397.40561761736899</v>
      </c>
      <c r="AC96" s="6">
        <v>220193.99543373799</v>
      </c>
      <c r="AD96" s="6">
        <v>0</v>
      </c>
      <c r="AE96" s="6">
        <v>0</v>
      </c>
      <c r="AF96" s="6">
        <v>0</v>
      </c>
      <c r="AG96" s="6">
        <v>0</v>
      </c>
      <c r="AH96" s="6">
        <v>0</v>
      </c>
      <c r="AI96" s="6">
        <v>0</v>
      </c>
      <c r="AJ96" s="6">
        <v>7434903.1519176401</v>
      </c>
      <c r="AK96" s="6">
        <v>13520.322128669801</v>
      </c>
      <c r="AL96" s="6">
        <v>330.98244656580999</v>
      </c>
      <c r="AM96" s="6">
        <v>93035.839999999997</v>
      </c>
      <c r="AN96" s="6">
        <v>4342.4095032922596</v>
      </c>
      <c r="AO96" s="6">
        <v>33547.471598330201</v>
      </c>
      <c r="AP96" s="6">
        <v>330.98244656580999</v>
      </c>
      <c r="AQ96" s="6">
        <v>93035.839999999997</v>
      </c>
      <c r="AR96" s="6">
        <v>4342.4095032922596</v>
      </c>
      <c r="AS96" s="6">
        <v>18281.8865453037</v>
      </c>
      <c r="AT96" s="6">
        <v>0</v>
      </c>
      <c r="AU96" t="s">
        <v>2973</v>
      </c>
      <c r="AV96" t="s">
        <v>2973</v>
      </c>
    </row>
    <row r="97" spans="1:48" x14ac:dyDescent="0.45">
      <c r="A97" s="5" t="s">
        <v>201</v>
      </c>
      <c r="B97">
        <v>2243</v>
      </c>
      <c r="C97" t="s">
        <v>114</v>
      </c>
      <c r="D97">
        <v>2783</v>
      </c>
      <c r="E97" t="s">
        <v>202</v>
      </c>
      <c r="F97" t="s">
        <v>2739</v>
      </c>
      <c r="G97" t="s">
        <v>2744</v>
      </c>
      <c r="H97" t="s">
        <v>2745</v>
      </c>
      <c r="I97" t="s">
        <v>2742</v>
      </c>
      <c r="J97">
        <v>1453.38911933196</v>
      </c>
      <c r="K97">
        <v>1</v>
      </c>
      <c r="L97">
        <v>1</v>
      </c>
      <c r="M97">
        <v>1</v>
      </c>
      <c r="N97" s="6">
        <v>10928221.2465089</v>
      </c>
      <c r="O97" s="6">
        <v>5635802.5130778896</v>
      </c>
      <c r="P97" s="6">
        <v>3209849.2196385199</v>
      </c>
      <c r="Q97" s="6">
        <v>394325.05650373502</v>
      </c>
      <c r="R97" s="6">
        <v>649050.51549041003</v>
      </c>
      <c r="S97" s="6">
        <v>581967.992549218</v>
      </c>
      <c r="T97" s="6">
        <v>15088005.82</v>
      </c>
      <c r="U97" s="6">
        <v>5729242.7312194696</v>
      </c>
      <c r="V97" s="6">
        <v>18172294.892728299</v>
      </c>
      <c r="W97" s="6">
        <v>2391133.1283121798</v>
      </c>
      <c r="X97" s="6">
        <v>0</v>
      </c>
      <c r="Y97" s="6">
        <v>0</v>
      </c>
      <c r="Z97" s="6">
        <v>0</v>
      </c>
      <c r="AA97" s="6">
        <v>252770.19568167999</v>
      </c>
      <c r="AB97" s="6">
        <v>1050.3344973462699</v>
      </c>
      <c r="AC97" s="6">
        <v>581967.992549218</v>
      </c>
      <c r="AD97" s="6">
        <v>0</v>
      </c>
      <c r="AE97" s="6">
        <v>0</v>
      </c>
      <c r="AF97" s="6">
        <v>0</v>
      </c>
      <c r="AG97" s="6">
        <v>0</v>
      </c>
      <c r="AH97" s="6">
        <v>0</v>
      </c>
      <c r="AI97" s="6">
        <v>0</v>
      </c>
      <c r="AJ97" s="6">
        <v>21399216.5437687</v>
      </c>
      <c r="AK97" s="6">
        <v>14723.666400918601</v>
      </c>
      <c r="AL97" s="6">
        <v>330.98244656580999</v>
      </c>
      <c r="AM97" s="6">
        <v>93035.839999999997</v>
      </c>
      <c r="AN97" s="6">
        <v>4342.4095032922596</v>
      </c>
      <c r="AO97" s="6">
        <v>33547.471598330201</v>
      </c>
      <c r="AP97" s="6">
        <v>330.98244656580999</v>
      </c>
      <c r="AQ97" s="6">
        <v>40734.411818744898</v>
      </c>
      <c r="AR97" s="6">
        <v>4342.4095032922696</v>
      </c>
      <c r="AS97" s="6">
        <v>33547.471598330201</v>
      </c>
      <c r="AT97" s="6">
        <v>0</v>
      </c>
      <c r="AU97" t="s">
        <v>2973</v>
      </c>
      <c r="AV97" t="s">
        <v>2973</v>
      </c>
    </row>
    <row r="98" spans="1:48" x14ac:dyDescent="0.45">
      <c r="A98" s="5" t="s">
        <v>203</v>
      </c>
      <c r="B98">
        <v>2243</v>
      </c>
      <c r="C98" t="s">
        <v>114</v>
      </c>
      <c r="D98">
        <v>4712</v>
      </c>
      <c r="E98" t="s">
        <v>204</v>
      </c>
      <c r="F98" t="s">
        <v>2739</v>
      </c>
      <c r="G98" t="s">
        <v>2740</v>
      </c>
      <c r="H98" t="s">
        <v>2741</v>
      </c>
      <c r="I98" t="s">
        <v>2742</v>
      </c>
      <c r="J98">
        <v>849.64467451605901</v>
      </c>
      <c r="K98">
        <v>1</v>
      </c>
      <c r="L98">
        <v>1</v>
      </c>
      <c r="M98">
        <v>1</v>
      </c>
      <c r="N98" s="6">
        <v>6641764.2950900802</v>
      </c>
      <c r="O98" s="6">
        <v>1920839.7818380401</v>
      </c>
      <c r="P98" s="6">
        <v>1762093.0511934001</v>
      </c>
      <c r="Q98" s="6">
        <v>230520.63609822499</v>
      </c>
      <c r="R98" s="6">
        <v>313026.76101702498</v>
      </c>
      <c r="S98" s="6">
        <v>340215.843803428</v>
      </c>
      <c r="T98" s="6">
        <v>7518955.2599999998</v>
      </c>
      <c r="U98" s="6">
        <v>3349289.26523678</v>
      </c>
      <c r="V98" s="6">
        <v>9946780.1815410107</v>
      </c>
      <c r="W98" s="6">
        <v>773082.01519135304</v>
      </c>
      <c r="X98" s="6">
        <v>0</v>
      </c>
      <c r="Y98" s="6">
        <v>0</v>
      </c>
      <c r="Z98" s="6">
        <v>0</v>
      </c>
      <c r="AA98" s="6">
        <v>147768.30773030399</v>
      </c>
      <c r="AB98" s="6">
        <v>614.02077410690197</v>
      </c>
      <c r="AC98" s="6">
        <v>340215.843803428</v>
      </c>
      <c r="AD98" s="6">
        <v>0</v>
      </c>
      <c r="AE98" s="6">
        <v>0</v>
      </c>
      <c r="AF98" s="6">
        <v>0</v>
      </c>
      <c r="AG98" s="6">
        <v>0</v>
      </c>
      <c r="AH98" s="6">
        <v>0</v>
      </c>
      <c r="AI98" s="6">
        <v>0</v>
      </c>
      <c r="AJ98" s="6">
        <v>11208460.3690402</v>
      </c>
      <c r="AK98" s="6">
        <v>13191.938589416</v>
      </c>
      <c r="AL98" s="6">
        <v>330.98244656580999</v>
      </c>
      <c r="AM98" s="6">
        <v>93035.839999999997</v>
      </c>
      <c r="AN98" s="6">
        <v>4342.4095032922596</v>
      </c>
      <c r="AO98" s="6">
        <v>33547.471598330201</v>
      </c>
      <c r="AP98" s="6">
        <v>330.98244656580999</v>
      </c>
      <c r="AQ98" s="6">
        <v>93035.839999999997</v>
      </c>
      <c r="AR98" s="6">
        <v>4342.4095032922596</v>
      </c>
      <c r="AS98" s="6">
        <v>18281.8865453037</v>
      </c>
      <c r="AT98" s="6">
        <v>0</v>
      </c>
      <c r="AU98" t="s">
        <v>2973</v>
      </c>
      <c r="AV98" t="s">
        <v>2973</v>
      </c>
    </row>
    <row r="99" spans="1:48" x14ac:dyDescent="0.45">
      <c r="A99" s="5" t="s">
        <v>205</v>
      </c>
      <c r="B99">
        <v>2243</v>
      </c>
      <c r="C99" t="s">
        <v>114</v>
      </c>
      <c r="D99">
        <v>2782</v>
      </c>
      <c r="E99" t="s">
        <v>206</v>
      </c>
      <c r="F99" t="s">
        <v>2739</v>
      </c>
      <c r="G99" t="s">
        <v>2747</v>
      </c>
      <c r="H99" t="s">
        <v>2745</v>
      </c>
      <c r="I99" t="s">
        <v>2742</v>
      </c>
      <c r="J99">
        <v>1548.8420322054801</v>
      </c>
      <c r="K99">
        <v>1</v>
      </c>
      <c r="L99">
        <v>1</v>
      </c>
      <c r="M99">
        <v>1</v>
      </c>
      <c r="N99" s="6">
        <v>9155977.5584280398</v>
      </c>
      <c r="O99" s="6">
        <v>3517874.4110073801</v>
      </c>
      <c r="P99" s="6">
        <v>3039793.1093415199</v>
      </c>
      <c r="Q99" s="6">
        <v>420222.78393381101</v>
      </c>
      <c r="R99" s="6">
        <v>570625.602925668</v>
      </c>
      <c r="S99" s="6">
        <v>620189.374111171</v>
      </c>
      <c r="T99" s="6">
        <v>10598976.48</v>
      </c>
      <c r="U99" s="6">
        <v>6105516.9856364196</v>
      </c>
      <c r="V99" s="6">
        <v>15025790.386915199</v>
      </c>
      <c r="W99" s="6">
        <v>1408212.60886093</v>
      </c>
      <c r="X99" s="6">
        <v>0</v>
      </c>
      <c r="Y99" s="6">
        <v>0</v>
      </c>
      <c r="Z99" s="6">
        <v>0</v>
      </c>
      <c r="AA99" s="6">
        <v>269371.15350123198</v>
      </c>
      <c r="AB99" s="6">
        <v>1119.31635907187</v>
      </c>
      <c r="AC99" s="6">
        <v>620189.374111171</v>
      </c>
      <c r="AD99" s="6">
        <v>0</v>
      </c>
      <c r="AE99" s="6">
        <v>0</v>
      </c>
      <c r="AF99" s="6">
        <v>0</v>
      </c>
      <c r="AG99" s="6">
        <v>0</v>
      </c>
      <c r="AH99" s="6">
        <v>0</v>
      </c>
      <c r="AI99" s="6">
        <v>0</v>
      </c>
      <c r="AJ99" s="6">
        <v>17324682.8397476</v>
      </c>
      <c r="AK99" s="6">
        <v>11185.5712070765</v>
      </c>
      <c r="AL99" s="6">
        <v>330.98244656580999</v>
      </c>
      <c r="AM99" s="6">
        <v>93035.839999999997</v>
      </c>
      <c r="AN99" s="6">
        <v>4342.4095032922596</v>
      </c>
      <c r="AO99" s="6">
        <v>33547.471598330201</v>
      </c>
      <c r="AP99" s="6">
        <v>3753.1860850462999</v>
      </c>
      <c r="AQ99" s="6">
        <v>20687.885194392002</v>
      </c>
      <c r="AR99" s="6">
        <v>11185.5712070765</v>
      </c>
      <c r="AS99" s="6">
        <v>14901.359051007599</v>
      </c>
      <c r="AT99" s="6">
        <v>0</v>
      </c>
      <c r="AU99" t="s">
        <v>2973</v>
      </c>
      <c r="AV99" t="s">
        <v>2973</v>
      </c>
    </row>
    <row r="100" spans="1:48" x14ac:dyDescent="0.45">
      <c r="A100" s="5" t="s">
        <v>207</v>
      </c>
      <c r="B100">
        <v>2243</v>
      </c>
      <c r="C100" t="s">
        <v>114</v>
      </c>
      <c r="D100">
        <v>1188</v>
      </c>
      <c r="E100" t="s">
        <v>208</v>
      </c>
      <c r="F100" t="s">
        <v>2739</v>
      </c>
      <c r="G100" t="s">
        <v>2744</v>
      </c>
      <c r="H100" t="s">
        <v>2741</v>
      </c>
      <c r="I100" t="s">
        <v>2742</v>
      </c>
      <c r="J100">
        <v>2122.2928489252699</v>
      </c>
      <c r="K100">
        <v>1</v>
      </c>
      <c r="L100">
        <v>1</v>
      </c>
      <c r="M100">
        <v>1</v>
      </c>
      <c r="N100" s="6">
        <v>13982571.1053918</v>
      </c>
      <c r="O100" s="6">
        <v>6909366.7182758199</v>
      </c>
      <c r="P100" s="6">
        <v>4135304.5850788602</v>
      </c>
      <c r="Q100" s="6">
        <v>575808.11390317103</v>
      </c>
      <c r="R100" s="6">
        <v>871566.45504625398</v>
      </c>
      <c r="S100" s="6">
        <v>849811.30824641394</v>
      </c>
      <c r="T100" s="6">
        <v>18108563.649999999</v>
      </c>
      <c r="U100" s="6">
        <v>8366053.3276958903</v>
      </c>
      <c r="V100" s="6">
        <v>23455366.1384973</v>
      </c>
      <c r="W100" s="6">
        <v>2635117.6605139002</v>
      </c>
      <c r="X100" s="6">
        <v>0</v>
      </c>
      <c r="Y100" s="6">
        <v>0</v>
      </c>
      <c r="Z100" s="6">
        <v>0</v>
      </c>
      <c r="AA100" s="6">
        <v>369104.44118588499</v>
      </c>
      <c r="AB100" s="6">
        <v>15028.737498820799</v>
      </c>
      <c r="AC100" s="6">
        <v>849811.30824641394</v>
      </c>
      <c r="AD100" s="6">
        <v>0</v>
      </c>
      <c r="AE100" s="6">
        <v>0</v>
      </c>
      <c r="AF100" s="6">
        <v>0</v>
      </c>
      <c r="AG100" s="6">
        <v>0</v>
      </c>
      <c r="AH100" s="6">
        <v>0</v>
      </c>
      <c r="AI100" s="6">
        <v>0</v>
      </c>
      <c r="AJ100" s="6">
        <v>27324428.285942301</v>
      </c>
      <c r="AK100" s="6">
        <v>12874.956582819999</v>
      </c>
      <c r="AL100" s="6">
        <v>330.98244656580999</v>
      </c>
      <c r="AM100" s="6">
        <v>93035.839999999997</v>
      </c>
      <c r="AN100" s="6">
        <v>4342.4095032922596</v>
      </c>
      <c r="AO100" s="6">
        <v>33547.471598330201</v>
      </c>
      <c r="AP100" s="6">
        <v>330.98244656580999</v>
      </c>
      <c r="AQ100" s="6">
        <v>40734.411818744898</v>
      </c>
      <c r="AR100" s="6">
        <v>4342.4095032922696</v>
      </c>
      <c r="AS100" s="6">
        <v>33547.471598330201</v>
      </c>
      <c r="AT100" s="6">
        <v>0</v>
      </c>
      <c r="AU100" t="s">
        <v>2973</v>
      </c>
      <c r="AV100" t="s">
        <v>2973</v>
      </c>
    </row>
    <row r="101" spans="1:48" x14ac:dyDescent="0.45">
      <c r="A101" s="5" t="s">
        <v>209</v>
      </c>
      <c r="B101">
        <v>2243</v>
      </c>
      <c r="C101" t="s">
        <v>114</v>
      </c>
      <c r="D101">
        <v>1176</v>
      </c>
      <c r="E101" t="s">
        <v>210</v>
      </c>
      <c r="F101" t="s">
        <v>2739</v>
      </c>
      <c r="G101" t="s">
        <v>2740</v>
      </c>
      <c r="H101" t="s">
        <v>2741</v>
      </c>
      <c r="I101" t="s">
        <v>2742</v>
      </c>
      <c r="J101">
        <v>356.60147397654401</v>
      </c>
      <c r="K101">
        <v>2</v>
      </c>
      <c r="L101">
        <v>1</v>
      </c>
      <c r="M101">
        <v>1</v>
      </c>
      <c r="N101" s="6">
        <v>3573240.6007874501</v>
      </c>
      <c r="O101" s="6">
        <v>937618.65163405403</v>
      </c>
      <c r="P101" s="6">
        <v>809615.59572747198</v>
      </c>
      <c r="Q101" s="6">
        <v>96751.031437299607</v>
      </c>
      <c r="R101" s="6">
        <v>131379.39625921199</v>
      </c>
      <c r="S101" s="6">
        <v>142790.83363828299</v>
      </c>
      <c r="T101" s="6">
        <v>4142886.48</v>
      </c>
      <c r="U101" s="6">
        <v>1405718.7958454899</v>
      </c>
      <c r="V101" s="6">
        <v>5153098.4960915297</v>
      </c>
      <c r="W101" s="6">
        <v>333229.73778123601</v>
      </c>
      <c r="X101" s="6">
        <v>0</v>
      </c>
      <c r="Y101" s="6">
        <v>0</v>
      </c>
      <c r="Z101" s="6">
        <v>0</v>
      </c>
      <c r="AA101" s="6">
        <v>62019.333403884099</v>
      </c>
      <c r="AB101" s="6">
        <v>257.70856884786099</v>
      </c>
      <c r="AC101" s="6">
        <v>142790.83363828299</v>
      </c>
      <c r="AD101" s="6">
        <v>0</v>
      </c>
      <c r="AE101" s="6">
        <v>0</v>
      </c>
      <c r="AF101" s="6">
        <v>0</v>
      </c>
      <c r="AG101" s="6">
        <v>0</v>
      </c>
      <c r="AH101" s="6">
        <v>0</v>
      </c>
      <c r="AI101" s="6">
        <v>0</v>
      </c>
      <c r="AJ101" s="6">
        <v>5691396.1094837803</v>
      </c>
      <c r="AK101" s="6">
        <v>15960.1025930087</v>
      </c>
      <c r="AL101" s="6">
        <v>330.98244656580999</v>
      </c>
      <c r="AM101" s="6">
        <v>93035.839999999997</v>
      </c>
      <c r="AN101" s="6">
        <v>4342.4095032922596</v>
      </c>
      <c r="AO101" s="6">
        <v>33547.471598330201</v>
      </c>
      <c r="AP101" s="6">
        <v>330.98244656580999</v>
      </c>
      <c r="AQ101" s="6">
        <v>93035.839999999997</v>
      </c>
      <c r="AR101" s="6">
        <v>4342.4095032922596</v>
      </c>
      <c r="AS101" s="6">
        <v>18281.8865453037</v>
      </c>
      <c r="AT101" s="6">
        <v>0</v>
      </c>
      <c r="AU101" t="s">
        <v>2973</v>
      </c>
      <c r="AV101" t="s">
        <v>2973</v>
      </c>
    </row>
    <row r="102" spans="1:48" x14ac:dyDescent="0.45">
      <c r="A102" s="5" t="s">
        <v>211</v>
      </c>
      <c r="B102">
        <v>2243</v>
      </c>
      <c r="C102" t="s">
        <v>114</v>
      </c>
      <c r="D102">
        <v>1177</v>
      </c>
      <c r="E102" t="s">
        <v>212</v>
      </c>
      <c r="F102" t="s">
        <v>2739</v>
      </c>
      <c r="G102" t="s">
        <v>2740</v>
      </c>
      <c r="H102" t="s">
        <v>2741</v>
      </c>
      <c r="I102" t="s">
        <v>2742</v>
      </c>
      <c r="J102">
        <v>644.43258302835204</v>
      </c>
      <c r="K102">
        <v>5</v>
      </c>
      <c r="L102">
        <v>1</v>
      </c>
      <c r="M102">
        <v>1</v>
      </c>
      <c r="N102" s="6">
        <v>5785626.7856904902</v>
      </c>
      <c r="O102" s="6">
        <v>1614323.1369999901</v>
      </c>
      <c r="P102" s="6">
        <v>1513884.8541210999</v>
      </c>
      <c r="Q102" s="6">
        <v>174843.68868283901</v>
      </c>
      <c r="R102" s="6">
        <v>241422.36044037799</v>
      </c>
      <c r="S102" s="6">
        <v>258044.54683870199</v>
      </c>
      <c r="T102" s="6">
        <v>6789755.2000000002</v>
      </c>
      <c r="U102" s="6">
        <v>2540345.6259347899</v>
      </c>
      <c r="V102" s="6">
        <v>8025258.8220178904</v>
      </c>
      <c r="W102" s="6">
        <v>1192298.0074653099</v>
      </c>
      <c r="X102" s="6">
        <v>0</v>
      </c>
      <c r="Y102" s="6">
        <v>0</v>
      </c>
      <c r="Z102" s="6">
        <v>0</v>
      </c>
      <c r="AA102" s="6">
        <v>112078.27824567699</v>
      </c>
      <c r="AB102" s="6">
        <v>465.71820592668303</v>
      </c>
      <c r="AC102" s="6">
        <v>258044.54683870199</v>
      </c>
      <c r="AD102" s="6">
        <v>0</v>
      </c>
      <c r="AE102" s="6">
        <v>0</v>
      </c>
      <c r="AF102" s="6">
        <v>0</v>
      </c>
      <c r="AG102" s="6">
        <v>0</v>
      </c>
      <c r="AH102" s="6">
        <v>0</v>
      </c>
      <c r="AI102" s="6">
        <v>0</v>
      </c>
      <c r="AJ102" s="6">
        <v>9588145.3727734797</v>
      </c>
      <c r="AK102" s="6">
        <v>14878.430460043401</v>
      </c>
      <c r="AL102" s="6">
        <v>330.98244656580999</v>
      </c>
      <c r="AM102" s="6">
        <v>93035.839999999997</v>
      </c>
      <c r="AN102" s="6">
        <v>4342.4095032922596</v>
      </c>
      <c r="AO102" s="6">
        <v>33547.471598330201</v>
      </c>
      <c r="AP102" s="6">
        <v>330.98244656580999</v>
      </c>
      <c r="AQ102" s="6">
        <v>93035.839999999997</v>
      </c>
      <c r="AR102" s="6">
        <v>4342.4095032922596</v>
      </c>
      <c r="AS102" s="6">
        <v>18281.8865453037</v>
      </c>
      <c r="AT102" s="6">
        <v>0</v>
      </c>
      <c r="AU102" t="s">
        <v>2973</v>
      </c>
      <c r="AV102" t="s">
        <v>2973</v>
      </c>
    </row>
    <row r="103" spans="1:48" x14ac:dyDescent="0.45">
      <c r="A103" s="5" t="s">
        <v>213</v>
      </c>
      <c r="B103">
        <v>2243</v>
      </c>
      <c r="C103" t="s">
        <v>114</v>
      </c>
      <c r="D103">
        <v>1178</v>
      </c>
      <c r="E103" t="s">
        <v>214</v>
      </c>
      <c r="F103" t="s">
        <v>2739</v>
      </c>
      <c r="G103" t="s">
        <v>2740</v>
      </c>
      <c r="H103" t="s">
        <v>2741</v>
      </c>
      <c r="I103" t="s">
        <v>2742</v>
      </c>
      <c r="J103">
        <v>348.21387921968</v>
      </c>
      <c r="K103">
        <v>1</v>
      </c>
      <c r="L103">
        <v>1</v>
      </c>
      <c r="M103">
        <v>1</v>
      </c>
      <c r="N103" s="6">
        <v>3400504.0750810402</v>
      </c>
      <c r="O103" s="6">
        <v>955100.340617585</v>
      </c>
      <c r="P103" s="6">
        <v>792993.35059873899</v>
      </c>
      <c r="Q103" s="6">
        <v>94475.358162718301</v>
      </c>
      <c r="R103" s="6">
        <v>139461.181984411</v>
      </c>
      <c r="S103" s="6">
        <v>139432.26185730501</v>
      </c>
      <c r="T103" s="6">
        <v>4009879.31</v>
      </c>
      <c r="U103" s="6">
        <v>1372654.9964445001</v>
      </c>
      <c r="V103" s="6">
        <v>4921847.8379633399</v>
      </c>
      <c r="W103" s="6">
        <v>399874.23983323597</v>
      </c>
      <c r="X103" s="6">
        <v>0</v>
      </c>
      <c r="Y103" s="6">
        <v>0</v>
      </c>
      <c r="Z103" s="6">
        <v>0</v>
      </c>
      <c r="AA103" s="6">
        <v>60560.581621728299</v>
      </c>
      <c r="AB103" s="6">
        <v>251.64702620541601</v>
      </c>
      <c r="AC103" s="6">
        <v>139432.26185730501</v>
      </c>
      <c r="AD103" s="6">
        <v>0</v>
      </c>
      <c r="AE103" s="6">
        <v>0</v>
      </c>
      <c r="AF103" s="6">
        <v>0</v>
      </c>
      <c r="AG103" s="6">
        <v>0</v>
      </c>
      <c r="AH103" s="6">
        <v>0</v>
      </c>
      <c r="AI103" s="6">
        <v>0</v>
      </c>
      <c r="AJ103" s="6">
        <v>5521966.5683018202</v>
      </c>
      <c r="AK103" s="6">
        <v>15857.9737851809</v>
      </c>
      <c r="AL103" s="6">
        <v>330.98244656580999</v>
      </c>
      <c r="AM103" s="6">
        <v>93035.839999999997</v>
      </c>
      <c r="AN103" s="6">
        <v>4342.4095032922596</v>
      </c>
      <c r="AO103" s="6">
        <v>33547.471598330201</v>
      </c>
      <c r="AP103" s="6">
        <v>330.98244656580999</v>
      </c>
      <c r="AQ103" s="6">
        <v>93035.839999999997</v>
      </c>
      <c r="AR103" s="6">
        <v>4342.4095032922596</v>
      </c>
      <c r="AS103" s="6">
        <v>18281.8865453037</v>
      </c>
      <c r="AT103" s="6">
        <v>0</v>
      </c>
      <c r="AU103" t="s">
        <v>2973</v>
      </c>
      <c r="AV103" t="s">
        <v>2973</v>
      </c>
    </row>
    <row r="104" spans="1:48" x14ac:dyDescent="0.45">
      <c r="A104" s="5" t="s">
        <v>215</v>
      </c>
      <c r="B104">
        <v>2243</v>
      </c>
      <c r="C104" t="s">
        <v>114</v>
      </c>
      <c r="D104">
        <v>1320</v>
      </c>
      <c r="E104" t="s">
        <v>216</v>
      </c>
      <c r="F104" t="s">
        <v>2739</v>
      </c>
      <c r="G104" t="s">
        <v>2744</v>
      </c>
      <c r="H104" t="s">
        <v>2745</v>
      </c>
      <c r="I104" t="s">
        <v>2742</v>
      </c>
      <c r="J104">
        <v>2478.05338314458</v>
      </c>
      <c r="K104">
        <v>1</v>
      </c>
      <c r="L104">
        <v>1</v>
      </c>
      <c r="M104">
        <v>1</v>
      </c>
      <c r="N104" s="6">
        <v>15834675.4804253</v>
      </c>
      <c r="O104" s="6">
        <v>7771433.0192363802</v>
      </c>
      <c r="P104" s="6">
        <v>4787031.0812067697</v>
      </c>
      <c r="Q104" s="6">
        <v>672330.98647174297</v>
      </c>
      <c r="R104" s="6">
        <v>923131.381616937</v>
      </c>
      <c r="S104" s="6">
        <v>992265.41167537903</v>
      </c>
      <c r="T104" s="6">
        <v>20220144.800000001</v>
      </c>
      <c r="U104" s="6">
        <v>9768457.1489571705</v>
      </c>
      <c r="V104" s="6">
        <v>26404702.6083754</v>
      </c>
      <c r="W104" s="6">
        <v>3151130.98202223</v>
      </c>
      <c r="X104" s="6">
        <v>0</v>
      </c>
      <c r="Y104" s="6">
        <v>0</v>
      </c>
      <c r="Z104" s="6">
        <v>0</v>
      </c>
      <c r="AA104" s="6">
        <v>430977.52022184699</v>
      </c>
      <c r="AB104" s="6">
        <v>1790.8383377596299</v>
      </c>
      <c r="AC104" s="6">
        <v>992265.41167537903</v>
      </c>
      <c r="AD104" s="6">
        <v>0</v>
      </c>
      <c r="AE104" s="6">
        <v>0</v>
      </c>
      <c r="AF104" s="6">
        <v>0</v>
      </c>
      <c r="AG104" s="6">
        <v>0</v>
      </c>
      <c r="AH104" s="6">
        <v>0</v>
      </c>
      <c r="AI104" s="6">
        <v>0</v>
      </c>
      <c r="AJ104" s="6">
        <v>30980867.360632598</v>
      </c>
      <c r="AK104" s="6">
        <v>12502.0984500821</v>
      </c>
      <c r="AL104" s="6">
        <v>330.98244656580999</v>
      </c>
      <c r="AM104" s="6">
        <v>93035.839999999997</v>
      </c>
      <c r="AN104" s="6">
        <v>4342.4095032922596</v>
      </c>
      <c r="AO104" s="6">
        <v>33547.471598330201</v>
      </c>
      <c r="AP104" s="6">
        <v>330.98244656580999</v>
      </c>
      <c r="AQ104" s="6">
        <v>40734.411818744898</v>
      </c>
      <c r="AR104" s="6">
        <v>4342.4095032922696</v>
      </c>
      <c r="AS104" s="6">
        <v>33547.471598330201</v>
      </c>
      <c r="AT104" s="6">
        <v>0</v>
      </c>
      <c r="AU104" t="s">
        <v>2973</v>
      </c>
      <c r="AV104" t="s">
        <v>2973</v>
      </c>
    </row>
    <row r="105" spans="1:48" x14ac:dyDescent="0.45">
      <c r="A105" s="5" t="s">
        <v>217</v>
      </c>
      <c r="B105">
        <v>2243</v>
      </c>
      <c r="C105" t="s">
        <v>114</v>
      </c>
      <c r="D105">
        <v>1185</v>
      </c>
      <c r="E105" t="s">
        <v>218</v>
      </c>
      <c r="F105" t="s">
        <v>2739</v>
      </c>
      <c r="G105" t="s">
        <v>2747</v>
      </c>
      <c r="H105" t="s">
        <v>2741</v>
      </c>
      <c r="I105" t="s">
        <v>2742</v>
      </c>
      <c r="J105">
        <v>708.61838255671296</v>
      </c>
      <c r="K105">
        <v>2</v>
      </c>
      <c r="L105">
        <v>1</v>
      </c>
      <c r="M105">
        <v>1</v>
      </c>
      <c r="N105" s="6">
        <v>5926386.1627933802</v>
      </c>
      <c r="O105" s="6">
        <v>2228771.18279657</v>
      </c>
      <c r="P105" s="6">
        <v>1667145.74483399</v>
      </c>
      <c r="Q105" s="6">
        <v>192258.20533849599</v>
      </c>
      <c r="R105" s="6">
        <v>261069.743319692</v>
      </c>
      <c r="S105" s="6">
        <v>283745.90953973599</v>
      </c>
      <c r="T105" s="6">
        <v>7482265.75</v>
      </c>
      <c r="U105" s="6">
        <v>2793365.2890821202</v>
      </c>
      <c r="V105" s="6">
        <v>9384952.6806253698</v>
      </c>
      <c r="W105" s="6">
        <v>766924.92507628002</v>
      </c>
      <c r="X105" s="6">
        <v>0</v>
      </c>
      <c r="Y105" s="6">
        <v>0</v>
      </c>
      <c r="Z105" s="6">
        <v>0</v>
      </c>
      <c r="AA105" s="6">
        <v>123241.32941412499</v>
      </c>
      <c r="AB105" s="6">
        <v>512.10396634532196</v>
      </c>
      <c r="AC105" s="6">
        <v>283745.90953973599</v>
      </c>
      <c r="AD105" s="6">
        <v>0</v>
      </c>
      <c r="AE105" s="6">
        <v>0</v>
      </c>
      <c r="AF105" s="6">
        <v>0</v>
      </c>
      <c r="AG105" s="6">
        <v>0</v>
      </c>
      <c r="AH105" s="6">
        <v>0</v>
      </c>
      <c r="AI105" s="6">
        <v>0</v>
      </c>
      <c r="AJ105" s="6">
        <v>10559376.948621901</v>
      </c>
      <c r="AK105" s="6">
        <v>14901.359051007599</v>
      </c>
      <c r="AL105" s="6">
        <v>330.98244656580999</v>
      </c>
      <c r="AM105" s="6">
        <v>93035.839999999997</v>
      </c>
      <c r="AN105" s="6">
        <v>4342.4095032922596</v>
      </c>
      <c r="AO105" s="6">
        <v>33547.471598330201</v>
      </c>
      <c r="AP105" s="6">
        <v>3753.1860850462999</v>
      </c>
      <c r="AQ105" s="6">
        <v>20687.885194392002</v>
      </c>
      <c r="AR105" s="6">
        <v>11185.5712070765</v>
      </c>
      <c r="AS105" s="6">
        <v>14901.359051007599</v>
      </c>
      <c r="AT105" s="6">
        <v>0</v>
      </c>
      <c r="AU105" t="s">
        <v>2973</v>
      </c>
      <c r="AV105" t="s">
        <v>2973</v>
      </c>
    </row>
    <row r="106" spans="1:48" x14ac:dyDescent="0.45">
      <c r="A106" s="5" t="s">
        <v>219</v>
      </c>
      <c r="B106">
        <v>2243</v>
      </c>
      <c r="C106" t="s">
        <v>114</v>
      </c>
      <c r="D106">
        <v>1179</v>
      </c>
      <c r="E106" t="s">
        <v>220</v>
      </c>
      <c r="F106" t="s">
        <v>2739</v>
      </c>
      <c r="G106" t="s">
        <v>2740</v>
      </c>
      <c r="H106" t="s">
        <v>2741</v>
      </c>
      <c r="I106" t="s">
        <v>2742</v>
      </c>
      <c r="J106">
        <v>447.72595942892502</v>
      </c>
      <c r="K106">
        <v>6</v>
      </c>
      <c r="L106">
        <v>1</v>
      </c>
      <c r="M106">
        <v>1</v>
      </c>
      <c r="N106" s="6">
        <v>4926028.9646564499</v>
      </c>
      <c r="O106" s="6">
        <v>1316150.8067960299</v>
      </c>
      <c r="P106" s="6">
        <v>1067402.5328293301</v>
      </c>
      <c r="Q106" s="6">
        <v>121474.395192355</v>
      </c>
      <c r="R106" s="6">
        <v>164951.551050565</v>
      </c>
      <c r="S106" s="6">
        <v>179279.02057006501</v>
      </c>
      <c r="T106" s="6">
        <v>5831077.8099999996</v>
      </c>
      <c r="U106" s="6">
        <v>1764930.4405247399</v>
      </c>
      <c r="V106" s="6">
        <v>6529779.4899309697</v>
      </c>
      <c r="W106" s="6">
        <v>988037.69745344401</v>
      </c>
      <c r="X106" s="6">
        <v>0</v>
      </c>
      <c r="Y106" s="6">
        <v>0</v>
      </c>
      <c r="Z106" s="6">
        <v>0</v>
      </c>
      <c r="AA106" s="6">
        <v>77867.500775453402</v>
      </c>
      <c r="AB106" s="6">
        <v>323.56236488257798</v>
      </c>
      <c r="AC106" s="6">
        <v>179279.02057006501</v>
      </c>
      <c r="AD106" s="6">
        <v>0</v>
      </c>
      <c r="AE106" s="6">
        <v>0</v>
      </c>
      <c r="AF106" s="6">
        <v>0</v>
      </c>
      <c r="AG106" s="6">
        <v>0</v>
      </c>
      <c r="AH106" s="6">
        <v>0</v>
      </c>
      <c r="AI106" s="6">
        <v>0</v>
      </c>
      <c r="AJ106" s="6">
        <v>7775287.2710948102</v>
      </c>
      <c r="AK106" s="6">
        <v>17366.174793644299</v>
      </c>
      <c r="AL106" s="6">
        <v>330.98244656580999</v>
      </c>
      <c r="AM106" s="6">
        <v>93035.839999999997</v>
      </c>
      <c r="AN106" s="6">
        <v>4342.4095032922596</v>
      </c>
      <c r="AO106" s="6">
        <v>33547.471598330201</v>
      </c>
      <c r="AP106" s="6">
        <v>330.98244656580999</v>
      </c>
      <c r="AQ106" s="6">
        <v>93035.839999999997</v>
      </c>
      <c r="AR106" s="6">
        <v>4342.4095032922596</v>
      </c>
      <c r="AS106" s="6">
        <v>18281.8865453037</v>
      </c>
      <c r="AT106" s="6">
        <v>0</v>
      </c>
      <c r="AU106" t="s">
        <v>2973</v>
      </c>
      <c r="AV106" t="s">
        <v>2973</v>
      </c>
    </row>
    <row r="107" spans="1:48" x14ac:dyDescent="0.45">
      <c r="A107" s="5" t="s">
        <v>221</v>
      </c>
      <c r="B107">
        <v>1976</v>
      </c>
      <c r="C107" t="s">
        <v>222</v>
      </c>
      <c r="D107">
        <v>1324</v>
      </c>
      <c r="E107" t="s">
        <v>223</v>
      </c>
      <c r="F107" t="s">
        <v>2739</v>
      </c>
      <c r="G107" t="s">
        <v>2740</v>
      </c>
      <c r="H107" t="s">
        <v>2741</v>
      </c>
      <c r="I107" t="s">
        <v>2742</v>
      </c>
      <c r="J107">
        <v>165.323529411761</v>
      </c>
      <c r="K107">
        <v>1</v>
      </c>
      <c r="L107">
        <v>1</v>
      </c>
      <c r="M107">
        <v>2</v>
      </c>
      <c r="N107" s="6">
        <v>1151684.09706431</v>
      </c>
      <c r="O107" s="6">
        <v>361280.96521585702</v>
      </c>
      <c r="P107" s="6">
        <v>350985.71969921101</v>
      </c>
      <c r="Q107" s="6">
        <v>53260.1622016486</v>
      </c>
      <c r="R107" s="6">
        <v>8129.0223682569704</v>
      </c>
      <c r="S107" s="6">
        <v>67476.491042226306</v>
      </c>
      <c r="T107" s="6">
        <v>1211828.27</v>
      </c>
      <c r="U107" s="6">
        <v>713511.69654928602</v>
      </c>
      <c r="V107" s="6">
        <v>1733072.54947382</v>
      </c>
      <c r="W107" s="6">
        <v>192131.47884626401</v>
      </c>
      <c r="X107" s="6">
        <v>0</v>
      </c>
      <c r="Y107" s="6">
        <v>0</v>
      </c>
      <c r="Z107" s="6">
        <v>0</v>
      </c>
      <c r="AA107" s="6">
        <v>0</v>
      </c>
      <c r="AB107" s="6">
        <v>135.93822920077201</v>
      </c>
      <c r="AC107" s="6">
        <v>67476.491042226306</v>
      </c>
      <c r="AD107" s="6">
        <v>0</v>
      </c>
      <c r="AE107" s="6">
        <v>0</v>
      </c>
      <c r="AF107" s="6">
        <v>0</v>
      </c>
      <c r="AG107" s="6">
        <v>0</v>
      </c>
      <c r="AH107" s="6">
        <v>0</v>
      </c>
      <c r="AI107" s="6">
        <v>0</v>
      </c>
      <c r="AJ107" s="6">
        <v>1992816.4575915099</v>
      </c>
      <c r="AK107" s="6">
        <v>12054.040127755399</v>
      </c>
      <c r="AL107" s="6">
        <v>330.98244656580999</v>
      </c>
      <c r="AM107" s="6">
        <v>93035.839999999997</v>
      </c>
      <c r="AN107" s="6">
        <v>4723.9989998420197</v>
      </c>
      <c r="AO107" s="6">
        <v>25056.863343970301</v>
      </c>
      <c r="AP107" s="6">
        <v>330.98244656580999</v>
      </c>
      <c r="AQ107" s="6">
        <v>93035.839999999997</v>
      </c>
      <c r="AR107" s="6">
        <v>4723.9989998420197</v>
      </c>
      <c r="AS107" s="6">
        <v>14223.643502714</v>
      </c>
      <c r="AT107" s="6">
        <v>0</v>
      </c>
      <c r="AU107" t="s">
        <v>2973</v>
      </c>
      <c r="AV107" t="s">
        <v>2973</v>
      </c>
    </row>
    <row r="108" spans="1:48" x14ac:dyDescent="0.45">
      <c r="A108" s="5" t="s">
        <v>224</v>
      </c>
      <c r="B108">
        <v>1976</v>
      </c>
      <c r="C108" t="s">
        <v>222</v>
      </c>
      <c r="D108">
        <v>241</v>
      </c>
      <c r="E108" t="s">
        <v>225</v>
      </c>
      <c r="F108" t="s">
        <v>2739</v>
      </c>
      <c r="G108" t="s">
        <v>2740</v>
      </c>
      <c r="H108" t="s">
        <v>2741</v>
      </c>
      <c r="I108" t="s">
        <v>2742</v>
      </c>
      <c r="J108">
        <v>575.91764705877199</v>
      </c>
      <c r="K108">
        <v>3</v>
      </c>
      <c r="L108">
        <v>1</v>
      </c>
      <c r="M108">
        <v>2</v>
      </c>
      <c r="N108" s="6">
        <v>4037556.1204457199</v>
      </c>
      <c r="O108" s="6">
        <v>1047412.96677221</v>
      </c>
      <c r="P108" s="6">
        <v>1120352.9741341099</v>
      </c>
      <c r="Q108" s="6">
        <v>185536.00571123499</v>
      </c>
      <c r="R108" s="6">
        <v>28318.095142733098</v>
      </c>
      <c r="S108" s="6">
        <v>235059.716491008</v>
      </c>
      <c r="T108" s="6">
        <v>3933601.49</v>
      </c>
      <c r="U108" s="6">
        <v>2485574.672206</v>
      </c>
      <c r="V108" s="6">
        <v>5647381.8540619202</v>
      </c>
      <c r="W108" s="6">
        <v>771320.75652451406</v>
      </c>
      <c r="X108" s="6">
        <v>0</v>
      </c>
      <c r="Y108" s="6">
        <v>0</v>
      </c>
      <c r="Z108" s="6">
        <v>0</v>
      </c>
      <c r="AA108" s="6">
        <v>0</v>
      </c>
      <c r="AB108" s="6">
        <v>473.55161957409302</v>
      </c>
      <c r="AC108" s="6">
        <v>235059.716491008</v>
      </c>
      <c r="AD108" s="6">
        <v>0</v>
      </c>
      <c r="AE108" s="6">
        <v>0</v>
      </c>
      <c r="AF108" s="6">
        <v>0</v>
      </c>
      <c r="AG108" s="6">
        <v>0</v>
      </c>
      <c r="AH108" s="6">
        <v>0</v>
      </c>
      <c r="AI108" s="6">
        <v>0</v>
      </c>
      <c r="AJ108" s="6">
        <v>6654235.87869702</v>
      </c>
      <c r="AK108" s="6">
        <v>11554.1447855963</v>
      </c>
      <c r="AL108" s="6">
        <v>330.98244656580999</v>
      </c>
      <c r="AM108" s="6">
        <v>93035.839999999997</v>
      </c>
      <c r="AN108" s="6">
        <v>4723.9989998420197</v>
      </c>
      <c r="AO108" s="6">
        <v>25056.863343970301</v>
      </c>
      <c r="AP108" s="6">
        <v>330.98244656580999</v>
      </c>
      <c r="AQ108" s="6">
        <v>93035.839999999997</v>
      </c>
      <c r="AR108" s="6">
        <v>4723.9989998420197</v>
      </c>
      <c r="AS108" s="6">
        <v>14223.643502714</v>
      </c>
      <c r="AT108" s="6">
        <v>0</v>
      </c>
      <c r="AU108" t="s">
        <v>2973</v>
      </c>
      <c r="AV108" t="s">
        <v>2973</v>
      </c>
    </row>
    <row r="109" spans="1:48" x14ac:dyDescent="0.45">
      <c r="A109" s="5" t="s">
        <v>226</v>
      </c>
      <c r="B109">
        <v>1976</v>
      </c>
      <c r="C109" t="s">
        <v>222</v>
      </c>
      <c r="D109">
        <v>5309</v>
      </c>
      <c r="E109" t="s">
        <v>227</v>
      </c>
      <c r="F109" t="s">
        <v>3</v>
      </c>
      <c r="G109" t="s">
        <v>2740</v>
      </c>
      <c r="H109" t="s">
        <v>2741</v>
      </c>
      <c r="I109" t="s">
        <v>2742</v>
      </c>
      <c r="J109">
        <v>207.823529411594</v>
      </c>
      <c r="K109">
        <v>1</v>
      </c>
      <c r="L109">
        <v>1</v>
      </c>
      <c r="M109">
        <v>2</v>
      </c>
      <c r="N109" s="6">
        <v>328321.290331784</v>
      </c>
      <c r="O109" s="6">
        <v>162529.596757608</v>
      </c>
      <c r="P109" s="6">
        <v>328913.86467054603</v>
      </c>
      <c r="Q109" s="6">
        <v>66951.842397535598</v>
      </c>
      <c r="R109" s="6">
        <v>10218.7639306276</v>
      </c>
      <c r="S109" s="6">
        <v>84822.786995906295</v>
      </c>
      <c r="T109" s="6">
        <v>0</v>
      </c>
      <c r="U109" s="6">
        <v>896935.35808810196</v>
      </c>
      <c r="V109" s="6">
        <v>730320.791382091</v>
      </c>
      <c r="W109" s="6">
        <v>166443.68260575601</v>
      </c>
      <c r="X109" s="6">
        <v>0</v>
      </c>
      <c r="Y109" s="6">
        <v>0</v>
      </c>
      <c r="Z109" s="6">
        <v>0</v>
      </c>
      <c r="AA109" s="6">
        <v>0</v>
      </c>
      <c r="AB109" s="6">
        <v>170.884100254738</v>
      </c>
      <c r="AC109" s="6">
        <v>84822.786995906295</v>
      </c>
      <c r="AD109" s="6">
        <v>0</v>
      </c>
      <c r="AE109" s="6">
        <v>0</v>
      </c>
      <c r="AF109" s="6">
        <v>0</v>
      </c>
      <c r="AG109" s="6">
        <v>0</v>
      </c>
      <c r="AH109" s="6">
        <v>0</v>
      </c>
      <c r="AI109" s="6">
        <v>0</v>
      </c>
      <c r="AJ109" s="6">
        <v>981758.14508400904</v>
      </c>
      <c r="AK109" s="6">
        <v>4723.9989998420197</v>
      </c>
      <c r="AL109" s="6">
        <v>330.98244656580999</v>
      </c>
      <c r="AM109" s="6">
        <v>93035.839999999997</v>
      </c>
      <c r="AN109" s="6">
        <v>4723.9989998420197</v>
      </c>
      <c r="AO109" s="6">
        <v>25056.863343970301</v>
      </c>
      <c r="AP109" s="6">
        <v>330.98244656580999</v>
      </c>
      <c r="AQ109" s="6">
        <v>93035.839999999997</v>
      </c>
      <c r="AR109" s="6">
        <v>4723.9989998420197</v>
      </c>
      <c r="AS109" s="6">
        <v>14223.643502714</v>
      </c>
      <c r="AT109" s="6">
        <v>0</v>
      </c>
      <c r="AU109" t="s">
        <v>2973</v>
      </c>
      <c r="AV109" t="s">
        <v>2976</v>
      </c>
    </row>
    <row r="110" spans="1:48" x14ac:dyDescent="0.45">
      <c r="A110" s="5" t="s">
        <v>228</v>
      </c>
      <c r="B110">
        <v>1976</v>
      </c>
      <c r="C110" t="s">
        <v>222</v>
      </c>
      <c r="D110">
        <v>251</v>
      </c>
      <c r="E110" t="s">
        <v>229</v>
      </c>
      <c r="F110" t="s">
        <v>2739</v>
      </c>
      <c r="G110" t="s">
        <v>2744</v>
      </c>
      <c r="H110" t="s">
        <v>2745</v>
      </c>
      <c r="I110" t="s">
        <v>2742</v>
      </c>
      <c r="J110">
        <v>1676.1483109685601</v>
      </c>
      <c r="K110">
        <v>1</v>
      </c>
      <c r="L110">
        <v>1</v>
      </c>
      <c r="M110">
        <v>2</v>
      </c>
      <c r="N110" s="6">
        <v>10152847.339730101</v>
      </c>
      <c r="O110" s="6">
        <v>4856194.4499049401</v>
      </c>
      <c r="P110" s="6">
        <v>3626868.4687478701</v>
      </c>
      <c r="Q110" s="6">
        <v>539983.21493524895</v>
      </c>
      <c r="R110" s="6">
        <v>82416.865650402993</v>
      </c>
      <c r="S110" s="6">
        <v>684116.81563378801</v>
      </c>
      <c r="T110" s="6">
        <v>12024304.210000001</v>
      </c>
      <c r="U110" s="6">
        <v>7234006.1289685797</v>
      </c>
      <c r="V110" s="6">
        <v>16283487.903238701</v>
      </c>
      <c r="W110" s="6">
        <v>2973444.21307708</v>
      </c>
      <c r="X110" s="6">
        <v>0</v>
      </c>
      <c r="Y110" s="6">
        <v>0</v>
      </c>
      <c r="Z110" s="6">
        <v>0</v>
      </c>
      <c r="AA110" s="6">
        <v>0</v>
      </c>
      <c r="AB110" s="6">
        <v>1378.22265276851</v>
      </c>
      <c r="AC110" s="6">
        <v>684116.81563378801</v>
      </c>
      <c r="AD110" s="6">
        <v>0</v>
      </c>
      <c r="AE110" s="6">
        <v>0</v>
      </c>
      <c r="AF110" s="6">
        <v>0</v>
      </c>
      <c r="AG110" s="6">
        <v>0</v>
      </c>
      <c r="AH110" s="6">
        <v>0</v>
      </c>
      <c r="AI110" s="6">
        <v>0</v>
      </c>
      <c r="AJ110" s="6">
        <v>19942427.154602401</v>
      </c>
      <c r="AK110" s="6">
        <v>11897.770038666</v>
      </c>
      <c r="AL110" s="6">
        <v>330.98244656580999</v>
      </c>
      <c r="AM110" s="6">
        <v>93035.839999999997</v>
      </c>
      <c r="AN110" s="6">
        <v>4723.9989998420197</v>
      </c>
      <c r="AO110" s="6">
        <v>25056.863343970301</v>
      </c>
      <c r="AP110" s="6">
        <v>330.98244656580999</v>
      </c>
      <c r="AQ110" s="6">
        <v>40734.411818744898</v>
      </c>
      <c r="AR110" s="6">
        <v>11056.287895915801</v>
      </c>
      <c r="AS110" s="6">
        <v>25056.863343970301</v>
      </c>
      <c r="AT110" s="6">
        <v>0</v>
      </c>
      <c r="AU110" t="s">
        <v>2973</v>
      </c>
      <c r="AV110" t="s">
        <v>2973</v>
      </c>
    </row>
    <row r="111" spans="1:48" x14ac:dyDescent="0.45">
      <c r="A111" s="5" t="s">
        <v>230</v>
      </c>
      <c r="B111">
        <v>1976</v>
      </c>
      <c r="C111" t="s">
        <v>222</v>
      </c>
      <c r="D111">
        <v>1976</v>
      </c>
      <c r="E111" t="s">
        <v>222</v>
      </c>
      <c r="F111" t="s">
        <v>1</v>
      </c>
      <c r="G111" t="s">
        <v>1</v>
      </c>
      <c r="H111" t="s">
        <v>2743</v>
      </c>
      <c r="I111" t="s">
        <v>2742</v>
      </c>
      <c r="J111">
        <v>394.75352053943101</v>
      </c>
      <c r="K111">
        <v>1</v>
      </c>
      <c r="L111">
        <v>1</v>
      </c>
      <c r="M111">
        <v>2</v>
      </c>
      <c r="N111" s="6">
        <v>623634.80012812198</v>
      </c>
      <c r="O111" s="6">
        <v>308719.28069729201</v>
      </c>
      <c r="P111" s="6">
        <v>624760.37434520002</v>
      </c>
      <c r="Q111" s="6">
        <v>127172.681398769</v>
      </c>
      <c r="R111" s="6">
        <v>19410.184441567701</v>
      </c>
      <c r="S111" s="6">
        <v>161117.915201436</v>
      </c>
      <c r="T111" s="6">
        <v>0</v>
      </c>
      <c r="U111" s="6">
        <v>1703697.32101095</v>
      </c>
      <c r="V111" s="6">
        <v>1387218.78286579</v>
      </c>
      <c r="W111" s="6">
        <v>316153.94977747102</v>
      </c>
      <c r="X111" s="6">
        <v>0</v>
      </c>
      <c r="Y111" s="6">
        <v>0</v>
      </c>
      <c r="Z111" s="6">
        <v>0</v>
      </c>
      <c r="AA111" s="6">
        <v>0</v>
      </c>
      <c r="AB111" s="6">
        <v>324.58836769234398</v>
      </c>
      <c r="AC111" s="6">
        <v>161117.915201436</v>
      </c>
      <c r="AD111" s="6">
        <v>0</v>
      </c>
      <c r="AE111" s="6">
        <v>0</v>
      </c>
      <c r="AF111" s="6">
        <v>0</v>
      </c>
      <c r="AG111" s="6">
        <v>0</v>
      </c>
      <c r="AH111" s="6">
        <v>0</v>
      </c>
      <c r="AI111" s="6">
        <v>0</v>
      </c>
      <c r="AJ111" s="6">
        <v>1864815.23621239</v>
      </c>
      <c r="AK111" s="6">
        <v>4723.9989998420197</v>
      </c>
      <c r="AL111" s="6">
        <v>330.98244656580999</v>
      </c>
      <c r="AM111" s="6">
        <v>93035.839999999997</v>
      </c>
      <c r="AN111" s="6">
        <v>4723.9989998420197</v>
      </c>
      <c r="AO111" s="6">
        <v>25056.863343970301</v>
      </c>
      <c r="AP111" s="6">
        <v>634.54287297753501</v>
      </c>
      <c r="AQ111" s="6">
        <v>40331.279999999999</v>
      </c>
      <c r="AR111" s="6">
        <v>4723.9989998420197</v>
      </c>
      <c r="AS111" s="6">
        <v>4723.9989998420197</v>
      </c>
      <c r="AT111" s="6">
        <v>0</v>
      </c>
      <c r="AU111" t="s">
        <v>2973</v>
      </c>
      <c r="AV111" t="s">
        <v>2977</v>
      </c>
    </row>
    <row r="112" spans="1:48" x14ac:dyDescent="0.45">
      <c r="A112" s="5" t="s">
        <v>231</v>
      </c>
      <c r="B112">
        <v>1976</v>
      </c>
      <c r="C112" t="s">
        <v>222</v>
      </c>
      <c r="D112">
        <v>250</v>
      </c>
      <c r="E112" t="s">
        <v>232</v>
      </c>
      <c r="F112" t="s">
        <v>2739</v>
      </c>
      <c r="G112" t="s">
        <v>2740</v>
      </c>
      <c r="H112" t="s">
        <v>2741</v>
      </c>
      <c r="I112" t="s">
        <v>2742</v>
      </c>
      <c r="J112">
        <v>559.48823529406297</v>
      </c>
      <c r="K112">
        <v>1</v>
      </c>
      <c r="L112">
        <v>1</v>
      </c>
      <c r="M112">
        <v>2</v>
      </c>
      <c r="N112" s="6">
        <v>3728173.6930413102</v>
      </c>
      <c r="O112" s="6">
        <v>979058.13999483804</v>
      </c>
      <c r="P112" s="6">
        <v>1074203.33098591</v>
      </c>
      <c r="Q112" s="6">
        <v>180243.152730298</v>
      </c>
      <c r="R112" s="6">
        <v>27510.254563670798</v>
      </c>
      <c r="S112" s="6">
        <v>228354.082636498</v>
      </c>
      <c r="T112" s="6">
        <v>3574520.79</v>
      </c>
      <c r="U112" s="6">
        <v>2414667.7813160401</v>
      </c>
      <c r="V112" s="6">
        <v>5345713.6757281404</v>
      </c>
      <c r="W112" s="6">
        <v>643014.85314726096</v>
      </c>
      <c r="X112" s="6">
        <v>0</v>
      </c>
      <c r="Y112" s="6">
        <v>0</v>
      </c>
      <c r="Z112" s="6">
        <v>0</v>
      </c>
      <c r="AA112" s="6">
        <v>0</v>
      </c>
      <c r="AB112" s="6">
        <v>460.04244063234501</v>
      </c>
      <c r="AC112" s="6">
        <v>228354.082636498</v>
      </c>
      <c r="AD112" s="6">
        <v>0</v>
      </c>
      <c r="AE112" s="6">
        <v>0</v>
      </c>
      <c r="AF112" s="6">
        <v>0</v>
      </c>
      <c r="AG112" s="6">
        <v>0</v>
      </c>
      <c r="AH112" s="6">
        <v>0</v>
      </c>
      <c r="AI112" s="6">
        <v>0</v>
      </c>
      <c r="AJ112" s="6">
        <v>6217542.6539525297</v>
      </c>
      <c r="AK112" s="6">
        <v>11112.9104451761</v>
      </c>
      <c r="AL112" s="6">
        <v>330.98244656580999</v>
      </c>
      <c r="AM112" s="6">
        <v>93035.839999999997</v>
      </c>
      <c r="AN112" s="6">
        <v>4723.9989998420197</v>
      </c>
      <c r="AO112" s="6">
        <v>25056.863343970301</v>
      </c>
      <c r="AP112" s="6">
        <v>330.98244656580999</v>
      </c>
      <c r="AQ112" s="6">
        <v>93035.839999999997</v>
      </c>
      <c r="AR112" s="6">
        <v>4723.9989998420197</v>
      </c>
      <c r="AS112" s="6">
        <v>14223.643502714</v>
      </c>
      <c r="AT112" s="6">
        <v>0</v>
      </c>
      <c r="AU112" t="s">
        <v>2973</v>
      </c>
      <c r="AV112" t="s">
        <v>2973</v>
      </c>
    </row>
    <row r="113" spans="1:48" x14ac:dyDescent="0.45">
      <c r="A113" s="5" t="s">
        <v>233</v>
      </c>
      <c r="B113">
        <v>1976</v>
      </c>
      <c r="C113" t="s">
        <v>222</v>
      </c>
      <c r="D113">
        <v>242</v>
      </c>
      <c r="E113" t="s">
        <v>234</v>
      </c>
      <c r="F113" t="s">
        <v>2739</v>
      </c>
      <c r="G113" t="s">
        <v>2747</v>
      </c>
      <c r="H113" t="s">
        <v>2741</v>
      </c>
      <c r="I113" t="s">
        <v>2742</v>
      </c>
      <c r="J113">
        <v>748.556448504831</v>
      </c>
      <c r="K113">
        <v>1</v>
      </c>
      <c r="L113">
        <v>1</v>
      </c>
      <c r="M113">
        <v>2</v>
      </c>
      <c r="N113" s="6">
        <v>4112536.9233544501</v>
      </c>
      <c r="O113" s="6">
        <v>1699876.6229182701</v>
      </c>
      <c r="P113" s="6">
        <v>1520654.73796313</v>
      </c>
      <c r="Q113" s="6">
        <v>241152.83533029299</v>
      </c>
      <c r="R113" s="6">
        <v>36806.812287700202</v>
      </c>
      <c r="S113" s="6">
        <v>305521.92220827198</v>
      </c>
      <c r="T113" s="6">
        <v>4380369.9400000004</v>
      </c>
      <c r="U113" s="6">
        <v>3230657.99185385</v>
      </c>
      <c r="V113" s="6">
        <v>6954465.3170459503</v>
      </c>
      <c r="W113" s="6">
        <v>655947.10993434803</v>
      </c>
      <c r="X113" s="6">
        <v>0</v>
      </c>
      <c r="Y113" s="6">
        <v>0</v>
      </c>
      <c r="Z113" s="6">
        <v>0</v>
      </c>
      <c r="AA113" s="6">
        <v>0</v>
      </c>
      <c r="AB113" s="6">
        <v>615.50487355689404</v>
      </c>
      <c r="AC113" s="6">
        <v>305521.92220827198</v>
      </c>
      <c r="AD113" s="6">
        <v>0</v>
      </c>
      <c r="AE113" s="6">
        <v>0</v>
      </c>
      <c r="AF113" s="6">
        <v>0</v>
      </c>
      <c r="AG113" s="6">
        <v>0</v>
      </c>
      <c r="AH113" s="6">
        <v>0</v>
      </c>
      <c r="AI113" s="6">
        <v>0</v>
      </c>
      <c r="AJ113" s="6">
        <v>7916549.8540621204</v>
      </c>
      <c r="AK113" s="6">
        <v>10575.755335318599</v>
      </c>
      <c r="AL113" s="6">
        <v>330.98244656580999</v>
      </c>
      <c r="AM113" s="6">
        <v>93035.839999999997</v>
      </c>
      <c r="AN113" s="6">
        <v>4723.9989998420197</v>
      </c>
      <c r="AO113" s="6">
        <v>25056.863343970301</v>
      </c>
      <c r="AP113" s="6">
        <v>3753.1860850462999</v>
      </c>
      <c r="AQ113" s="6">
        <v>20687.885194392002</v>
      </c>
      <c r="AR113" s="6">
        <v>10300.3171294616</v>
      </c>
      <c r="AS113" s="6">
        <v>13753.967222293801</v>
      </c>
      <c r="AT113" s="6">
        <v>0</v>
      </c>
      <c r="AU113" t="s">
        <v>2973</v>
      </c>
      <c r="AV113" t="s">
        <v>2973</v>
      </c>
    </row>
    <row r="114" spans="1:48" x14ac:dyDescent="0.45">
      <c r="A114" s="5" t="s">
        <v>2804</v>
      </c>
      <c r="B114">
        <v>1976</v>
      </c>
      <c r="C114" t="s">
        <v>222</v>
      </c>
      <c r="D114">
        <v>5384</v>
      </c>
      <c r="E114" t="s">
        <v>2805</v>
      </c>
      <c r="F114" t="s">
        <v>3</v>
      </c>
      <c r="G114" t="s">
        <v>2740</v>
      </c>
      <c r="H114" t="s">
        <v>2741</v>
      </c>
      <c r="I114" t="s">
        <v>2742</v>
      </c>
      <c r="J114">
        <v>132.51764705881101</v>
      </c>
      <c r="K114">
        <v>1</v>
      </c>
      <c r="L114">
        <v>1</v>
      </c>
      <c r="M114">
        <v>2</v>
      </c>
      <c r="N114" s="6">
        <v>209352.449153689</v>
      </c>
      <c r="O114" s="6">
        <v>103636.194615286</v>
      </c>
      <c r="P114" s="6">
        <v>209730.30125399001</v>
      </c>
      <c r="Q114" s="6">
        <v>42691.511619948498</v>
      </c>
      <c r="R114" s="6">
        <v>6515.9443484105996</v>
      </c>
      <c r="S114" s="6">
        <v>54086.831175917599</v>
      </c>
      <c r="T114" s="6">
        <v>0</v>
      </c>
      <c r="U114" s="6">
        <v>571926.40099132503</v>
      </c>
      <c r="V114" s="6">
        <v>465685.44546469703</v>
      </c>
      <c r="W114" s="6">
        <v>106131.992124121</v>
      </c>
      <c r="X114" s="6">
        <v>0</v>
      </c>
      <c r="Y114" s="6">
        <v>0</v>
      </c>
      <c r="Z114" s="6">
        <v>0</v>
      </c>
      <c r="AA114" s="6">
        <v>0</v>
      </c>
      <c r="AB114" s="6">
        <v>108.963402506129</v>
      </c>
      <c r="AC114" s="6">
        <v>54086.831175917599</v>
      </c>
      <c r="AD114" s="6">
        <v>0</v>
      </c>
      <c r="AE114" s="6">
        <v>0</v>
      </c>
      <c r="AF114" s="6">
        <v>0</v>
      </c>
      <c r="AG114" s="6">
        <v>0</v>
      </c>
      <c r="AH114" s="6">
        <v>0</v>
      </c>
      <c r="AI114" s="6">
        <v>0</v>
      </c>
      <c r="AJ114" s="6">
        <v>626013.23216724198</v>
      </c>
      <c r="AK114" s="6">
        <v>4723.9989998420197</v>
      </c>
      <c r="AL114" s="6">
        <v>330.98244656580999</v>
      </c>
      <c r="AM114" s="6">
        <v>93035.839999999997</v>
      </c>
      <c r="AN114" s="6">
        <v>4723.9989998420197</v>
      </c>
      <c r="AO114" s="6">
        <v>25056.863343970301</v>
      </c>
      <c r="AP114" s="6">
        <v>330.98244656580999</v>
      </c>
      <c r="AQ114" s="6">
        <v>93035.839999999997</v>
      </c>
      <c r="AR114" s="6">
        <v>4723.9989998420197</v>
      </c>
      <c r="AS114" s="6">
        <v>14223.643502714</v>
      </c>
      <c r="AT114" s="6">
        <v>0</v>
      </c>
      <c r="AU114" t="s">
        <v>2973</v>
      </c>
      <c r="AV114" t="s">
        <v>2976</v>
      </c>
    </row>
    <row r="115" spans="1:48" x14ac:dyDescent="0.45">
      <c r="A115" s="5" t="s">
        <v>235</v>
      </c>
      <c r="B115">
        <v>1976</v>
      </c>
      <c r="C115" t="s">
        <v>222</v>
      </c>
      <c r="D115">
        <v>1308</v>
      </c>
      <c r="E115" t="s">
        <v>236</v>
      </c>
      <c r="F115" t="s">
        <v>2739</v>
      </c>
      <c r="G115" t="s">
        <v>2740</v>
      </c>
      <c r="H115" t="s">
        <v>2741</v>
      </c>
      <c r="I115" t="s">
        <v>2742</v>
      </c>
      <c r="J115">
        <v>559.605882352903</v>
      </c>
      <c r="K115">
        <v>1</v>
      </c>
      <c r="L115">
        <v>1</v>
      </c>
      <c r="M115">
        <v>2</v>
      </c>
      <c r="N115" s="6">
        <v>3763407.8528150902</v>
      </c>
      <c r="O115" s="6">
        <v>1080562.05655967</v>
      </c>
      <c r="P115" s="6">
        <v>1148777.9162107799</v>
      </c>
      <c r="Q115" s="6">
        <v>180281.053575136</v>
      </c>
      <c r="R115" s="6">
        <v>27516.039315401398</v>
      </c>
      <c r="S115" s="6">
        <v>228402.10006475099</v>
      </c>
      <c r="T115" s="6">
        <v>3785369.39</v>
      </c>
      <c r="U115" s="6">
        <v>2415175.5284760799</v>
      </c>
      <c r="V115" s="6">
        <v>5517538.4938580496</v>
      </c>
      <c r="W115" s="6">
        <v>682546.28544141899</v>
      </c>
      <c r="X115" s="6">
        <v>0</v>
      </c>
      <c r="Y115" s="6">
        <v>0</v>
      </c>
      <c r="Z115" s="6">
        <v>0</v>
      </c>
      <c r="AA115" s="6">
        <v>0</v>
      </c>
      <c r="AB115" s="6">
        <v>460.13917660759398</v>
      </c>
      <c r="AC115" s="6">
        <v>228402.10006475099</v>
      </c>
      <c r="AD115" s="6">
        <v>0</v>
      </c>
      <c r="AE115" s="6">
        <v>0</v>
      </c>
      <c r="AF115" s="6">
        <v>0</v>
      </c>
      <c r="AG115" s="6">
        <v>0</v>
      </c>
      <c r="AH115" s="6">
        <v>0</v>
      </c>
      <c r="AI115" s="6">
        <v>0</v>
      </c>
      <c r="AJ115" s="6">
        <v>6428947.0185408304</v>
      </c>
      <c r="AK115" s="6">
        <v>11488.3478199154</v>
      </c>
      <c r="AL115" s="6">
        <v>330.98244656580999</v>
      </c>
      <c r="AM115" s="6">
        <v>93035.839999999997</v>
      </c>
      <c r="AN115" s="6">
        <v>4723.9989998420197</v>
      </c>
      <c r="AO115" s="6">
        <v>25056.863343970301</v>
      </c>
      <c r="AP115" s="6">
        <v>330.98244656580999</v>
      </c>
      <c r="AQ115" s="6">
        <v>93035.839999999997</v>
      </c>
      <c r="AR115" s="6">
        <v>4723.9989998420197</v>
      </c>
      <c r="AS115" s="6">
        <v>14223.643502714</v>
      </c>
      <c r="AT115" s="6">
        <v>0</v>
      </c>
      <c r="AU115" t="s">
        <v>2973</v>
      </c>
      <c r="AV115" t="s">
        <v>2973</v>
      </c>
    </row>
    <row r="116" spans="1:48" x14ac:dyDescent="0.45">
      <c r="A116" s="5" t="s">
        <v>237</v>
      </c>
      <c r="B116">
        <v>1976</v>
      </c>
      <c r="C116" t="s">
        <v>222</v>
      </c>
      <c r="D116">
        <v>4129</v>
      </c>
      <c r="E116" t="s">
        <v>238</v>
      </c>
      <c r="F116" t="s">
        <v>2739</v>
      </c>
      <c r="G116" t="s">
        <v>2740</v>
      </c>
      <c r="H116" t="s">
        <v>2741</v>
      </c>
      <c r="I116" t="s">
        <v>2742</v>
      </c>
      <c r="J116">
        <v>206.95294117644599</v>
      </c>
      <c r="K116">
        <v>1</v>
      </c>
      <c r="L116">
        <v>1</v>
      </c>
      <c r="M116">
        <v>2</v>
      </c>
      <c r="N116" s="6">
        <v>1748396.8580062599</v>
      </c>
      <c r="O116" s="6">
        <v>520484.63817804097</v>
      </c>
      <c r="P116" s="6">
        <v>513428.570007</v>
      </c>
      <c r="Q116" s="6">
        <v>66671.376145818198</v>
      </c>
      <c r="R116" s="6">
        <v>10175.956767834499</v>
      </c>
      <c r="S116" s="6">
        <v>84467.458026948094</v>
      </c>
      <c r="T116" s="6">
        <v>1965979.37</v>
      </c>
      <c r="U116" s="6">
        <v>893178.02910494804</v>
      </c>
      <c r="V116" s="6">
        <v>2523966.1632217099</v>
      </c>
      <c r="W116" s="6">
        <v>335021.067629205</v>
      </c>
      <c r="X116" s="6">
        <v>0</v>
      </c>
      <c r="Y116" s="6">
        <v>0</v>
      </c>
      <c r="Z116" s="6">
        <v>0</v>
      </c>
      <c r="AA116" s="6">
        <v>0</v>
      </c>
      <c r="AB116" s="6">
        <v>170.16825403811001</v>
      </c>
      <c r="AC116" s="6">
        <v>84467.458026948094</v>
      </c>
      <c r="AD116" s="6">
        <v>0</v>
      </c>
      <c r="AE116" s="6">
        <v>0</v>
      </c>
      <c r="AF116" s="6">
        <v>0</v>
      </c>
      <c r="AG116" s="6">
        <v>0</v>
      </c>
      <c r="AH116" s="6">
        <v>0</v>
      </c>
      <c r="AI116" s="6">
        <v>0</v>
      </c>
      <c r="AJ116" s="6">
        <v>2943624.8571318998</v>
      </c>
      <c r="AK116" s="6">
        <v>14223.643502714</v>
      </c>
      <c r="AL116" s="6">
        <v>330.98244656580999</v>
      </c>
      <c r="AM116" s="6">
        <v>93035.839999999997</v>
      </c>
      <c r="AN116" s="6">
        <v>4723.9989998420197</v>
      </c>
      <c r="AO116" s="6">
        <v>25056.863343970301</v>
      </c>
      <c r="AP116" s="6">
        <v>330.98244656580999</v>
      </c>
      <c r="AQ116" s="6">
        <v>93035.839999999997</v>
      </c>
      <c r="AR116" s="6">
        <v>4723.9989998420197</v>
      </c>
      <c r="AS116" s="6">
        <v>14223.643502714</v>
      </c>
      <c r="AT116" s="6">
        <v>0</v>
      </c>
      <c r="AU116" t="s">
        <v>2973</v>
      </c>
      <c r="AV116" t="s">
        <v>2973</v>
      </c>
    </row>
    <row r="117" spans="1:48" x14ac:dyDescent="0.45">
      <c r="A117" s="5" t="s">
        <v>239</v>
      </c>
      <c r="B117">
        <v>1976</v>
      </c>
      <c r="C117" t="s">
        <v>222</v>
      </c>
      <c r="D117">
        <v>1309</v>
      </c>
      <c r="E117" t="s">
        <v>240</v>
      </c>
      <c r="F117" t="s">
        <v>2739</v>
      </c>
      <c r="G117" t="s">
        <v>2747</v>
      </c>
      <c r="H117" t="s">
        <v>2745</v>
      </c>
      <c r="I117" t="s">
        <v>2742</v>
      </c>
      <c r="J117">
        <v>834.64244186039696</v>
      </c>
      <c r="K117">
        <v>1</v>
      </c>
      <c r="L117">
        <v>1</v>
      </c>
      <c r="M117">
        <v>2</v>
      </c>
      <c r="N117" s="6">
        <v>4658204.3609644901</v>
      </c>
      <c r="O117" s="6">
        <v>1863295.8234055899</v>
      </c>
      <c r="P117" s="6">
        <v>1641039.9455109099</v>
      </c>
      <c r="Q117" s="6">
        <v>268886.05628027697</v>
      </c>
      <c r="R117" s="6">
        <v>41039.694128966003</v>
      </c>
      <c r="S117" s="6">
        <v>340657.760283991</v>
      </c>
      <c r="T117" s="6">
        <v>4870273.58</v>
      </c>
      <c r="U117" s="6">
        <v>3602192.3002902302</v>
      </c>
      <c r="V117" s="6">
        <v>7688066.82258086</v>
      </c>
      <c r="W117" s="6">
        <v>783712.76812938799</v>
      </c>
      <c r="X117" s="6">
        <v>0</v>
      </c>
      <c r="Y117" s="6">
        <v>0</v>
      </c>
      <c r="Z117" s="6">
        <v>0</v>
      </c>
      <c r="AA117" s="6">
        <v>0</v>
      </c>
      <c r="AB117" s="6">
        <v>686.28957998908504</v>
      </c>
      <c r="AC117" s="6">
        <v>340657.760283991</v>
      </c>
      <c r="AD117" s="6">
        <v>0</v>
      </c>
      <c r="AE117" s="6">
        <v>0</v>
      </c>
      <c r="AF117" s="6">
        <v>0</v>
      </c>
      <c r="AG117" s="6">
        <v>0</v>
      </c>
      <c r="AH117" s="6">
        <v>0</v>
      </c>
      <c r="AI117" s="6">
        <v>0</v>
      </c>
      <c r="AJ117" s="6">
        <v>8813123.6405742392</v>
      </c>
      <c r="AK117" s="6">
        <v>10559.1606639725</v>
      </c>
      <c r="AL117" s="6">
        <v>330.98244656580999</v>
      </c>
      <c r="AM117" s="6">
        <v>93035.839999999997</v>
      </c>
      <c r="AN117" s="6">
        <v>4723.9989998420197</v>
      </c>
      <c r="AO117" s="6">
        <v>25056.863343970301</v>
      </c>
      <c r="AP117" s="6">
        <v>3753.1860850462999</v>
      </c>
      <c r="AQ117" s="6">
        <v>20687.885194392002</v>
      </c>
      <c r="AR117" s="6">
        <v>10300.3171294616</v>
      </c>
      <c r="AS117" s="6">
        <v>13753.967222293801</v>
      </c>
      <c r="AT117" s="6">
        <v>0</v>
      </c>
      <c r="AU117" t="s">
        <v>2973</v>
      </c>
      <c r="AV117" t="s">
        <v>2973</v>
      </c>
    </row>
    <row r="118" spans="1:48" x14ac:dyDescent="0.45">
      <c r="A118" s="5" t="s">
        <v>241</v>
      </c>
      <c r="B118">
        <v>1976</v>
      </c>
      <c r="C118" t="s">
        <v>222</v>
      </c>
      <c r="D118">
        <v>3218</v>
      </c>
      <c r="E118" t="s">
        <v>242</v>
      </c>
      <c r="F118" t="s">
        <v>2739</v>
      </c>
      <c r="G118" t="s">
        <v>2740</v>
      </c>
      <c r="H118" t="s">
        <v>2741</v>
      </c>
      <c r="I118" t="s">
        <v>2742</v>
      </c>
      <c r="J118">
        <v>596.51176470585301</v>
      </c>
      <c r="K118">
        <v>1</v>
      </c>
      <c r="L118">
        <v>1</v>
      </c>
      <c r="M118">
        <v>2</v>
      </c>
      <c r="N118" s="6">
        <v>3784731.4838409601</v>
      </c>
      <c r="O118" s="6">
        <v>1003052.09594428</v>
      </c>
      <c r="P118" s="6">
        <v>1167249.0982414901</v>
      </c>
      <c r="Q118" s="6">
        <v>192170.54859926799</v>
      </c>
      <c r="R118" s="6">
        <v>29330.7159330301</v>
      </c>
      <c r="S118" s="6">
        <v>243465.167305421</v>
      </c>
      <c r="T118" s="6">
        <v>3602078.13</v>
      </c>
      <c r="U118" s="6">
        <v>2574455.81255903</v>
      </c>
      <c r="V118" s="6">
        <v>5626134.1281925002</v>
      </c>
      <c r="W118" s="6">
        <v>549909.32911448996</v>
      </c>
      <c r="X118" s="6">
        <v>0</v>
      </c>
      <c r="Y118" s="6">
        <v>0</v>
      </c>
      <c r="Z118" s="6">
        <v>0</v>
      </c>
      <c r="AA118" s="6">
        <v>0</v>
      </c>
      <c r="AB118" s="6">
        <v>490.485252039221</v>
      </c>
      <c r="AC118" s="6">
        <v>243465.167305421</v>
      </c>
      <c r="AD118" s="6">
        <v>0</v>
      </c>
      <c r="AE118" s="6">
        <v>0</v>
      </c>
      <c r="AF118" s="6">
        <v>0</v>
      </c>
      <c r="AG118" s="6">
        <v>0</v>
      </c>
      <c r="AH118" s="6">
        <v>0</v>
      </c>
      <c r="AI118" s="6">
        <v>0</v>
      </c>
      <c r="AJ118" s="6">
        <v>6419999.1098644501</v>
      </c>
      <c r="AK118" s="6">
        <v>10762.5691389846</v>
      </c>
      <c r="AL118" s="6">
        <v>330.98244656580999</v>
      </c>
      <c r="AM118" s="6">
        <v>93035.839999999997</v>
      </c>
      <c r="AN118" s="6">
        <v>4723.9989998420197</v>
      </c>
      <c r="AO118" s="6">
        <v>25056.863343970301</v>
      </c>
      <c r="AP118" s="6">
        <v>330.98244656580999</v>
      </c>
      <c r="AQ118" s="6">
        <v>93035.839999999997</v>
      </c>
      <c r="AR118" s="6">
        <v>4723.9989998420197</v>
      </c>
      <c r="AS118" s="6">
        <v>14223.643502714</v>
      </c>
      <c r="AT118" s="6">
        <v>0</v>
      </c>
      <c r="AU118" t="s">
        <v>2973</v>
      </c>
      <c r="AV118" t="s">
        <v>2973</v>
      </c>
    </row>
    <row r="119" spans="1:48" x14ac:dyDescent="0.45">
      <c r="A119" s="5" t="s">
        <v>243</v>
      </c>
      <c r="B119">
        <v>1976</v>
      </c>
      <c r="C119" t="s">
        <v>222</v>
      </c>
      <c r="D119">
        <v>3219</v>
      </c>
      <c r="E119" t="s">
        <v>244</v>
      </c>
      <c r="F119" t="s">
        <v>2739</v>
      </c>
      <c r="G119" t="s">
        <v>2740</v>
      </c>
      <c r="H119" t="s">
        <v>2741</v>
      </c>
      <c r="I119" t="s">
        <v>2742</v>
      </c>
      <c r="J119">
        <v>392.99999999999898</v>
      </c>
      <c r="K119">
        <v>1</v>
      </c>
      <c r="L119">
        <v>1</v>
      </c>
      <c r="M119">
        <v>2</v>
      </c>
      <c r="N119" s="6">
        <v>2532912.6042169398</v>
      </c>
      <c r="O119" s="6">
        <v>707240.41978728306</v>
      </c>
      <c r="P119" s="6">
        <v>837179.72856091801</v>
      </c>
      <c r="Q119" s="6">
        <v>126607.772164818</v>
      </c>
      <c r="R119" s="6">
        <v>19323.963153291501</v>
      </c>
      <c r="S119" s="6">
        <v>160402.21905466</v>
      </c>
      <c r="T119" s="6">
        <v>2527135.1</v>
      </c>
      <c r="U119" s="6">
        <v>1696129.3878832499</v>
      </c>
      <c r="V119" s="6">
        <v>3844935.6577689699</v>
      </c>
      <c r="W119" s="6">
        <v>378005.68358900899</v>
      </c>
      <c r="X119" s="6">
        <v>0</v>
      </c>
      <c r="Y119" s="6">
        <v>0</v>
      </c>
      <c r="Z119" s="6">
        <v>0</v>
      </c>
      <c r="AA119" s="6">
        <v>0</v>
      </c>
      <c r="AB119" s="6">
        <v>323.14652527677498</v>
      </c>
      <c r="AC119" s="6">
        <v>160402.21905466</v>
      </c>
      <c r="AD119" s="6">
        <v>0</v>
      </c>
      <c r="AE119" s="6">
        <v>0</v>
      </c>
      <c r="AF119" s="6">
        <v>0</v>
      </c>
      <c r="AG119" s="6">
        <v>0</v>
      </c>
      <c r="AH119" s="6">
        <v>0</v>
      </c>
      <c r="AI119" s="6">
        <v>0</v>
      </c>
      <c r="AJ119" s="6">
        <v>4383666.7069379101</v>
      </c>
      <c r="AK119" s="6">
        <v>11154.368211038</v>
      </c>
      <c r="AL119" s="6">
        <v>330.98244656580999</v>
      </c>
      <c r="AM119" s="6">
        <v>93035.839999999997</v>
      </c>
      <c r="AN119" s="6">
        <v>4723.9989998420197</v>
      </c>
      <c r="AO119" s="6">
        <v>25056.863343970301</v>
      </c>
      <c r="AP119" s="6">
        <v>330.98244656580999</v>
      </c>
      <c r="AQ119" s="6">
        <v>93035.839999999997</v>
      </c>
      <c r="AR119" s="6">
        <v>4723.9989998420197</v>
      </c>
      <c r="AS119" s="6">
        <v>14223.643502714</v>
      </c>
      <c r="AT119" s="6">
        <v>0</v>
      </c>
      <c r="AU119" t="s">
        <v>2973</v>
      </c>
      <c r="AV119" t="s">
        <v>2973</v>
      </c>
    </row>
    <row r="120" spans="1:48" x14ac:dyDescent="0.45">
      <c r="A120" s="5" t="s">
        <v>245</v>
      </c>
      <c r="B120">
        <v>1976</v>
      </c>
      <c r="C120" t="s">
        <v>222</v>
      </c>
      <c r="D120">
        <v>246</v>
      </c>
      <c r="E120" t="s">
        <v>246</v>
      </c>
      <c r="F120" t="s">
        <v>2739</v>
      </c>
      <c r="G120" t="s">
        <v>2740</v>
      </c>
      <c r="H120" t="s">
        <v>2741</v>
      </c>
      <c r="I120" t="s">
        <v>2742</v>
      </c>
      <c r="J120">
        <v>487.35092436962498</v>
      </c>
      <c r="K120">
        <v>1</v>
      </c>
      <c r="L120">
        <v>1</v>
      </c>
      <c r="M120">
        <v>2</v>
      </c>
      <c r="N120" s="6">
        <v>3536984.46659791</v>
      </c>
      <c r="O120" s="6">
        <v>925461.13751888904</v>
      </c>
      <c r="P120" s="6">
        <v>964352.72696015902</v>
      </c>
      <c r="Q120" s="6">
        <v>157003.59999212</v>
      </c>
      <c r="R120" s="6">
        <v>23963.234873387399</v>
      </c>
      <c r="S120" s="6">
        <v>198911.37335172499</v>
      </c>
      <c r="T120" s="6">
        <v>3504431.26</v>
      </c>
      <c r="U120" s="6">
        <v>2103333.9059424698</v>
      </c>
      <c r="V120" s="6">
        <v>4959069.3305700803</v>
      </c>
      <c r="W120" s="6">
        <v>648295.10825330601</v>
      </c>
      <c r="X120" s="6">
        <v>0</v>
      </c>
      <c r="Y120" s="6">
        <v>0</v>
      </c>
      <c r="Z120" s="6">
        <v>0</v>
      </c>
      <c r="AA120" s="6">
        <v>0</v>
      </c>
      <c r="AB120" s="6">
        <v>400.72711908516197</v>
      </c>
      <c r="AC120" s="6">
        <v>198911.37335172499</v>
      </c>
      <c r="AD120" s="6">
        <v>0</v>
      </c>
      <c r="AE120" s="6">
        <v>0</v>
      </c>
      <c r="AF120" s="6">
        <v>0</v>
      </c>
      <c r="AG120" s="6">
        <v>0</v>
      </c>
      <c r="AH120" s="6">
        <v>0</v>
      </c>
      <c r="AI120" s="6">
        <v>0</v>
      </c>
      <c r="AJ120" s="6">
        <v>5806676.5392942</v>
      </c>
      <c r="AK120" s="6">
        <v>11914.7748551108</v>
      </c>
      <c r="AL120" s="6">
        <v>330.98244656580999</v>
      </c>
      <c r="AM120" s="6">
        <v>93035.839999999997</v>
      </c>
      <c r="AN120" s="6">
        <v>4723.9989998420197</v>
      </c>
      <c r="AO120" s="6">
        <v>25056.863343970301</v>
      </c>
      <c r="AP120" s="6">
        <v>330.98244656580999</v>
      </c>
      <c r="AQ120" s="6">
        <v>93035.839999999997</v>
      </c>
      <c r="AR120" s="6">
        <v>4723.9989998420197</v>
      </c>
      <c r="AS120" s="6">
        <v>14223.643502714</v>
      </c>
      <c r="AT120" s="6">
        <v>0</v>
      </c>
      <c r="AU120" t="s">
        <v>2973</v>
      </c>
      <c r="AV120" t="s">
        <v>2973</v>
      </c>
    </row>
    <row r="121" spans="1:48" x14ac:dyDescent="0.45">
      <c r="A121" s="5" t="s">
        <v>247</v>
      </c>
      <c r="B121">
        <v>1976</v>
      </c>
      <c r="C121" t="s">
        <v>222</v>
      </c>
      <c r="D121">
        <v>245</v>
      </c>
      <c r="E121" t="s">
        <v>248</v>
      </c>
      <c r="F121" t="s">
        <v>2739</v>
      </c>
      <c r="G121" t="s">
        <v>2740</v>
      </c>
      <c r="H121" t="s">
        <v>2741</v>
      </c>
      <c r="I121" t="s">
        <v>2742</v>
      </c>
      <c r="J121">
        <v>386.07058823522999</v>
      </c>
      <c r="K121">
        <v>1</v>
      </c>
      <c r="L121">
        <v>1</v>
      </c>
      <c r="M121">
        <v>2</v>
      </c>
      <c r="N121" s="6">
        <v>2599605.68354287</v>
      </c>
      <c r="O121" s="6">
        <v>710548.29311922903</v>
      </c>
      <c r="P121" s="6">
        <v>833280.21981804306</v>
      </c>
      <c r="Q121" s="6">
        <v>124375.412404131</v>
      </c>
      <c r="R121" s="6">
        <v>18983.241276405101</v>
      </c>
      <c r="S121" s="6">
        <v>157573.99253096501</v>
      </c>
      <c r="T121" s="6">
        <v>2620569.77</v>
      </c>
      <c r="U121" s="6">
        <v>1666223.08016068</v>
      </c>
      <c r="V121" s="6">
        <v>3722158.06092049</v>
      </c>
      <c r="W121" s="6">
        <v>564317.34046385903</v>
      </c>
      <c r="X121" s="6">
        <v>0</v>
      </c>
      <c r="Y121" s="6">
        <v>0</v>
      </c>
      <c r="Z121" s="6">
        <v>0</v>
      </c>
      <c r="AA121" s="6">
        <v>0</v>
      </c>
      <c r="AB121" s="6">
        <v>317.44877633530598</v>
      </c>
      <c r="AC121" s="6">
        <v>157573.99253096501</v>
      </c>
      <c r="AD121" s="6">
        <v>0</v>
      </c>
      <c r="AE121" s="6">
        <v>0</v>
      </c>
      <c r="AF121" s="6">
        <v>0</v>
      </c>
      <c r="AG121" s="6">
        <v>0</v>
      </c>
      <c r="AH121" s="6">
        <v>0</v>
      </c>
      <c r="AI121" s="6">
        <v>0</v>
      </c>
      <c r="AJ121" s="6">
        <v>4444366.8426916497</v>
      </c>
      <c r="AK121" s="6">
        <v>11511.7985625565</v>
      </c>
      <c r="AL121" s="6">
        <v>330.98244656580999</v>
      </c>
      <c r="AM121" s="6">
        <v>93035.839999999997</v>
      </c>
      <c r="AN121" s="6">
        <v>4723.9989998420197</v>
      </c>
      <c r="AO121" s="6">
        <v>25056.863343970301</v>
      </c>
      <c r="AP121" s="6">
        <v>330.98244656580999</v>
      </c>
      <c r="AQ121" s="6">
        <v>93035.839999999997</v>
      </c>
      <c r="AR121" s="6">
        <v>4723.9989998420197</v>
      </c>
      <c r="AS121" s="6">
        <v>14223.643502714</v>
      </c>
      <c r="AT121" s="6">
        <v>0</v>
      </c>
      <c r="AU121" t="s">
        <v>2973</v>
      </c>
      <c r="AV121" t="s">
        <v>2973</v>
      </c>
    </row>
    <row r="122" spans="1:48" x14ac:dyDescent="0.45">
      <c r="A122" s="5" t="s">
        <v>249</v>
      </c>
      <c r="B122">
        <v>1976</v>
      </c>
      <c r="C122" t="s">
        <v>222</v>
      </c>
      <c r="D122">
        <v>1310</v>
      </c>
      <c r="E122" t="s">
        <v>250</v>
      </c>
      <c r="F122" t="s">
        <v>2739</v>
      </c>
      <c r="G122" t="s">
        <v>2747</v>
      </c>
      <c r="H122" t="s">
        <v>2745</v>
      </c>
      <c r="I122" t="s">
        <v>2742</v>
      </c>
      <c r="J122">
        <v>319.70222067481097</v>
      </c>
      <c r="K122">
        <v>1</v>
      </c>
      <c r="L122">
        <v>1</v>
      </c>
      <c r="M122">
        <v>2</v>
      </c>
      <c r="N122" s="6">
        <v>1780945.3104210601</v>
      </c>
      <c r="O122" s="6">
        <v>984805.73626666702</v>
      </c>
      <c r="P122" s="6">
        <v>760743.808299436</v>
      </c>
      <c r="Q122" s="6">
        <v>102994.366197921</v>
      </c>
      <c r="R122" s="6">
        <v>15719.8827795052</v>
      </c>
      <c r="S122" s="6">
        <v>130485.86675048999</v>
      </c>
      <c r="T122" s="6">
        <v>2265422</v>
      </c>
      <c r="U122" s="6">
        <v>1379787.10396459</v>
      </c>
      <c r="V122" s="6">
        <v>3355439.1352251698</v>
      </c>
      <c r="W122" s="6">
        <v>289507.09173754702</v>
      </c>
      <c r="X122" s="6">
        <v>0</v>
      </c>
      <c r="Y122" s="6">
        <v>0</v>
      </c>
      <c r="Z122" s="6">
        <v>0</v>
      </c>
      <c r="AA122" s="6">
        <v>0</v>
      </c>
      <c r="AB122" s="6">
        <v>262.87700186853499</v>
      </c>
      <c r="AC122" s="6">
        <v>130485.86675048999</v>
      </c>
      <c r="AD122" s="6">
        <v>0</v>
      </c>
      <c r="AE122" s="6">
        <v>0</v>
      </c>
      <c r="AF122" s="6">
        <v>0</v>
      </c>
      <c r="AG122" s="6">
        <v>0</v>
      </c>
      <c r="AH122" s="6">
        <v>0</v>
      </c>
      <c r="AI122" s="6">
        <v>0</v>
      </c>
      <c r="AJ122" s="6">
        <v>3775694.9707150799</v>
      </c>
      <c r="AK122" s="6">
        <v>11810.0367358898</v>
      </c>
      <c r="AL122" s="6">
        <v>330.98244656580999</v>
      </c>
      <c r="AM122" s="6">
        <v>93035.839999999997</v>
      </c>
      <c r="AN122" s="6">
        <v>4723.9989998420197</v>
      </c>
      <c r="AO122" s="6">
        <v>25056.863343970301</v>
      </c>
      <c r="AP122" s="6">
        <v>3753.1860850462999</v>
      </c>
      <c r="AQ122" s="6">
        <v>20687.885194392002</v>
      </c>
      <c r="AR122" s="6">
        <v>10300.3171294616</v>
      </c>
      <c r="AS122" s="6">
        <v>13753.967222293801</v>
      </c>
      <c r="AT122" s="6">
        <v>0</v>
      </c>
      <c r="AU122" t="s">
        <v>2973</v>
      </c>
      <c r="AV122" t="s">
        <v>2973</v>
      </c>
    </row>
    <row r="123" spans="1:48" x14ac:dyDescent="0.45">
      <c r="A123" s="5" t="s">
        <v>251</v>
      </c>
      <c r="B123">
        <v>1976</v>
      </c>
      <c r="C123" t="s">
        <v>222</v>
      </c>
      <c r="D123">
        <v>253</v>
      </c>
      <c r="E123" t="s">
        <v>252</v>
      </c>
      <c r="F123" t="s">
        <v>2739</v>
      </c>
      <c r="G123" t="s">
        <v>2744</v>
      </c>
      <c r="H123" t="s">
        <v>2745</v>
      </c>
      <c r="I123" t="s">
        <v>2742</v>
      </c>
      <c r="J123">
        <v>414.54638553517799</v>
      </c>
      <c r="K123">
        <v>1</v>
      </c>
      <c r="L123">
        <v>2</v>
      </c>
      <c r="M123">
        <v>2</v>
      </c>
      <c r="N123" s="6">
        <v>2912261.4881131598</v>
      </c>
      <c r="O123" s="6">
        <v>2050985.20558534</v>
      </c>
      <c r="P123" s="6">
        <v>1212154.1084032799</v>
      </c>
      <c r="Q123" s="6">
        <v>133549.09499131501</v>
      </c>
      <c r="R123" s="6">
        <v>23093.4073267481</v>
      </c>
      <c r="S123" s="6">
        <v>169196.336236467</v>
      </c>
      <c r="T123" s="6">
        <v>4542922.93</v>
      </c>
      <c r="U123" s="6">
        <v>1789120.3744198401</v>
      </c>
      <c r="V123" s="6">
        <v>5218474.3937223405</v>
      </c>
      <c r="W123" s="6">
        <v>1113228.0475319701</v>
      </c>
      <c r="X123" s="6">
        <v>0</v>
      </c>
      <c r="Y123" s="6">
        <v>0</v>
      </c>
      <c r="Z123" s="6">
        <v>0</v>
      </c>
      <c r="AA123" s="6">
        <v>0</v>
      </c>
      <c r="AB123" s="6">
        <v>340.86316552605399</v>
      </c>
      <c r="AC123" s="6">
        <v>169196.336236467</v>
      </c>
      <c r="AD123" s="6">
        <v>0</v>
      </c>
      <c r="AE123" s="6">
        <v>0</v>
      </c>
      <c r="AF123" s="6">
        <v>0</v>
      </c>
      <c r="AG123" s="6">
        <v>0</v>
      </c>
      <c r="AH123" s="6">
        <v>0</v>
      </c>
      <c r="AI123" s="6">
        <v>0</v>
      </c>
      <c r="AJ123" s="6">
        <v>6501239.6406562999</v>
      </c>
      <c r="AK123" s="6">
        <v>15682.7797021152</v>
      </c>
      <c r="AL123" s="6">
        <v>330.98244656580999</v>
      </c>
      <c r="AM123" s="6">
        <v>93035.839999999997</v>
      </c>
      <c r="AN123" s="6">
        <v>4723.9989998420197</v>
      </c>
      <c r="AO123" s="6">
        <v>25056.863343970301</v>
      </c>
      <c r="AP123" s="6">
        <v>330.98244656580999</v>
      </c>
      <c r="AQ123" s="6">
        <v>40734.411818744898</v>
      </c>
      <c r="AR123" s="6">
        <v>11056.287895915801</v>
      </c>
      <c r="AS123" s="6">
        <v>25056.863343970301</v>
      </c>
      <c r="AT123" s="6">
        <v>0</v>
      </c>
      <c r="AU123" t="s">
        <v>2973</v>
      </c>
      <c r="AV123" t="s">
        <v>2973</v>
      </c>
    </row>
    <row r="124" spans="1:48" x14ac:dyDescent="0.45">
      <c r="A124" s="5" t="s">
        <v>253</v>
      </c>
      <c r="B124">
        <v>1976</v>
      </c>
      <c r="C124" t="s">
        <v>222</v>
      </c>
      <c r="D124">
        <v>1317</v>
      </c>
      <c r="E124" t="s">
        <v>254</v>
      </c>
      <c r="F124" t="s">
        <v>2739</v>
      </c>
      <c r="G124" t="s">
        <v>2740</v>
      </c>
      <c r="H124" t="s">
        <v>2741</v>
      </c>
      <c r="I124" t="s">
        <v>2742</v>
      </c>
      <c r="J124">
        <v>582.57647058819396</v>
      </c>
      <c r="K124">
        <v>1</v>
      </c>
      <c r="L124">
        <v>1</v>
      </c>
      <c r="M124">
        <v>2</v>
      </c>
      <c r="N124" s="6">
        <v>3981681.9536400698</v>
      </c>
      <c r="O124" s="6">
        <v>981743.40834113001</v>
      </c>
      <c r="P124" s="6">
        <v>1128557.6438597799</v>
      </c>
      <c r="Q124" s="6">
        <v>188279.19352878901</v>
      </c>
      <c r="R124" s="6">
        <v>28645.512090638498</v>
      </c>
      <c r="S124" s="6">
        <v>237777.50292971701</v>
      </c>
      <c r="T124" s="6">
        <v>3794594.55</v>
      </c>
      <c r="U124" s="6">
        <v>2514313.1614604099</v>
      </c>
      <c r="V124" s="6">
        <v>5782366.50621155</v>
      </c>
      <c r="W124" s="6">
        <v>526062.17837308894</v>
      </c>
      <c r="X124" s="6">
        <v>0</v>
      </c>
      <c r="Y124" s="6">
        <v>0</v>
      </c>
      <c r="Z124" s="6">
        <v>0</v>
      </c>
      <c r="AA124" s="6">
        <v>0</v>
      </c>
      <c r="AB124" s="6">
        <v>479.026875772474</v>
      </c>
      <c r="AC124" s="6">
        <v>237777.50292971701</v>
      </c>
      <c r="AD124" s="6">
        <v>0</v>
      </c>
      <c r="AE124" s="6">
        <v>0</v>
      </c>
      <c r="AF124" s="6">
        <v>0</v>
      </c>
      <c r="AG124" s="6">
        <v>0</v>
      </c>
      <c r="AH124" s="6">
        <v>0</v>
      </c>
      <c r="AI124" s="6">
        <v>0</v>
      </c>
      <c r="AJ124" s="6">
        <v>6546685.2143901195</v>
      </c>
      <c r="AK124" s="6">
        <v>11237.4693193158</v>
      </c>
      <c r="AL124" s="6">
        <v>330.98244656580999</v>
      </c>
      <c r="AM124" s="6">
        <v>93035.839999999997</v>
      </c>
      <c r="AN124" s="6">
        <v>4723.9989998420197</v>
      </c>
      <c r="AO124" s="6">
        <v>25056.863343970301</v>
      </c>
      <c r="AP124" s="6">
        <v>330.98244656580999</v>
      </c>
      <c r="AQ124" s="6">
        <v>93035.839999999997</v>
      </c>
      <c r="AR124" s="6">
        <v>4723.9989998420197</v>
      </c>
      <c r="AS124" s="6">
        <v>14223.643502714</v>
      </c>
      <c r="AT124" s="6">
        <v>0</v>
      </c>
      <c r="AU124" t="s">
        <v>2973</v>
      </c>
      <c r="AV124" t="s">
        <v>2973</v>
      </c>
    </row>
    <row r="125" spans="1:48" x14ac:dyDescent="0.45">
      <c r="A125" s="5" t="s">
        <v>255</v>
      </c>
      <c r="B125">
        <v>1976</v>
      </c>
      <c r="C125" t="s">
        <v>222</v>
      </c>
      <c r="D125">
        <v>1338</v>
      </c>
      <c r="E125" t="s">
        <v>256</v>
      </c>
      <c r="F125" t="s">
        <v>2750</v>
      </c>
      <c r="G125" t="s">
        <v>2744</v>
      </c>
      <c r="H125" t="s">
        <v>2745</v>
      </c>
      <c r="I125" t="s">
        <v>2742</v>
      </c>
      <c r="J125">
        <v>130.35170673243101</v>
      </c>
      <c r="K125">
        <v>1</v>
      </c>
      <c r="L125">
        <v>2</v>
      </c>
      <c r="M125">
        <v>2</v>
      </c>
      <c r="N125" s="6">
        <v>1628508.10913202</v>
      </c>
      <c r="O125" s="6">
        <v>593352.80841845297</v>
      </c>
      <c r="P125" s="6">
        <v>366886.66541257099</v>
      </c>
      <c r="Q125" s="6">
        <v>41993.738390012302</v>
      </c>
      <c r="R125" s="6">
        <v>6409.4442184889604</v>
      </c>
      <c r="S125" s="6">
        <v>53202.806660163398</v>
      </c>
      <c r="T125" s="6">
        <v>2074572.24</v>
      </c>
      <c r="U125" s="6">
        <v>562578.52557153895</v>
      </c>
      <c r="V125" s="6">
        <v>2354991.9998674002</v>
      </c>
      <c r="W125" s="6">
        <v>282051.58325860603</v>
      </c>
      <c r="X125" s="6">
        <v>0</v>
      </c>
      <c r="Y125" s="6">
        <v>0</v>
      </c>
      <c r="Z125" s="6">
        <v>0</v>
      </c>
      <c r="AA125" s="6">
        <v>0</v>
      </c>
      <c r="AB125" s="6">
        <v>107.182445533034</v>
      </c>
      <c r="AC125" s="6">
        <v>53202.806660163398</v>
      </c>
      <c r="AD125" s="6">
        <v>0</v>
      </c>
      <c r="AE125" s="6">
        <v>0</v>
      </c>
      <c r="AF125" s="6">
        <v>0</v>
      </c>
      <c r="AG125" s="6">
        <v>0</v>
      </c>
      <c r="AH125" s="6">
        <v>0</v>
      </c>
      <c r="AI125" s="6">
        <v>0</v>
      </c>
      <c r="AJ125" s="6">
        <v>2690353.5722317002</v>
      </c>
      <c r="AK125" s="6">
        <v>20639.1894641941</v>
      </c>
      <c r="AL125" s="6">
        <v>330.98244656580999</v>
      </c>
      <c r="AM125" s="6">
        <v>93035.839999999997</v>
      </c>
      <c r="AN125" s="6">
        <v>4723.9989998420197</v>
      </c>
      <c r="AO125" s="6">
        <v>25056.863343970301</v>
      </c>
      <c r="AP125" s="6">
        <v>330.98244656580999</v>
      </c>
      <c r="AQ125" s="6">
        <v>40734.411818744898</v>
      </c>
      <c r="AR125" s="6">
        <v>11056.287895915801</v>
      </c>
      <c r="AS125" s="6">
        <v>25056.863343970301</v>
      </c>
      <c r="AT125" s="6">
        <v>0</v>
      </c>
      <c r="AU125" t="s">
        <v>2973</v>
      </c>
      <c r="AV125" t="s">
        <v>2973</v>
      </c>
    </row>
    <row r="126" spans="1:48" x14ac:dyDescent="0.45">
      <c r="A126" s="5" t="s">
        <v>257</v>
      </c>
      <c r="B126">
        <v>1976</v>
      </c>
      <c r="C126" t="s">
        <v>222</v>
      </c>
      <c r="D126">
        <v>252</v>
      </c>
      <c r="E126" t="s">
        <v>258</v>
      </c>
      <c r="F126" t="s">
        <v>2739</v>
      </c>
      <c r="G126" t="s">
        <v>2744</v>
      </c>
      <c r="H126" t="s">
        <v>2745</v>
      </c>
      <c r="I126" t="s">
        <v>2742</v>
      </c>
      <c r="J126">
        <v>1345.7234531493</v>
      </c>
      <c r="K126">
        <v>1</v>
      </c>
      <c r="L126">
        <v>1</v>
      </c>
      <c r="M126">
        <v>2</v>
      </c>
      <c r="N126" s="6">
        <v>7474383.0705427397</v>
      </c>
      <c r="O126" s="6">
        <v>4076191.1730575901</v>
      </c>
      <c r="P126" s="6">
        <v>2840724.0378600098</v>
      </c>
      <c r="Q126" s="6">
        <v>433534.474181119</v>
      </c>
      <c r="R126" s="6">
        <v>67969.746623861196</v>
      </c>
      <c r="S126" s="6">
        <v>549254.52447595098</v>
      </c>
      <c r="T126" s="6">
        <v>9084860.7799999993</v>
      </c>
      <c r="U126" s="6">
        <v>5807941.7222653097</v>
      </c>
      <c r="V126" s="6">
        <v>12967492.6095291</v>
      </c>
      <c r="W126" s="6">
        <v>1924203.36383581</v>
      </c>
      <c r="X126" s="6">
        <v>0</v>
      </c>
      <c r="Y126" s="6">
        <v>0</v>
      </c>
      <c r="Z126" s="6">
        <v>0</v>
      </c>
      <c r="AA126" s="6">
        <v>0</v>
      </c>
      <c r="AB126" s="6">
        <v>1106.5289004291601</v>
      </c>
      <c r="AC126" s="6">
        <v>549254.52447595098</v>
      </c>
      <c r="AD126" s="6">
        <v>0</v>
      </c>
      <c r="AE126" s="6">
        <v>0</v>
      </c>
      <c r="AF126" s="6">
        <v>0</v>
      </c>
      <c r="AG126" s="6">
        <v>0</v>
      </c>
      <c r="AH126" s="6">
        <v>0</v>
      </c>
      <c r="AI126" s="6">
        <v>0</v>
      </c>
      <c r="AJ126" s="6">
        <v>15442057.0267413</v>
      </c>
      <c r="AK126" s="6">
        <v>11474.9111272478</v>
      </c>
      <c r="AL126" s="6">
        <v>330.98244656580999</v>
      </c>
      <c r="AM126" s="6">
        <v>93035.839999999997</v>
      </c>
      <c r="AN126" s="6">
        <v>4723.9989998420197</v>
      </c>
      <c r="AO126" s="6">
        <v>25056.863343970301</v>
      </c>
      <c r="AP126" s="6">
        <v>330.98244656580999</v>
      </c>
      <c r="AQ126" s="6">
        <v>40734.411818744898</v>
      </c>
      <c r="AR126" s="6">
        <v>11056.287895915801</v>
      </c>
      <c r="AS126" s="6">
        <v>25056.863343970301</v>
      </c>
      <c r="AT126" s="6">
        <v>0</v>
      </c>
      <c r="AU126" t="s">
        <v>2973</v>
      </c>
      <c r="AV126" t="s">
        <v>2973</v>
      </c>
    </row>
    <row r="127" spans="1:48" x14ac:dyDescent="0.45">
      <c r="A127" s="5" t="s">
        <v>259</v>
      </c>
      <c r="B127">
        <v>1976</v>
      </c>
      <c r="C127" t="s">
        <v>222</v>
      </c>
      <c r="D127">
        <v>5292</v>
      </c>
      <c r="E127" t="s">
        <v>260</v>
      </c>
      <c r="F127" t="s">
        <v>2739</v>
      </c>
      <c r="G127" t="s">
        <v>2747</v>
      </c>
      <c r="H127" t="s">
        <v>2745</v>
      </c>
      <c r="I127" t="s">
        <v>2742</v>
      </c>
      <c r="J127">
        <v>710.93506644508295</v>
      </c>
      <c r="K127">
        <v>1</v>
      </c>
      <c r="L127">
        <v>1</v>
      </c>
      <c r="M127">
        <v>2</v>
      </c>
      <c r="N127" s="6">
        <v>3843171.40011277</v>
      </c>
      <c r="O127" s="6">
        <v>1523269.2528373599</v>
      </c>
      <c r="P127" s="6">
        <v>1402259.37358782</v>
      </c>
      <c r="Q127" s="6">
        <v>229032.836937555</v>
      </c>
      <c r="R127" s="6">
        <v>34956.954270655697</v>
      </c>
      <c r="S127" s="6">
        <v>290166.82509303797</v>
      </c>
      <c r="T127" s="6">
        <v>3964400.1</v>
      </c>
      <c r="U127" s="6">
        <v>3068289.71774616</v>
      </c>
      <c r="V127" s="6">
        <v>6372960.38721311</v>
      </c>
      <c r="W127" s="6">
        <v>659144.860058686</v>
      </c>
      <c r="X127" s="6">
        <v>0</v>
      </c>
      <c r="Y127" s="6">
        <v>0</v>
      </c>
      <c r="Z127" s="6">
        <v>0</v>
      </c>
      <c r="AA127" s="6">
        <v>0</v>
      </c>
      <c r="AB127" s="6">
        <v>584.57047434896106</v>
      </c>
      <c r="AC127" s="6">
        <v>290166.82509303797</v>
      </c>
      <c r="AD127" s="6">
        <v>0</v>
      </c>
      <c r="AE127" s="6">
        <v>0</v>
      </c>
      <c r="AF127" s="6">
        <v>0</v>
      </c>
      <c r="AG127" s="6">
        <v>0</v>
      </c>
      <c r="AH127" s="6">
        <v>0</v>
      </c>
      <c r="AI127" s="6">
        <v>0</v>
      </c>
      <c r="AJ127" s="6">
        <v>7322856.6428391803</v>
      </c>
      <c r="AK127" s="6">
        <v>10300.3171294616</v>
      </c>
      <c r="AL127" s="6">
        <v>330.98244656580999</v>
      </c>
      <c r="AM127" s="6">
        <v>93035.839999999997</v>
      </c>
      <c r="AN127" s="6">
        <v>4723.9989998420197</v>
      </c>
      <c r="AO127" s="6">
        <v>25056.863343970301</v>
      </c>
      <c r="AP127" s="6">
        <v>3753.1860850462999</v>
      </c>
      <c r="AQ127" s="6">
        <v>20687.885194392002</v>
      </c>
      <c r="AR127" s="6">
        <v>10300.3171294616</v>
      </c>
      <c r="AS127" s="6">
        <v>13753.967222293801</v>
      </c>
      <c r="AT127" s="6">
        <v>0</v>
      </c>
      <c r="AU127" t="s">
        <v>2973</v>
      </c>
      <c r="AV127" t="s">
        <v>2973</v>
      </c>
    </row>
    <row r="128" spans="1:48" x14ac:dyDescent="0.45">
      <c r="A128" s="5" t="s">
        <v>261</v>
      </c>
      <c r="B128">
        <v>1976</v>
      </c>
      <c r="C128" t="s">
        <v>222</v>
      </c>
      <c r="D128">
        <v>249</v>
      </c>
      <c r="E128" t="s">
        <v>262</v>
      </c>
      <c r="F128" t="s">
        <v>2739</v>
      </c>
      <c r="G128" t="s">
        <v>2747</v>
      </c>
      <c r="H128" t="s">
        <v>2745</v>
      </c>
      <c r="I128" t="s">
        <v>2742</v>
      </c>
      <c r="J128">
        <v>674.58781758264695</v>
      </c>
      <c r="K128">
        <v>1</v>
      </c>
      <c r="L128">
        <v>1</v>
      </c>
      <c r="M128">
        <v>2</v>
      </c>
      <c r="N128" s="6">
        <v>3831559.7527872398</v>
      </c>
      <c r="O128" s="6">
        <v>1679790.3860146301</v>
      </c>
      <c r="P128" s="6">
        <v>1459522.89810822</v>
      </c>
      <c r="Q128" s="6">
        <v>217323.30970398401</v>
      </c>
      <c r="R128" s="6">
        <v>33169.745879456597</v>
      </c>
      <c r="S128" s="6">
        <v>275331.763072512</v>
      </c>
      <c r="T128" s="6">
        <v>4309945.68</v>
      </c>
      <c r="U128" s="6">
        <v>2911420.41249352</v>
      </c>
      <c r="V128" s="6">
        <v>6577472.7986723501</v>
      </c>
      <c r="W128" s="6">
        <v>643338.61008264194</v>
      </c>
      <c r="X128" s="6">
        <v>0</v>
      </c>
      <c r="Y128" s="6">
        <v>0</v>
      </c>
      <c r="Z128" s="6">
        <v>0</v>
      </c>
      <c r="AA128" s="6">
        <v>0</v>
      </c>
      <c r="AB128" s="6">
        <v>554.68373853912306</v>
      </c>
      <c r="AC128" s="6">
        <v>275331.763072512</v>
      </c>
      <c r="AD128" s="6">
        <v>0</v>
      </c>
      <c r="AE128" s="6">
        <v>0</v>
      </c>
      <c r="AF128" s="6">
        <v>0</v>
      </c>
      <c r="AG128" s="6">
        <v>0</v>
      </c>
      <c r="AH128" s="6">
        <v>0</v>
      </c>
      <c r="AI128" s="6">
        <v>0</v>
      </c>
      <c r="AJ128" s="6">
        <v>7496697.8555660304</v>
      </c>
      <c r="AK128" s="6">
        <v>11113.005097587</v>
      </c>
      <c r="AL128" s="6">
        <v>330.98244656580999</v>
      </c>
      <c r="AM128" s="6">
        <v>93035.839999999997</v>
      </c>
      <c r="AN128" s="6">
        <v>4723.9989998420197</v>
      </c>
      <c r="AO128" s="6">
        <v>25056.863343970301</v>
      </c>
      <c r="AP128" s="6">
        <v>3753.1860850462999</v>
      </c>
      <c r="AQ128" s="6">
        <v>20687.885194392002</v>
      </c>
      <c r="AR128" s="6">
        <v>10300.3171294616</v>
      </c>
      <c r="AS128" s="6">
        <v>13753.967222293801</v>
      </c>
      <c r="AT128" s="6">
        <v>0</v>
      </c>
      <c r="AU128" t="s">
        <v>2973</v>
      </c>
      <c r="AV128" t="s">
        <v>2973</v>
      </c>
    </row>
    <row r="129" spans="1:48" x14ac:dyDescent="0.45">
      <c r="A129" s="5" t="s">
        <v>263</v>
      </c>
      <c r="B129">
        <v>1976</v>
      </c>
      <c r="C129" t="s">
        <v>222</v>
      </c>
      <c r="D129">
        <v>3947</v>
      </c>
      <c r="E129" t="s">
        <v>264</v>
      </c>
      <c r="F129" t="s">
        <v>2739</v>
      </c>
      <c r="G129" t="s">
        <v>2740</v>
      </c>
      <c r="H129" t="s">
        <v>2741</v>
      </c>
      <c r="I129" t="s">
        <v>2742</v>
      </c>
      <c r="J129">
        <v>508.70588235290103</v>
      </c>
      <c r="K129">
        <v>1</v>
      </c>
      <c r="L129">
        <v>1</v>
      </c>
      <c r="M129">
        <v>2</v>
      </c>
      <c r="N129" s="6">
        <v>3351050.0417014901</v>
      </c>
      <c r="O129" s="6">
        <v>1007099.49628951</v>
      </c>
      <c r="P129" s="6">
        <v>1029034.07218596</v>
      </c>
      <c r="Q129" s="6">
        <v>163883.25305811499</v>
      </c>
      <c r="R129" s="6">
        <v>25013.2664795169</v>
      </c>
      <c r="S129" s="6">
        <v>207627.359734261</v>
      </c>
      <c r="T129" s="6">
        <v>3380581.41</v>
      </c>
      <c r="U129" s="6">
        <v>2195498.7197146001</v>
      </c>
      <c r="V129" s="6">
        <v>5097971.7934777802</v>
      </c>
      <c r="W129" s="6">
        <v>477690.049879889</v>
      </c>
      <c r="X129" s="6">
        <v>0</v>
      </c>
      <c r="Y129" s="6">
        <v>0</v>
      </c>
      <c r="Z129" s="6">
        <v>0</v>
      </c>
      <c r="AA129" s="6">
        <v>0</v>
      </c>
      <c r="AB129" s="6">
        <v>418.28635692161799</v>
      </c>
      <c r="AC129" s="6">
        <v>207627.359734261</v>
      </c>
      <c r="AD129" s="6">
        <v>0</v>
      </c>
      <c r="AE129" s="6">
        <v>0</v>
      </c>
      <c r="AF129" s="6">
        <v>0</v>
      </c>
      <c r="AG129" s="6">
        <v>0</v>
      </c>
      <c r="AH129" s="6">
        <v>0</v>
      </c>
      <c r="AI129" s="6">
        <v>0</v>
      </c>
      <c r="AJ129" s="6">
        <v>5783707.4894488603</v>
      </c>
      <c r="AK129" s="6">
        <v>11369.452742904499</v>
      </c>
      <c r="AL129" s="6">
        <v>330.98244656580999</v>
      </c>
      <c r="AM129" s="6">
        <v>93035.839999999997</v>
      </c>
      <c r="AN129" s="6">
        <v>4723.9989998420197</v>
      </c>
      <c r="AO129" s="6">
        <v>25056.863343970301</v>
      </c>
      <c r="AP129" s="6">
        <v>330.98244656580999</v>
      </c>
      <c r="AQ129" s="6">
        <v>93035.839999999997</v>
      </c>
      <c r="AR129" s="6">
        <v>4723.9989998420197</v>
      </c>
      <c r="AS129" s="6">
        <v>14223.643502714</v>
      </c>
      <c r="AT129" s="6">
        <v>0</v>
      </c>
      <c r="AU129" t="s">
        <v>2973</v>
      </c>
      <c r="AV129" t="s">
        <v>2973</v>
      </c>
    </row>
    <row r="130" spans="1:48" x14ac:dyDescent="0.45">
      <c r="A130" s="5" t="s">
        <v>265</v>
      </c>
      <c r="B130">
        <v>1976</v>
      </c>
      <c r="C130" t="s">
        <v>222</v>
      </c>
      <c r="D130">
        <v>4646</v>
      </c>
      <c r="E130" t="s">
        <v>266</v>
      </c>
      <c r="F130" t="s">
        <v>2739</v>
      </c>
      <c r="G130" t="s">
        <v>2740</v>
      </c>
      <c r="H130" t="s">
        <v>2741</v>
      </c>
      <c r="I130" t="s">
        <v>2742</v>
      </c>
      <c r="J130">
        <v>575.23503977326402</v>
      </c>
      <c r="K130">
        <v>1</v>
      </c>
      <c r="L130">
        <v>1</v>
      </c>
      <c r="M130">
        <v>2</v>
      </c>
      <c r="N130" s="6">
        <v>4037076.9319427302</v>
      </c>
      <c r="O130" s="6">
        <v>964331.15978478</v>
      </c>
      <c r="P130" s="6">
        <v>1136309.24928962</v>
      </c>
      <c r="Q130" s="6">
        <v>185316.09887235099</v>
      </c>
      <c r="R130" s="6">
        <v>28284.531076490599</v>
      </c>
      <c r="S130" s="6">
        <v>234781.11159701701</v>
      </c>
      <c r="T130" s="6">
        <v>3868689.33</v>
      </c>
      <c r="U130" s="6">
        <v>2482628.6409659698</v>
      </c>
      <c r="V130" s="6">
        <v>5659044.9771074103</v>
      </c>
      <c r="W130" s="6">
        <v>691800.00351677299</v>
      </c>
      <c r="X130" s="6">
        <v>0</v>
      </c>
      <c r="Y130" s="6">
        <v>0</v>
      </c>
      <c r="Z130" s="6">
        <v>0</v>
      </c>
      <c r="AA130" s="6">
        <v>0</v>
      </c>
      <c r="AB130" s="6">
        <v>472.99034178162401</v>
      </c>
      <c r="AC130" s="6">
        <v>234781.11159701701</v>
      </c>
      <c r="AD130" s="6">
        <v>0</v>
      </c>
      <c r="AE130" s="6">
        <v>0</v>
      </c>
      <c r="AF130" s="6">
        <v>0</v>
      </c>
      <c r="AG130" s="6">
        <v>0</v>
      </c>
      <c r="AH130" s="6">
        <v>0</v>
      </c>
      <c r="AI130" s="6">
        <v>0</v>
      </c>
      <c r="AJ130" s="6">
        <v>6586099.0825629896</v>
      </c>
      <c r="AK130" s="6">
        <v>11449.405246869101</v>
      </c>
      <c r="AL130" s="6">
        <v>330.98244656580999</v>
      </c>
      <c r="AM130" s="6">
        <v>93035.839999999997</v>
      </c>
      <c r="AN130" s="6">
        <v>4723.9989998420197</v>
      </c>
      <c r="AO130" s="6">
        <v>25056.863343970301</v>
      </c>
      <c r="AP130" s="6">
        <v>330.98244656580999</v>
      </c>
      <c r="AQ130" s="6">
        <v>93035.839999999997</v>
      </c>
      <c r="AR130" s="6">
        <v>4723.9989998420197</v>
      </c>
      <c r="AS130" s="6">
        <v>14223.643502714</v>
      </c>
      <c r="AT130" s="6">
        <v>0</v>
      </c>
      <c r="AU130" t="s">
        <v>2973</v>
      </c>
      <c r="AV130" t="s">
        <v>2973</v>
      </c>
    </row>
    <row r="131" spans="1:48" x14ac:dyDescent="0.45">
      <c r="A131" s="5" t="s">
        <v>267</v>
      </c>
      <c r="B131">
        <v>1976</v>
      </c>
      <c r="C131" t="s">
        <v>222</v>
      </c>
      <c r="D131">
        <v>247</v>
      </c>
      <c r="E131" t="s">
        <v>268</v>
      </c>
      <c r="F131" t="s">
        <v>2739</v>
      </c>
      <c r="G131" t="s">
        <v>2740</v>
      </c>
      <c r="H131" t="s">
        <v>2741</v>
      </c>
      <c r="I131" t="s">
        <v>2742</v>
      </c>
      <c r="J131">
        <v>542.84117647054097</v>
      </c>
      <c r="K131">
        <v>2</v>
      </c>
      <c r="L131">
        <v>1</v>
      </c>
      <c r="M131">
        <v>2</v>
      </c>
      <c r="N131" s="6">
        <v>3548956.0450554802</v>
      </c>
      <c r="O131" s="6">
        <v>995673.16107255605</v>
      </c>
      <c r="P131" s="6">
        <v>1079821.6466717899</v>
      </c>
      <c r="Q131" s="6">
        <v>174880.183186423</v>
      </c>
      <c r="R131" s="6">
        <v>26691.712193908901</v>
      </c>
      <c r="S131" s="6">
        <v>221559.61653973901</v>
      </c>
      <c r="T131" s="6">
        <v>3483201.19</v>
      </c>
      <c r="U131" s="6">
        <v>2342821.5581801599</v>
      </c>
      <c r="V131" s="6">
        <v>5159977.8453541799</v>
      </c>
      <c r="W131" s="6">
        <v>665598.54852585006</v>
      </c>
      <c r="X131" s="6">
        <v>0</v>
      </c>
      <c r="Y131" s="6">
        <v>0</v>
      </c>
      <c r="Z131" s="6">
        <v>0</v>
      </c>
      <c r="AA131" s="6">
        <v>0</v>
      </c>
      <c r="AB131" s="6">
        <v>446.35430013641798</v>
      </c>
      <c r="AC131" s="6">
        <v>221559.61653973901</v>
      </c>
      <c r="AD131" s="6">
        <v>0</v>
      </c>
      <c r="AE131" s="6">
        <v>0</v>
      </c>
      <c r="AF131" s="6">
        <v>0</v>
      </c>
      <c r="AG131" s="6">
        <v>0</v>
      </c>
      <c r="AH131" s="6">
        <v>0</v>
      </c>
      <c r="AI131" s="6">
        <v>0</v>
      </c>
      <c r="AJ131" s="6">
        <v>6047582.3647199096</v>
      </c>
      <c r="AK131" s="6">
        <v>11140.6109684609</v>
      </c>
      <c r="AL131" s="6">
        <v>330.98244656580999</v>
      </c>
      <c r="AM131" s="6">
        <v>93035.839999999997</v>
      </c>
      <c r="AN131" s="6">
        <v>4723.9989998420197</v>
      </c>
      <c r="AO131" s="6">
        <v>25056.863343970301</v>
      </c>
      <c r="AP131" s="6">
        <v>330.98244656580999</v>
      </c>
      <c r="AQ131" s="6">
        <v>93035.839999999997</v>
      </c>
      <c r="AR131" s="6">
        <v>4723.9989998420197</v>
      </c>
      <c r="AS131" s="6">
        <v>14223.643502714</v>
      </c>
      <c r="AT131" s="6">
        <v>0</v>
      </c>
      <c r="AU131" t="s">
        <v>2973</v>
      </c>
      <c r="AV131" t="s">
        <v>2973</v>
      </c>
    </row>
    <row r="132" spans="1:48" x14ac:dyDescent="0.45">
      <c r="A132" s="5" t="s">
        <v>2939</v>
      </c>
      <c r="B132">
        <v>1976</v>
      </c>
      <c r="C132" t="s">
        <v>222</v>
      </c>
      <c r="D132">
        <v>5428</v>
      </c>
      <c r="E132" t="s">
        <v>2940</v>
      </c>
      <c r="F132" t="s">
        <v>2739</v>
      </c>
      <c r="G132" t="s">
        <v>2744</v>
      </c>
      <c r="H132" t="s">
        <v>2745</v>
      </c>
      <c r="I132" t="s">
        <v>2742</v>
      </c>
      <c r="J132">
        <v>83.1024311873676</v>
      </c>
      <c r="K132">
        <v>1</v>
      </c>
      <c r="L132">
        <v>2</v>
      </c>
      <c r="M132">
        <v>2</v>
      </c>
      <c r="N132" s="6">
        <v>659490.12199882395</v>
      </c>
      <c r="O132" s="6">
        <v>358068.79838607501</v>
      </c>
      <c r="P132" s="6">
        <v>999951.01480368595</v>
      </c>
      <c r="Q132" s="6">
        <v>26772.044972297099</v>
      </c>
      <c r="R132" s="6">
        <v>4086.1789267522699</v>
      </c>
      <c r="S132" s="6">
        <v>33918.102725931298</v>
      </c>
      <c r="T132" s="6">
        <v>1689710.46</v>
      </c>
      <c r="U132" s="6">
        <v>358657.69908763398</v>
      </c>
      <c r="V132" s="6">
        <v>1091804.00305121</v>
      </c>
      <c r="W132" s="6">
        <v>956495.82458125602</v>
      </c>
      <c r="X132" s="6">
        <v>0</v>
      </c>
      <c r="Y132" s="6">
        <v>0</v>
      </c>
      <c r="Z132" s="6">
        <v>0</v>
      </c>
      <c r="AA132" s="6">
        <v>0</v>
      </c>
      <c r="AB132" s="6">
        <v>68.331455166031006</v>
      </c>
      <c r="AC132" s="6">
        <v>33918.102725931298</v>
      </c>
      <c r="AD132" s="6">
        <v>0</v>
      </c>
      <c r="AE132" s="6">
        <v>0</v>
      </c>
      <c r="AF132" s="6">
        <v>0</v>
      </c>
      <c r="AG132" s="6">
        <v>0</v>
      </c>
      <c r="AH132" s="6">
        <v>0</v>
      </c>
      <c r="AI132" s="6">
        <v>0</v>
      </c>
      <c r="AJ132" s="6">
        <v>2082286.26181357</v>
      </c>
      <c r="AK132" s="6">
        <v>25056.863343970301</v>
      </c>
      <c r="AL132" s="6">
        <v>330.98244656580999</v>
      </c>
      <c r="AM132" s="6">
        <v>93035.839999999997</v>
      </c>
      <c r="AN132" s="6">
        <v>4723.9989998420197</v>
      </c>
      <c r="AO132" s="6">
        <v>25056.863343970301</v>
      </c>
      <c r="AP132" s="6">
        <v>330.98244656580999</v>
      </c>
      <c r="AQ132" s="6">
        <v>40734.411818744898</v>
      </c>
      <c r="AR132" s="6">
        <v>11056.287895915801</v>
      </c>
      <c r="AS132" s="6">
        <v>25056.863343970301</v>
      </c>
      <c r="AT132" s="6">
        <v>0</v>
      </c>
      <c r="AU132" t="s">
        <v>2973</v>
      </c>
      <c r="AV132" t="s">
        <v>2973</v>
      </c>
    </row>
    <row r="133" spans="1:48" x14ac:dyDescent="0.45">
      <c r="A133" s="5" t="s">
        <v>269</v>
      </c>
      <c r="B133">
        <v>1976</v>
      </c>
      <c r="C133" t="s">
        <v>222</v>
      </c>
      <c r="D133">
        <v>3448</v>
      </c>
      <c r="E133" t="s">
        <v>270</v>
      </c>
      <c r="F133" t="s">
        <v>2739</v>
      </c>
      <c r="G133" t="s">
        <v>2747</v>
      </c>
      <c r="H133" t="s">
        <v>2745</v>
      </c>
      <c r="I133" t="s">
        <v>2742</v>
      </c>
      <c r="J133">
        <v>148.76595873947099</v>
      </c>
      <c r="K133">
        <v>1</v>
      </c>
      <c r="L133">
        <v>1</v>
      </c>
      <c r="M133">
        <v>2</v>
      </c>
      <c r="N133" s="6">
        <v>1094127.0831825901</v>
      </c>
      <c r="O133" s="6">
        <v>395245.60102136602</v>
      </c>
      <c r="P133" s="6">
        <v>440789.984649816</v>
      </c>
      <c r="Q133" s="6">
        <v>47926.021908315</v>
      </c>
      <c r="R133" s="6">
        <v>7314.8801657650001</v>
      </c>
      <c r="S133" s="6">
        <v>60718.549367952503</v>
      </c>
      <c r="T133" s="6">
        <v>1343351.88</v>
      </c>
      <c r="U133" s="6">
        <v>642051.69092785101</v>
      </c>
      <c r="V133" s="6">
        <v>1769655.5629114299</v>
      </c>
      <c r="W133" s="6">
        <v>215625.684345569</v>
      </c>
      <c r="X133" s="6">
        <v>0</v>
      </c>
      <c r="Y133" s="6">
        <v>0</v>
      </c>
      <c r="Z133" s="6">
        <v>0</v>
      </c>
      <c r="AA133" s="6">
        <v>0</v>
      </c>
      <c r="AB133" s="6">
        <v>122.323670855288</v>
      </c>
      <c r="AC133" s="6">
        <v>60718.549367952503</v>
      </c>
      <c r="AD133" s="6">
        <v>0</v>
      </c>
      <c r="AE133" s="6">
        <v>0</v>
      </c>
      <c r="AF133" s="6">
        <v>0</v>
      </c>
      <c r="AG133" s="6">
        <v>0</v>
      </c>
      <c r="AH133" s="6">
        <v>0</v>
      </c>
      <c r="AI133" s="6">
        <v>0</v>
      </c>
      <c r="AJ133" s="6">
        <v>2046122.1202958</v>
      </c>
      <c r="AK133" s="6">
        <v>13753.967222293801</v>
      </c>
      <c r="AL133" s="6">
        <v>330.98244656580999</v>
      </c>
      <c r="AM133" s="6">
        <v>93035.839999999997</v>
      </c>
      <c r="AN133" s="6">
        <v>4723.9989998420197</v>
      </c>
      <c r="AO133" s="6">
        <v>25056.863343970301</v>
      </c>
      <c r="AP133" s="6">
        <v>3753.1860850462999</v>
      </c>
      <c r="AQ133" s="6">
        <v>20687.885194392002</v>
      </c>
      <c r="AR133" s="6">
        <v>10300.3171294616</v>
      </c>
      <c r="AS133" s="6">
        <v>13753.967222293801</v>
      </c>
      <c r="AT133" s="6">
        <v>0</v>
      </c>
      <c r="AU133" t="s">
        <v>2973</v>
      </c>
      <c r="AV133" t="s">
        <v>2973</v>
      </c>
    </row>
    <row r="134" spans="1:48" x14ac:dyDescent="0.45">
      <c r="A134" s="5" t="s">
        <v>271</v>
      </c>
      <c r="B134">
        <v>1976</v>
      </c>
      <c r="C134" t="s">
        <v>222</v>
      </c>
      <c r="D134">
        <v>4793</v>
      </c>
      <c r="E134" t="s">
        <v>272</v>
      </c>
      <c r="F134" t="s">
        <v>2739</v>
      </c>
      <c r="G134" t="s">
        <v>2740</v>
      </c>
      <c r="H134" t="s">
        <v>2741</v>
      </c>
      <c r="I134" t="s">
        <v>2742</v>
      </c>
      <c r="J134">
        <v>200.43823529408701</v>
      </c>
      <c r="K134">
        <v>1</v>
      </c>
      <c r="L134">
        <v>1</v>
      </c>
      <c r="M134">
        <v>2</v>
      </c>
      <c r="N134" s="6">
        <v>316653.94303475402</v>
      </c>
      <c r="O134" s="6">
        <v>156753.884651028</v>
      </c>
      <c r="P134" s="6">
        <v>317225.45943175798</v>
      </c>
      <c r="Q134" s="6">
        <v>64572.616863185802</v>
      </c>
      <c r="R134" s="6">
        <v>9855.6261407982693</v>
      </c>
      <c r="S134" s="6">
        <v>81808.492937841496</v>
      </c>
      <c r="T134" s="6">
        <v>0</v>
      </c>
      <c r="U134" s="6">
        <v>865061.53012152505</v>
      </c>
      <c r="V134" s="6">
        <v>704367.840531155</v>
      </c>
      <c r="W134" s="6">
        <v>160528.87809096</v>
      </c>
      <c r="X134" s="6">
        <v>0</v>
      </c>
      <c r="Y134" s="6">
        <v>0</v>
      </c>
      <c r="Z134" s="6">
        <v>0</v>
      </c>
      <c r="AA134" s="6">
        <v>0</v>
      </c>
      <c r="AB134" s="6">
        <v>164.81149940939599</v>
      </c>
      <c r="AC134" s="6">
        <v>81808.492937841496</v>
      </c>
      <c r="AD134" s="6">
        <v>0</v>
      </c>
      <c r="AE134" s="6">
        <v>0</v>
      </c>
      <c r="AF134" s="6">
        <v>0</v>
      </c>
      <c r="AG134" s="6">
        <v>0</v>
      </c>
      <c r="AH134" s="6">
        <v>0</v>
      </c>
      <c r="AI134" s="6">
        <v>0</v>
      </c>
      <c r="AJ134" s="6">
        <v>946870.02305936604</v>
      </c>
      <c r="AK134" s="6">
        <v>4723.9989998420297</v>
      </c>
      <c r="AL134" s="6">
        <v>330.98244656580999</v>
      </c>
      <c r="AM134" s="6">
        <v>93035.839999999997</v>
      </c>
      <c r="AN134" s="6">
        <v>4723.9989998420197</v>
      </c>
      <c r="AO134" s="6">
        <v>25056.863343970301</v>
      </c>
      <c r="AP134" s="6">
        <v>330.98244656580999</v>
      </c>
      <c r="AQ134" s="6">
        <v>93035.839999999997</v>
      </c>
      <c r="AR134" s="6">
        <v>4723.9989998420197</v>
      </c>
      <c r="AS134" s="6">
        <v>14223.643502714</v>
      </c>
      <c r="AT134" s="6">
        <v>0</v>
      </c>
      <c r="AU134" t="s">
        <v>2973</v>
      </c>
      <c r="AV134" t="s">
        <v>2976</v>
      </c>
    </row>
    <row r="135" spans="1:48" x14ac:dyDescent="0.45">
      <c r="A135" s="5" t="s">
        <v>273</v>
      </c>
      <c r="B135">
        <v>1976</v>
      </c>
      <c r="C135" t="s">
        <v>222</v>
      </c>
      <c r="D135">
        <v>5293</v>
      </c>
      <c r="E135" t="s">
        <v>274</v>
      </c>
      <c r="F135" t="s">
        <v>2739</v>
      </c>
      <c r="G135" t="s">
        <v>2740</v>
      </c>
      <c r="H135" t="s">
        <v>2741</v>
      </c>
      <c r="I135" t="s">
        <v>2742</v>
      </c>
      <c r="J135">
        <v>491.03385852308998</v>
      </c>
      <c r="K135">
        <v>1</v>
      </c>
      <c r="L135">
        <v>1</v>
      </c>
      <c r="M135">
        <v>2</v>
      </c>
      <c r="N135" s="6">
        <v>3202561.3357202001</v>
      </c>
      <c r="O135" s="6">
        <v>1007564.45753825</v>
      </c>
      <c r="P135" s="6">
        <v>971485.82735858904</v>
      </c>
      <c r="Q135" s="6">
        <v>158190.083677107</v>
      </c>
      <c r="R135" s="6">
        <v>24144.326180963799</v>
      </c>
      <c r="S135" s="6">
        <v>200414.556076529</v>
      </c>
      <c r="T135" s="6">
        <v>3244717.13</v>
      </c>
      <c r="U135" s="6">
        <v>2119228.9004751202</v>
      </c>
      <c r="V135" s="6">
        <v>4724278.1234952603</v>
      </c>
      <c r="W135" s="6">
        <v>639264.15154684102</v>
      </c>
      <c r="X135" s="6">
        <v>0</v>
      </c>
      <c r="Y135" s="6">
        <v>0</v>
      </c>
      <c r="Z135" s="6">
        <v>0</v>
      </c>
      <c r="AA135" s="6">
        <v>0</v>
      </c>
      <c r="AB135" s="6">
        <v>403.75543301522703</v>
      </c>
      <c r="AC135" s="6">
        <v>200414.556076529</v>
      </c>
      <c r="AD135" s="6">
        <v>0</v>
      </c>
      <c r="AE135" s="6">
        <v>0</v>
      </c>
      <c r="AF135" s="6">
        <v>0</v>
      </c>
      <c r="AG135" s="6">
        <v>0</v>
      </c>
      <c r="AH135" s="6">
        <v>0</v>
      </c>
      <c r="AI135" s="6">
        <v>0</v>
      </c>
      <c r="AJ135" s="6">
        <v>5564360.5865516504</v>
      </c>
      <c r="AK135" s="6">
        <v>11331.928521768101</v>
      </c>
      <c r="AL135" s="6">
        <v>330.98244656580999</v>
      </c>
      <c r="AM135" s="6">
        <v>93035.839999999997</v>
      </c>
      <c r="AN135" s="6">
        <v>4723.9989998420197</v>
      </c>
      <c r="AO135" s="6">
        <v>25056.863343970301</v>
      </c>
      <c r="AP135" s="6">
        <v>330.98244656580999</v>
      </c>
      <c r="AQ135" s="6">
        <v>93035.839999999997</v>
      </c>
      <c r="AR135" s="6">
        <v>4723.9989998420197</v>
      </c>
      <c r="AS135" s="6">
        <v>14223.643502714</v>
      </c>
      <c r="AT135" s="6">
        <v>0</v>
      </c>
      <c r="AU135" t="s">
        <v>2973</v>
      </c>
      <c r="AV135" t="s">
        <v>2973</v>
      </c>
    </row>
    <row r="136" spans="1:48" x14ac:dyDescent="0.45">
      <c r="A136" s="5" t="s">
        <v>275</v>
      </c>
      <c r="B136">
        <v>1976</v>
      </c>
      <c r="C136" t="s">
        <v>222</v>
      </c>
      <c r="D136">
        <v>3217</v>
      </c>
      <c r="E136" t="s">
        <v>276</v>
      </c>
      <c r="F136" t="s">
        <v>2739</v>
      </c>
      <c r="G136" t="s">
        <v>2747</v>
      </c>
      <c r="H136" t="s">
        <v>2745</v>
      </c>
      <c r="I136" t="s">
        <v>2742</v>
      </c>
      <c r="J136">
        <v>678.04016358225101</v>
      </c>
      <c r="K136">
        <v>1</v>
      </c>
      <c r="L136">
        <v>1</v>
      </c>
      <c r="M136">
        <v>2</v>
      </c>
      <c r="N136" s="6">
        <v>3776533.65688163</v>
      </c>
      <c r="O136" s="6">
        <v>1627155.6232306301</v>
      </c>
      <c r="P136" s="6">
        <v>1416010.39599485</v>
      </c>
      <c r="Q136" s="6">
        <v>218435.50775933301</v>
      </c>
      <c r="R136" s="6">
        <v>33339.499077646899</v>
      </c>
      <c r="S136" s="6">
        <v>276740.83167119097</v>
      </c>
      <c r="T136" s="6">
        <v>4145154.46</v>
      </c>
      <c r="U136" s="6">
        <v>2926320.2229440799</v>
      </c>
      <c r="V136" s="6">
        <v>6462588.9527491899</v>
      </c>
      <c r="W136" s="6">
        <v>608328.20774487394</v>
      </c>
      <c r="X136" s="6">
        <v>0</v>
      </c>
      <c r="Y136" s="6">
        <v>0</v>
      </c>
      <c r="Z136" s="6">
        <v>0</v>
      </c>
      <c r="AA136" s="6">
        <v>0</v>
      </c>
      <c r="AB136" s="6">
        <v>557.52245002468396</v>
      </c>
      <c r="AC136" s="6">
        <v>276740.83167119097</v>
      </c>
      <c r="AD136" s="6">
        <v>0</v>
      </c>
      <c r="AE136" s="6">
        <v>0</v>
      </c>
      <c r="AF136" s="6">
        <v>0</v>
      </c>
      <c r="AG136" s="6">
        <v>0</v>
      </c>
      <c r="AH136" s="6">
        <v>0</v>
      </c>
      <c r="AI136" s="6">
        <v>0</v>
      </c>
      <c r="AJ136" s="6">
        <v>7348215.5146152796</v>
      </c>
      <c r="AK136" s="6">
        <v>10837.4339888553</v>
      </c>
      <c r="AL136" s="6">
        <v>330.98244656580999</v>
      </c>
      <c r="AM136" s="6">
        <v>93035.839999999997</v>
      </c>
      <c r="AN136" s="6">
        <v>4723.9989998420197</v>
      </c>
      <c r="AO136" s="6">
        <v>25056.863343970301</v>
      </c>
      <c r="AP136" s="6">
        <v>3753.1860850462999</v>
      </c>
      <c r="AQ136" s="6">
        <v>20687.885194392002</v>
      </c>
      <c r="AR136" s="6">
        <v>10300.3171294616</v>
      </c>
      <c r="AS136" s="6">
        <v>13753.967222293801</v>
      </c>
      <c r="AT136" s="6">
        <v>0</v>
      </c>
      <c r="AU136" t="s">
        <v>2973</v>
      </c>
      <c r="AV136" t="s">
        <v>2973</v>
      </c>
    </row>
    <row r="137" spans="1:48" x14ac:dyDescent="0.45">
      <c r="A137" s="5" t="s">
        <v>2941</v>
      </c>
      <c r="B137">
        <v>1976</v>
      </c>
      <c r="C137" t="s">
        <v>222</v>
      </c>
      <c r="D137">
        <v>5429</v>
      </c>
      <c r="E137" t="s">
        <v>2942</v>
      </c>
      <c r="F137" t="s">
        <v>2739</v>
      </c>
      <c r="G137" t="s">
        <v>2744</v>
      </c>
      <c r="H137" t="s">
        <v>2745</v>
      </c>
      <c r="I137" t="s">
        <v>2742</v>
      </c>
      <c r="J137">
        <v>81.738225498465994</v>
      </c>
      <c r="K137">
        <v>1</v>
      </c>
      <c r="L137">
        <v>1</v>
      </c>
      <c r="M137">
        <v>2</v>
      </c>
      <c r="N137" s="6">
        <v>570553.94883295998</v>
      </c>
      <c r="O137" s="6">
        <v>446220.47341333202</v>
      </c>
      <c r="P137" s="6">
        <v>941394.27183147403</v>
      </c>
      <c r="Q137" s="6">
        <v>26332.556313145898</v>
      </c>
      <c r="R137" s="6">
        <v>4019.10040139388</v>
      </c>
      <c r="S137" s="6">
        <v>33361.304711308403</v>
      </c>
      <c r="T137" s="6">
        <v>1635750.36</v>
      </c>
      <c r="U137" s="6">
        <v>352769.99079230602</v>
      </c>
      <c r="V137" s="6">
        <v>1106707.5244942999</v>
      </c>
      <c r="W137" s="6">
        <v>881745.616568867</v>
      </c>
      <c r="X137" s="6">
        <v>0</v>
      </c>
      <c r="Y137" s="6">
        <v>0</v>
      </c>
      <c r="Z137" s="6">
        <v>0</v>
      </c>
      <c r="AA137" s="6">
        <v>0</v>
      </c>
      <c r="AB137" s="6">
        <v>67.209729140251397</v>
      </c>
      <c r="AC137" s="6">
        <v>33361.304711308403</v>
      </c>
      <c r="AD137" s="6">
        <v>0</v>
      </c>
      <c r="AE137" s="6">
        <v>0</v>
      </c>
      <c r="AF137" s="6">
        <v>0</v>
      </c>
      <c r="AG137" s="6">
        <v>0</v>
      </c>
      <c r="AH137" s="6">
        <v>0</v>
      </c>
      <c r="AI137" s="6">
        <v>0</v>
      </c>
      <c r="AJ137" s="6">
        <v>2021881.6555036199</v>
      </c>
      <c r="AK137" s="6">
        <v>24736.060064596801</v>
      </c>
      <c r="AL137" s="6">
        <v>330.98244656580999</v>
      </c>
      <c r="AM137" s="6">
        <v>93035.839999999997</v>
      </c>
      <c r="AN137" s="6">
        <v>4723.9989998420197</v>
      </c>
      <c r="AO137" s="6">
        <v>25056.863343970301</v>
      </c>
      <c r="AP137" s="6">
        <v>330.98244656580999</v>
      </c>
      <c r="AQ137" s="6">
        <v>40734.411818744898</v>
      </c>
      <c r="AR137" s="6">
        <v>11056.287895915801</v>
      </c>
      <c r="AS137" s="6">
        <v>25056.863343970301</v>
      </c>
      <c r="AT137" s="6">
        <v>0</v>
      </c>
      <c r="AU137" t="s">
        <v>2973</v>
      </c>
      <c r="AV137" t="s">
        <v>2973</v>
      </c>
    </row>
    <row r="138" spans="1:48" x14ac:dyDescent="0.45">
      <c r="A138" s="5" t="s">
        <v>277</v>
      </c>
      <c r="B138">
        <v>1976</v>
      </c>
      <c r="C138" t="s">
        <v>222</v>
      </c>
      <c r="D138">
        <v>3216</v>
      </c>
      <c r="E138" t="s">
        <v>278</v>
      </c>
      <c r="F138" t="s">
        <v>2739</v>
      </c>
      <c r="G138" t="s">
        <v>2744</v>
      </c>
      <c r="H138" t="s">
        <v>2745</v>
      </c>
      <c r="I138" t="s">
        <v>2742</v>
      </c>
      <c r="J138">
        <v>1514.9687336514401</v>
      </c>
      <c r="K138">
        <v>1</v>
      </c>
      <c r="L138">
        <v>1</v>
      </c>
      <c r="M138">
        <v>2</v>
      </c>
      <c r="N138" s="6">
        <v>8276710.6416551499</v>
      </c>
      <c r="O138" s="6">
        <v>4123867.7064636899</v>
      </c>
      <c r="P138" s="6">
        <v>3168470.7938303701</v>
      </c>
      <c r="Q138" s="6">
        <v>488058.05665894301</v>
      </c>
      <c r="R138" s="6">
        <v>74491.603021550094</v>
      </c>
      <c r="S138" s="6">
        <v>618331.67093160201</v>
      </c>
      <c r="T138" s="6">
        <v>9593219.6899999995</v>
      </c>
      <c r="U138" s="6">
        <v>6538379.1116297096</v>
      </c>
      <c r="V138" s="6">
        <v>13862364.167864701</v>
      </c>
      <c r="W138" s="6">
        <v>2267988.9419528502</v>
      </c>
      <c r="X138" s="6">
        <v>0</v>
      </c>
      <c r="Y138" s="6">
        <v>0</v>
      </c>
      <c r="Z138" s="6">
        <v>0</v>
      </c>
      <c r="AA138" s="6">
        <v>0</v>
      </c>
      <c r="AB138" s="6">
        <v>1245.6918121690001</v>
      </c>
      <c r="AC138" s="6">
        <v>618331.67093160201</v>
      </c>
      <c r="AD138" s="6">
        <v>0</v>
      </c>
      <c r="AE138" s="6">
        <v>0</v>
      </c>
      <c r="AF138" s="6">
        <v>0</v>
      </c>
      <c r="AG138" s="6">
        <v>0</v>
      </c>
      <c r="AH138" s="6">
        <v>0</v>
      </c>
      <c r="AI138" s="6">
        <v>0</v>
      </c>
      <c r="AJ138" s="6">
        <v>16749930.4725613</v>
      </c>
      <c r="AK138" s="6">
        <v>11056.287895915801</v>
      </c>
      <c r="AL138" s="6">
        <v>330.98244656580999</v>
      </c>
      <c r="AM138" s="6">
        <v>93035.839999999997</v>
      </c>
      <c r="AN138" s="6">
        <v>4723.9989998420197</v>
      </c>
      <c r="AO138" s="6">
        <v>25056.863343970301</v>
      </c>
      <c r="AP138" s="6">
        <v>330.98244656580999</v>
      </c>
      <c r="AQ138" s="6">
        <v>40734.411818744898</v>
      </c>
      <c r="AR138" s="6">
        <v>11056.287895915801</v>
      </c>
      <c r="AS138" s="6">
        <v>25056.863343970301</v>
      </c>
      <c r="AT138" s="6">
        <v>0</v>
      </c>
      <c r="AU138" t="s">
        <v>2973</v>
      </c>
      <c r="AV138" t="s">
        <v>2973</v>
      </c>
    </row>
    <row r="139" spans="1:48" x14ac:dyDescent="0.45">
      <c r="A139" s="5" t="s">
        <v>279</v>
      </c>
      <c r="B139">
        <v>1976</v>
      </c>
      <c r="C139" t="s">
        <v>222</v>
      </c>
      <c r="D139">
        <v>1266</v>
      </c>
      <c r="E139" t="s">
        <v>280</v>
      </c>
      <c r="F139" t="s">
        <v>2739</v>
      </c>
      <c r="G139" t="s">
        <v>2740</v>
      </c>
      <c r="H139" t="s">
        <v>2745</v>
      </c>
      <c r="I139" t="s">
        <v>2742</v>
      </c>
      <c r="J139">
        <v>436.751148625094</v>
      </c>
      <c r="K139">
        <v>1</v>
      </c>
      <c r="L139">
        <v>1</v>
      </c>
      <c r="M139">
        <v>2</v>
      </c>
      <c r="N139" s="6">
        <v>2803131.7221879899</v>
      </c>
      <c r="O139" s="6">
        <v>950194.51936931501</v>
      </c>
      <c r="P139" s="6">
        <v>1017147.61567871</v>
      </c>
      <c r="Q139" s="6">
        <v>140702.51887493301</v>
      </c>
      <c r="R139" s="6">
        <v>21475.224181142701</v>
      </c>
      <c r="S139" s="6">
        <v>178259.16899271499</v>
      </c>
      <c r="T139" s="6">
        <v>3047698.78</v>
      </c>
      <c r="U139" s="6">
        <v>1884952.8202920801</v>
      </c>
      <c r="V139" s="6">
        <v>4388522.3799858596</v>
      </c>
      <c r="W139" s="6">
        <v>543770.09914569499</v>
      </c>
      <c r="X139" s="6">
        <v>0</v>
      </c>
      <c r="Y139" s="6">
        <v>0</v>
      </c>
      <c r="Z139" s="6">
        <v>0</v>
      </c>
      <c r="AA139" s="6">
        <v>0</v>
      </c>
      <c r="AB139" s="6">
        <v>359.121160531398</v>
      </c>
      <c r="AC139" s="6">
        <v>178259.16899271499</v>
      </c>
      <c r="AD139" s="6">
        <v>0</v>
      </c>
      <c r="AE139" s="6">
        <v>0</v>
      </c>
      <c r="AF139" s="6">
        <v>0</v>
      </c>
      <c r="AG139" s="6">
        <v>0</v>
      </c>
      <c r="AH139" s="6">
        <v>0</v>
      </c>
      <c r="AI139" s="6">
        <v>0</v>
      </c>
      <c r="AJ139" s="6">
        <v>5110910.7692847997</v>
      </c>
      <c r="AK139" s="6">
        <v>11702.111798387001</v>
      </c>
      <c r="AL139" s="6">
        <v>330.98244656580999</v>
      </c>
      <c r="AM139" s="6">
        <v>93035.839999999997</v>
      </c>
      <c r="AN139" s="6">
        <v>4723.9989998420197</v>
      </c>
      <c r="AO139" s="6">
        <v>25056.863343970301</v>
      </c>
      <c r="AP139" s="6">
        <v>330.98244656580999</v>
      </c>
      <c r="AQ139" s="6">
        <v>93035.839999999997</v>
      </c>
      <c r="AR139" s="6">
        <v>4723.9989998420197</v>
      </c>
      <c r="AS139" s="6">
        <v>14223.643502714</v>
      </c>
      <c r="AT139" s="6">
        <v>0</v>
      </c>
      <c r="AU139" t="s">
        <v>2973</v>
      </c>
      <c r="AV139" t="s">
        <v>2973</v>
      </c>
    </row>
    <row r="140" spans="1:48" x14ac:dyDescent="0.45">
      <c r="A140" s="5" t="s">
        <v>281</v>
      </c>
      <c r="B140">
        <v>1976</v>
      </c>
      <c r="C140" t="s">
        <v>222</v>
      </c>
      <c r="D140">
        <v>3221</v>
      </c>
      <c r="E140" t="s">
        <v>282</v>
      </c>
      <c r="F140" t="s">
        <v>2739</v>
      </c>
      <c r="G140" t="s">
        <v>2740</v>
      </c>
      <c r="H140" t="s">
        <v>2745</v>
      </c>
      <c r="I140" t="s">
        <v>2742</v>
      </c>
      <c r="J140">
        <v>258.43228294187202</v>
      </c>
      <c r="K140">
        <v>1</v>
      </c>
      <c r="L140">
        <v>1</v>
      </c>
      <c r="M140">
        <v>2</v>
      </c>
      <c r="N140" s="6">
        <v>1894864.1979201499</v>
      </c>
      <c r="O140" s="6">
        <v>390130.75603660499</v>
      </c>
      <c r="P140" s="6">
        <v>598608.95472910302</v>
      </c>
      <c r="Q140" s="6">
        <v>83255.815772871298</v>
      </c>
      <c r="R140" s="6">
        <v>12707.216064096099</v>
      </c>
      <c r="S140" s="6">
        <v>105478.655621471</v>
      </c>
      <c r="T140" s="6">
        <v>1864211.75</v>
      </c>
      <c r="U140" s="6">
        <v>1115355.19052282</v>
      </c>
      <c r="V140" s="6">
        <v>2689725.7411542698</v>
      </c>
      <c r="W140" s="6">
        <v>289628.70192770503</v>
      </c>
      <c r="X140" s="6">
        <v>0</v>
      </c>
      <c r="Y140" s="6">
        <v>0</v>
      </c>
      <c r="Z140" s="6">
        <v>0</v>
      </c>
      <c r="AA140" s="6">
        <v>0</v>
      </c>
      <c r="AB140" s="6">
        <v>212.49744084481</v>
      </c>
      <c r="AC140" s="6">
        <v>105478.655621471</v>
      </c>
      <c r="AD140" s="6">
        <v>0</v>
      </c>
      <c r="AE140" s="6">
        <v>0</v>
      </c>
      <c r="AF140" s="6">
        <v>0</v>
      </c>
      <c r="AG140" s="6">
        <v>0</v>
      </c>
      <c r="AH140" s="6">
        <v>0</v>
      </c>
      <c r="AI140" s="6">
        <v>0</v>
      </c>
      <c r="AJ140" s="6">
        <v>3085045.5961442902</v>
      </c>
      <c r="AK140" s="6">
        <v>11937.5395404381</v>
      </c>
      <c r="AL140" s="6">
        <v>330.98244656580999</v>
      </c>
      <c r="AM140" s="6">
        <v>93035.839999999997</v>
      </c>
      <c r="AN140" s="6">
        <v>4723.9989998420197</v>
      </c>
      <c r="AO140" s="6">
        <v>25056.863343970301</v>
      </c>
      <c r="AP140" s="6">
        <v>330.98244656580999</v>
      </c>
      <c r="AQ140" s="6">
        <v>93035.839999999997</v>
      </c>
      <c r="AR140" s="6">
        <v>4723.9989998420197</v>
      </c>
      <c r="AS140" s="6">
        <v>14223.643502714</v>
      </c>
      <c r="AT140" s="6">
        <v>0</v>
      </c>
      <c r="AU140" t="s">
        <v>2973</v>
      </c>
      <c r="AV140" t="s">
        <v>2973</v>
      </c>
    </row>
    <row r="141" spans="1:48" x14ac:dyDescent="0.45">
      <c r="A141" s="5" t="s">
        <v>283</v>
      </c>
      <c r="B141">
        <v>1976</v>
      </c>
      <c r="C141" t="s">
        <v>222</v>
      </c>
      <c r="D141">
        <v>4680</v>
      </c>
      <c r="E141" t="s">
        <v>284</v>
      </c>
      <c r="F141" t="s">
        <v>2739</v>
      </c>
      <c r="G141" t="s">
        <v>2740</v>
      </c>
      <c r="H141" t="s">
        <v>2741</v>
      </c>
      <c r="I141" t="s">
        <v>2742</v>
      </c>
      <c r="J141">
        <v>619.35882352937699</v>
      </c>
      <c r="K141">
        <v>1</v>
      </c>
      <c r="L141">
        <v>1</v>
      </c>
      <c r="M141">
        <v>2</v>
      </c>
      <c r="N141" s="6">
        <v>3892035.3519034898</v>
      </c>
      <c r="O141" s="6">
        <v>1001009.01083268</v>
      </c>
      <c r="P141" s="6">
        <v>1183318.07090442</v>
      </c>
      <c r="Q141" s="6">
        <v>199530.89266584601</v>
      </c>
      <c r="R141" s="6">
        <v>30454.114718950899</v>
      </c>
      <c r="S141" s="6">
        <v>252790.151870728</v>
      </c>
      <c r="T141" s="6">
        <v>3633287.13</v>
      </c>
      <c r="U141" s="6">
        <v>2673060.3110253802</v>
      </c>
      <c r="V141" s="6">
        <v>5766308.3210096397</v>
      </c>
      <c r="W141" s="6">
        <v>539529.84863730799</v>
      </c>
      <c r="X141" s="6">
        <v>0</v>
      </c>
      <c r="Y141" s="6">
        <v>0</v>
      </c>
      <c r="Z141" s="6">
        <v>0</v>
      </c>
      <c r="AA141" s="6">
        <v>0</v>
      </c>
      <c r="AB141" s="6">
        <v>509.27137843010098</v>
      </c>
      <c r="AC141" s="6">
        <v>252790.151870728</v>
      </c>
      <c r="AD141" s="6">
        <v>0</v>
      </c>
      <c r="AE141" s="6">
        <v>0</v>
      </c>
      <c r="AF141" s="6">
        <v>0</v>
      </c>
      <c r="AG141" s="6">
        <v>0</v>
      </c>
      <c r="AH141" s="6">
        <v>0</v>
      </c>
      <c r="AI141" s="6">
        <v>0</v>
      </c>
      <c r="AJ141" s="6">
        <v>6559137.5928961001</v>
      </c>
      <c r="AK141" s="6">
        <v>10590.206103013499</v>
      </c>
      <c r="AL141" s="6">
        <v>330.98244656580999</v>
      </c>
      <c r="AM141" s="6">
        <v>93035.839999999997</v>
      </c>
      <c r="AN141" s="6">
        <v>4723.9989998420197</v>
      </c>
      <c r="AO141" s="6">
        <v>25056.863343970301</v>
      </c>
      <c r="AP141" s="6">
        <v>330.98244656580999</v>
      </c>
      <c r="AQ141" s="6">
        <v>93035.839999999997</v>
      </c>
      <c r="AR141" s="6">
        <v>4723.9989998420197</v>
      </c>
      <c r="AS141" s="6">
        <v>14223.643502714</v>
      </c>
      <c r="AT141" s="6">
        <v>0</v>
      </c>
      <c r="AU141" t="s">
        <v>2973</v>
      </c>
      <c r="AV141" t="s">
        <v>2973</v>
      </c>
    </row>
    <row r="142" spans="1:48" x14ac:dyDescent="0.45">
      <c r="A142" s="5" t="s">
        <v>285</v>
      </c>
      <c r="B142">
        <v>2088</v>
      </c>
      <c r="C142" t="s">
        <v>286</v>
      </c>
      <c r="D142">
        <v>2088</v>
      </c>
      <c r="E142" t="s">
        <v>286</v>
      </c>
      <c r="F142" t="s">
        <v>1</v>
      </c>
      <c r="G142" t="s">
        <v>1</v>
      </c>
      <c r="H142" t="s">
        <v>2743</v>
      </c>
      <c r="I142" t="s">
        <v>2742</v>
      </c>
      <c r="J142">
        <v>24.988989617998001</v>
      </c>
      <c r="K142">
        <v>1</v>
      </c>
      <c r="L142">
        <v>5</v>
      </c>
      <c r="M142">
        <v>2</v>
      </c>
      <c r="N142" s="6">
        <v>14850.9089368232</v>
      </c>
      <c r="O142" s="6">
        <v>16514.333329820602</v>
      </c>
      <c r="P142" s="6">
        <v>37283.3240334152</v>
      </c>
      <c r="Q142" s="6">
        <v>12320.816247774699</v>
      </c>
      <c r="R142" s="6">
        <v>9663.7592234617005</v>
      </c>
      <c r="S142" s="6">
        <v>11914.0566045755</v>
      </c>
      <c r="T142" s="6">
        <v>0</v>
      </c>
      <c r="U142" s="6">
        <v>90633.141771295297</v>
      </c>
      <c r="V142" s="6">
        <v>66193.662442472007</v>
      </c>
      <c r="W142" s="6">
        <v>21663.844474846101</v>
      </c>
      <c r="X142" s="6">
        <v>0</v>
      </c>
      <c r="Y142" s="6">
        <v>0</v>
      </c>
      <c r="Z142" s="6">
        <v>0</v>
      </c>
      <c r="AA142" s="6">
        <v>699.82852325508804</v>
      </c>
      <c r="AB142" s="6">
        <v>2075.80633072212</v>
      </c>
      <c r="AC142" s="6">
        <v>9670.2986067479596</v>
      </c>
      <c r="AD142" s="6">
        <v>2243.7579978274998</v>
      </c>
      <c r="AE142" s="6">
        <v>0</v>
      </c>
      <c r="AF142" s="6">
        <v>0</v>
      </c>
      <c r="AG142" s="6">
        <v>0</v>
      </c>
      <c r="AH142" s="6">
        <v>0</v>
      </c>
      <c r="AI142" s="6">
        <v>0</v>
      </c>
      <c r="AJ142" s="6">
        <v>102547.198375871</v>
      </c>
      <c r="AK142" s="6">
        <v>4103.69526513439</v>
      </c>
      <c r="AL142" s="6">
        <v>330.98244656580999</v>
      </c>
      <c r="AM142" s="6">
        <v>93035.839999999997</v>
      </c>
      <c r="AN142" s="6">
        <v>4103.69526513439</v>
      </c>
      <c r="AO142" s="6">
        <v>21066.534605899698</v>
      </c>
      <c r="AP142" s="6">
        <v>634.54287297753501</v>
      </c>
      <c r="AQ142" s="6">
        <v>40331.279999999999</v>
      </c>
      <c r="AR142" s="6">
        <v>4103.69526513439</v>
      </c>
      <c r="AS142" s="6">
        <v>4103.69526513439</v>
      </c>
      <c r="AT142" s="6">
        <v>0</v>
      </c>
      <c r="AU142" t="s">
        <v>2973</v>
      </c>
      <c r="AV142" t="s">
        <v>2977</v>
      </c>
    </row>
    <row r="143" spans="1:48" x14ac:dyDescent="0.45">
      <c r="A143" s="5" t="s">
        <v>287</v>
      </c>
      <c r="B143">
        <v>2088</v>
      </c>
      <c r="C143" t="s">
        <v>286</v>
      </c>
      <c r="D143">
        <v>581</v>
      </c>
      <c r="E143" t="s">
        <v>234</v>
      </c>
      <c r="F143" t="s">
        <v>2739</v>
      </c>
      <c r="G143" t="s">
        <v>2747</v>
      </c>
      <c r="H143" t="s">
        <v>2745</v>
      </c>
      <c r="I143" t="s">
        <v>2742</v>
      </c>
      <c r="J143">
        <v>335.84235893412199</v>
      </c>
      <c r="K143">
        <v>1</v>
      </c>
      <c r="L143">
        <v>2</v>
      </c>
      <c r="M143">
        <v>2</v>
      </c>
      <c r="N143" s="6">
        <v>2324193.02428097</v>
      </c>
      <c r="O143" s="6">
        <v>945980.06499050802</v>
      </c>
      <c r="P143" s="6">
        <v>954227.880099767</v>
      </c>
      <c r="Q143" s="6">
        <v>165587.006753817</v>
      </c>
      <c r="R143" s="6">
        <v>129877.187649125</v>
      </c>
      <c r="S143" s="6">
        <v>160120.314415331</v>
      </c>
      <c r="T143" s="6">
        <v>3301790.78</v>
      </c>
      <c r="U143" s="6">
        <v>1218074.38377419</v>
      </c>
      <c r="V143" s="6">
        <v>3757086.6506685601</v>
      </c>
      <c r="W143" s="6">
        <v>725475.053816178</v>
      </c>
      <c r="X143" s="6">
        <v>0</v>
      </c>
      <c r="Y143" s="6">
        <v>0</v>
      </c>
      <c r="Z143" s="6">
        <v>0</v>
      </c>
      <c r="AA143" s="6">
        <v>9405.4247767622091</v>
      </c>
      <c r="AB143" s="6">
        <v>27898.0345126877</v>
      </c>
      <c r="AC143" s="6">
        <v>129965.07443216001</v>
      </c>
      <c r="AD143" s="6">
        <v>30155.239983170799</v>
      </c>
      <c r="AE143" s="6">
        <v>0</v>
      </c>
      <c r="AF143" s="6">
        <v>0</v>
      </c>
      <c r="AG143" s="6">
        <v>0</v>
      </c>
      <c r="AH143" s="6">
        <v>0</v>
      </c>
      <c r="AI143" s="6">
        <v>0</v>
      </c>
      <c r="AJ143" s="6">
        <v>4679985.4781895196</v>
      </c>
      <c r="AK143" s="6">
        <v>13935.066121624999</v>
      </c>
      <c r="AL143" s="6">
        <v>330.98244656580999</v>
      </c>
      <c r="AM143" s="6">
        <v>93035.839999999997</v>
      </c>
      <c r="AN143" s="6">
        <v>4103.69526513439</v>
      </c>
      <c r="AO143" s="6">
        <v>21066.534605899698</v>
      </c>
      <c r="AP143" s="6">
        <v>3753.1860850462999</v>
      </c>
      <c r="AQ143" s="6">
        <v>20687.885194392002</v>
      </c>
      <c r="AR143" s="6">
        <v>12297.594064918399</v>
      </c>
      <c r="AS143" s="6">
        <v>13935.066121624999</v>
      </c>
      <c r="AT143" s="6">
        <v>0</v>
      </c>
      <c r="AU143" t="s">
        <v>2973</v>
      </c>
      <c r="AV143" t="s">
        <v>2973</v>
      </c>
    </row>
    <row r="144" spans="1:48" x14ac:dyDescent="0.45">
      <c r="A144" s="5" t="s">
        <v>288</v>
      </c>
      <c r="B144">
        <v>2088</v>
      </c>
      <c r="C144" t="s">
        <v>286</v>
      </c>
      <c r="D144">
        <v>582</v>
      </c>
      <c r="E144" t="s">
        <v>289</v>
      </c>
      <c r="F144" t="s">
        <v>2739</v>
      </c>
      <c r="G144" t="s">
        <v>2740</v>
      </c>
      <c r="H144" t="s">
        <v>2745</v>
      </c>
      <c r="I144" t="s">
        <v>2742</v>
      </c>
      <c r="J144">
        <v>240.560297471133</v>
      </c>
      <c r="K144">
        <v>1</v>
      </c>
      <c r="L144">
        <v>1</v>
      </c>
      <c r="M144">
        <v>2</v>
      </c>
      <c r="N144" s="6">
        <v>1833636.87662439</v>
      </c>
      <c r="O144" s="6">
        <v>532237.06375750306</v>
      </c>
      <c r="P144" s="6">
        <v>693864.35182890098</v>
      </c>
      <c r="Q144" s="6">
        <v>118608.205732221</v>
      </c>
      <c r="R144" s="6">
        <v>93029.643415874903</v>
      </c>
      <c r="S144" s="6">
        <v>114692.472352718</v>
      </c>
      <c r="T144" s="6">
        <v>2398882.46</v>
      </c>
      <c r="U144" s="6">
        <v>872493.68135889003</v>
      </c>
      <c r="V144" s="6">
        <v>2805956.3580050701</v>
      </c>
      <c r="W144" s="6">
        <v>438699.71358104801</v>
      </c>
      <c r="X144" s="6">
        <v>0</v>
      </c>
      <c r="Y144" s="6">
        <v>0</v>
      </c>
      <c r="Z144" s="6">
        <v>0</v>
      </c>
      <c r="AA144" s="6">
        <v>6737.0053894365901</v>
      </c>
      <c r="AB144" s="6">
        <v>19983.064383336201</v>
      </c>
      <c r="AC144" s="6">
        <v>93092.595780603006</v>
      </c>
      <c r="AD144" s="6">
        <v>21599.876572114899</v>
      </c>
      <c r="AE144" s="6">
        <v>0</v>
      </c>
      <c r="AF144" s="6">
        <v>0</v>
      </c>
      <c r="AG144" s="6">
        <v>0</v>
      </c>
      <c r="AH144" s="6">
        <v>0</v>
      </c>
      <c r="AI144" s="6">
        <v>0</v>
      </c>
      <c r="AJ144" s="6">
        <v>3386068.61371161</v>
      </c>
      <c r="AK144" s="6">
        <v>14075.7583412863</v>
      </c>
      <c r="AL144" s="6">
        <v>330.98244656580999</v>
      </c>
      <c r="AM144" s="6">
        <v>93035.839999999997</v>
      </c>
      <c r="AN144" s="6">
        <v>4103.69526513439</v>
      </c>
      <c r="AO144" s="6">
        <v>21066.534605899698</v>
      </c>
      <c r="AP144" s="6">
        <v>330.98244656580999</v>
      </c>
      <c r="AQ144" s="6">
        <v>93035.839999999997</v>
      </c>
      <c r="AR144" s="6">
        <v>11191.767014867401</v>
      </c>
      <c r="AS144" s="6">
        <v>14755.726054807201</v>
      </c>
      <c r="AT144" s="6">
        <v>0</v>
      </c>
      <c r="AU144" t="s">
        <v>2973</v>
      </c>
      <c r="AV144" t="s">
        <v>2973</v>
      </c>
    </row>
    <row r="145" spans="1:48" x14ac:dyDescent="0.45">
      <c r="A145" s="5" t="s">
        <v>290</v>
      </c>
      <c r="B145">
        <v>2088</v>
      </c>
      <c r="C145" t="s">
        <v>286</v>
      </c>
      <c r="D145">
        <v>583</v>
      </c>
      <c r="E145" t="s">
        <v>291</v>
      </c>
      <c r="F145" t="s">
        <v>2739</v>
      </c>
      <c r="G145" t="s">
        <v>2740</v>
      </c>
      <c r="H145" t="s">
        <v>2745</v>
      </c>
      <c r="I145" t="s">
        <v>2742</v>
      </c>
      <c r="J145">
        <v>290.67816091950101</v>
      </c>
      <c r="K145">
        <v>2</v>
      </c>
      <c r="L145">
        <v>2</v>
      </c>
      <c r="M145">
        <v>2</v>
      </c>
      <c r="N145" s="6">
        <v>2536008.05741903</v>
      </c>
      <c r="O145" s="6">
        <v>581063.39491153904</v>
      </c>
      <c r="P145" s="6">
        <v>777778.51574965997</v>
      </c>
      <c r="Q145" s="6">
        <v>143318.808110224</v>
      </c>
      <c r="R145" s="6">
        <v>112411.25798145701</v>
      </c>
      <c r="S145" s="6">
        <v>138587.278471417</v>
      </c>
      <c r="T145" s="6">
        <v>3096312.72</v>
      </c>
      <c r="U145" s="6">
        <v>1054267.3141719101</v>
      </c>
      <c r="V145" s="6">
        <v>3363959.5040153801</v>
      </c>
      <c r="W145" s="6">
        <v>754333.65313301794</v>
      </c>
      <c r="X145" s="6">
        <v>0</v>
      </c>
      <c r="Y145" s="6">
        <v>0</v>
      </c>
      <c r="Z145" s="6">
        <v>0</v>
      </c>
      <c r="AA145" s="6">
        <v>8140.5799597549503</v>
      </c>
      <c r="AB145" s="6">
        <v>24146.297063758801</v>
      </c>
      <c r="AC145" s="6">
        <v>112487.325719138</v>
      </c>
      <c r="AD145" s="6">
        <v>26099.952752278299</v>
      </c>
      <c r="AE145" s="6">
        <v>0</v>
      </c>
      <c r="AF145" s="6">
        <v>0</v>
      </c>
      <c r="AG145" s="6">
        <v>0</v>
      </c>
      <c r="AH145" s="6">
        <v>0</v>
      </c>
      <c r="AI145" s="6">
        <v>0</v>
      </c>
      <c r="AJ145" s="6">
        <v>4289167.3126433203</v>
      </c>
      <c r="AK145" s="6">
        <v>14755.726054807201</v>
      </c>
      <c r="AL145" s="6">
        <v>330.98244656580999</v>
      </c>
      <c r="AM145" s="6">
        <v>93035.839999999997</v>
      </c>
      <c r="AN145" s="6">
        <v>4103.69526513439</v>
      </c>
      <c r="AO145" s="6">
        <v>21066.534605899698</v>
      </c>
      <c r="AP145" s="6">
        <v>330.98244656580999</v>
      </c>
      <c r="AQ145" s="6">
        <v>93035.839999999997</v>
      </c>
      <c r="AR145" s="6">
        <v>11191.767014867401</v>
      </c>
      <c r="AS145" s="6">
        <v>14755.726054807201</v>
      </c>
      <c r="AT145" s="6">
        <v>0</v>
      </c>
      <c r="AU145" t="s">
        <v>2973</v>
      </c>
      <c r="AV145" t="s">
        <v>2973</v>
      </c>
    </row>
    <row r="146" spans="1:48" x14ac:dyDescent="0.45">
      <c r="A146" s="5" t="s">
        <v>292</v>
      </c>
      <c r="B146">
        <v>2088</v>
      </c>
      <c r="C146" t="s">
        <v>286</v>
      </c>
      <c r="D146">
        <v>584</v>
      </c>
      <c r="E146" t="s">
        <v>293</v>
      </c>
      <c r="F146" t="s">
        <v>2739</v>
      </c>
      <c r="G146" t="s">
        <v>2740</v>
      </c>
      <c r="H146" t="s">
        <v>2745</v>
      </c>
      <c r="I146" t="s">
        <v>2742</v>
      </c>
      <c r="J146">
        <v>402.28761904748899</v>
      </c>
      <c r="K146">
        <v>1</v>
      </c>
      <c r="L146">
        <v>1</v>
      </c>
      <c r="M146">
        <v>2</v>
      </c>
      <c r="N146" s="6">
        <v>2705445.40581703</v>
      </c>
      <c r="O146" s="6">
        <v>790064.45114865899</v>
      </c>
      <c r="P146" s="6">
        <v>977872.49749413796</v>
      </c>
      <c r="Q146" s="6">
        <v>198347.828736102</v>
      </c>
      <c r="R146" s="6">
        <v>155572.94426400599</v>
      </c>
      <c r="S146" s="6">
        <v>191799.57004742901</v>
      </c>
      <c r="T146" s="6">
        <v>3368236.9</v>
      </c>
      <c r="U146" s="6">
        <v>1459066.2274599399</v>
      </c>
      <c r="V146" s="6">
        <v>3931220.6219122699</v>
      </c>
      <c r="W146" s="6">
        <v>851398.68464010302</v>
      </c>
      <c r="X146" s="6">
        <v>0</v>
      </c>
      <c r="Y146" s="6">
        <v>0</v>
      </c>
      <c r="Z146" s="6">
        <v>0</v>
      </c>
      <c r="AA146" s="6">
        <v>11266.2558456961</v>
      </c>
      <c r="AB146" s="6">
        <v>33417.565061872599</v>
      </c>
      <c r="AC146" s="6">
        <v>155678.219145963</v>
      </c>
      <c r="AD146" s="6">
        <v>36121.350901465703</v>
      </c>
      <c r="AE146" s="6">
        <v>0</v>
      </c>
      <c r="AF146" s="6">
        <v>0</v>
      </c>
      <c r="AG146" s="6">
        <v>0</v>
      </c>
      <c r="AH146" s="6">
        <v>0</v>
      </c>
      <c r="AI146" s="6">
        <v>0</v>
      </c>
      <c r="AJ146" s="6">
        <v>5019102.6975073703</v>
      </c>
      <c r="AK146" s="6">
        <v>12476.403597484001</v>
      </c>
      <c r="AL146" s="6">
        <v>330.98244656580999</v>
      </c>
      <c r="AM146" s="6">
        <v>93035.839999999997</v>
      </c>
      <c r="AN146" s="6">
        <v>4103.69526513439</v>
      </c>
      <c r="AO146" s="6">
        <v>21066.534605899698</v>
      </c>
      <c r="AP146" s="6">
        <v>330.98244656580999</v>
      </c>
      <c r="AQ146" s="6">
        <v>93035.839999999997</v>
      </c>
      <c r="AR146" s="6">
        <v>11191.767014867401</v>
      </c>
      <c r="AS146" s="6">
        <v>14755.726054807201</v>
      </c>
      <c r="AT146" s="6">
        <v>0</v>
      </c>
      <c r="AU146" t="s">
        <v>2973</v>
      </c>
      <c r="AV146" t="s">
        <v>2973</v>
      </c>
    </row>
    <row r="147" spans="1:48" x14ac:dyDescent="0.45">
      <c r="A147" s="5" t="s">
        <v>294</v>
      </c>
      <c r="B147">
        <v>2088</v>
      </c>
      <c r="C147" t="s">
        <v>286</v>
      </c>
      <c r="D147">
        <v>585</v>
      </c>
      <c r="E147" t="s">
        <v>295</v>
      </c>
      <c r="F147" t="s">
        <v>2739</v>
      </c>
      <c r="G147" t="s">
        <v>2740</v>
      </c>
      <c r="H147" t="s">
        <v>2745</v>
      </c>
      <c r="I147" t="s">
        <v>2742</v>
      </c>
      <c r="J147">
        <v>347.26964985712601</v>
      </c>
      <c r="K147">
        <v>1</v>
      </c>
      <c r="L147">
        <v>1</v>
      </c>
      <c r="M147">
        <v>2</v>
      </c>
      <c r="N147" s="6">
        <v>2478854.2315125</v>
      </c>
      <c r="O147" s="6">
        <v>669536.24461246398</v>
      </c>
      <c r="P147" s="6">
        <v>814166.494530253</v>
      </c>
      <c r="Q147" s="6">
        <v>171221.23021881</v>
      </c>
      <c r="R147" s="6">
        <v>134296.357441281</v>
      </c>
      <c r="S147" s="6">
        <v>165568.52952826099</v>
      </c>
      <c r="T147" s="6">
        <v>3008554.27</v>
      </c>
      <c r="U147" s="6">
        <v>1259520.2883152999</v>
      </c>
      <c r="V147" s="6">
        <v>3673588.8415149902</v>
      </c>
      <c r="W147" s="6">
        <v>555912.97902232595</v>
      </c>
      <c r="X147" s="6">
        <v>0</v>
      </c>
      <c r="Y147" s="6">
        <v>0</v>
      </c>
      <c r="Z147" s="6">
        <v>0</v>
      </c>
      <c r="AA147" s="6">
        <v>9725.4514866733698</v>
      </c>
      <c r="AB147" s="6">
        <v>28847.286291314598</v>
      </c>
      <c r="AC147" s="6">
        <v>134387.23463875099</v>
      </c>
      <c r="AD147" s="6">
        <v>31181.294889509401</v>
      </c>
      <c r="AE147" s="6">
        <v>0</v>
      </c>
      <c r="AF147" s="6">
        <v>0</v>
      </c>
      <c r="AG147" s="6">
        <v>0</v>
      </c>
      <c r="AH147" s="6">
        <v>0</v>
      </c>
      <c r="AI147" s="6">
        <v>0</v>
      </c>
      <c r="AJ147" s="6">
        <v>4433643.0878435699</v>
      </c>
      <c r="AK147" s="6">
        <v>12767.148207934901</v>
      </c>
      <c r="AL147" s="6">
        <v>330.98244656580999</v>
      </c>
      <c r="AM147" s="6">
        <v>93035.839999999997</v>
      </c>
      <c r="AN147" s="6">
        <v>4103.69526513439</v>
      </c>
      <c r="AO147" s="6">
        <v>21066.534605899698</v>
      </c>
      <c r="AP147" s="6">
        <v>330.98244656580999</v>
      </c>
      <c r="AQ147" s="6">
        <v>93035.839999999997</v>
      </c>
      <c r="AR147" s="6">
        <v>11191.767014867401</v>
      </c>
      <c r="AS147" s="6">
        <v>14755.726054807201</v>
      </c>
      <c r="AT147" s="6">
        <v>0</v>
      </c>
      <c r="AU147" t="s">
        <v>2973</v>
      </c>
      <c r="AV147" t="s">
        <v>2973</v>
      </c>
    </row>
    <row r="148" spans="1:48" x14ac:dyDescent="0.45">
      <c r="A148" s="5" t="s">
        <v>296</v>
      </c>
      <c r="B148">
        <v>2088</v>
      </c>
      <c r="C148" t="s">
        <v>286</v>
      </c>
      <c r="D148">
        <v>3566</v>
      </c>
      <c r="E148" t="s">
        <v>297</v>
      </c>
      <c r="F148" t="s">
        <v>2750</v>
      </c>
      <c r="G148" t="s">
        <v>2744</v>
      </c>
      <c r="H148" t="s">
        <v>2745</v>
      </c>
      <c r="I148" t="s">
        <v>2742</v>
      </c>
      <c r="J148">
        <v>103.12165462749</v>
      </c>
      <c r="K148">
        <v>1</v>
      </c>
      <c r="L148">
        <v>2</v>
      </c>
      <c r="M148">
        <v>2</v>
      </c>
      <c r="N148" s="6">
        <v>1350017.0829432299</v>
      </c>
      <c r="O148" s="6">
        <v>372653.17917157599</v>
      </c>
      <c r="P148" s="6">
        <v>252311.113319739</v>
      </c>
      <c r="Q148" s="6">
        <v>50844.110836585802</v>
      </c>
      <c r="R148" s="6">
        <v>97424.877084788197</v>
      </c>
      <c r="S148" s="6">
        <v>49165.542471733803</v>
      </c>
      <c r="T148" s="6">
        <v>1749236.06</v>
      </c>
      <c r="U148" s="6">
        <v>374014.30335592001</v>
      </c>
      <c r="V148" s="6">
        <v>1760646.2338485699</v>
      </c>
      <c r="W148" s="6">
        <v>351149.96256584802</v>
      </c>
      <c r="X148" s="6">
        <v>0</v>
      </c>
      <c r="Y148" s="6">
        <v>0</v>
      </c>
      <c r="Z148" s="6">
        <v>0</v>
      </c>
      <c r="AA148" s="6">
        <v>2887.97091746357</v>
      </c>
      <c r="AB148" s="6">
        <v>8566.1960240324897</v>
      </c>
      <c r="AC148" s="6">
        <v>39906.263050808797</v>
      </c>
      <c r="AD148" s="6">
        <v>9259.2794209249496</v>
      </c>
      <c r="AE148" s="6">
        <v>0</v>
      </c>
      <c r="AF148" s="6">
        <v>0</v>
      </c>
      <c r="AG148" s="6">
        <v>0</v>
      </c>
      <c r="AH148" s="6">
        <v>0</v>
      </c>
      <c r="AI148" s="6">
        <v>0</v>
      </c>
      <c r="AJ148" s="6">
        <v>2172415.9058276499</v>
      </c>
      <c r="AK148" s="6">
        <v>21066.534605899698</v>
      </c>
      <c r="AL148" s="6">
        <v>330.98244656580999</v>
      </c>
      <c r="AM148" s="6">
        <v>93035.839999999997</v>
      </c>
      <c r="AN148" s="6">
        <v>4103.69526513439</v>
      </c>
      <c r="AO148" s="6">
        <v>21066.534605899698</v>
      </c>
      <c r="AP148" s="6">
        <v>330.98244656580999</v>
      </c>
      <c r="AQ148" s="6">
        <v>40734.411818744898</v>
      </c>
      <c r="AR148" s="6">
        <v>12936.0318907331</v>
      </c>
      <c r="AS148" s="6">
        <v>21066.534605899698</v>
      </c>
      <c r="AT148" s="6">
        <v>0</v>
      </c>
      <c r="AU148" t="s">
        <v>2973</v>
      </c>
      <c r="AV148" t="s">
        <v>2973</v>
      </c>
    </row>
    <row r="149" spans="1:48" x14ac:dyDescent="0.45">
      <c r="A149" s="5" t="s">
        <v>298</v>
      </c>
      <c r="B149">
        <v>2088</v>
      </c>
      <c r="C149" t="s">
        <v>286</v>
      </c>
      <c r="D149">
        <v>586</v>
      </c>
      <c r="E149" t="s">
        <v>299</v>
      </c>
      <c r="F149" t="s">
        <v>2739</v>
      </c>
      <c r="G149" t="s">
        <v>2740</v>
      </c>
      <c r="H149" t="s">
        <v>2745</v>
      </c>
      <c r="I149" t="s">
        <v>2742</v>
      </c>
      <c r="J149">
        <v>418.73407785583203</v>
      </c>
      <c r="K149">
        <v>2</v>
      </c>
      <c r="L149">
        <v>1</v>
      </c>
      <c r="M149">
        <v>2</v>
      </c>
      <c r="N149" s="6">
        <v>2922609.4649634799</v>
      </c>
      <c r="O149" s="6">
        <v>746832.67008326505</v>
      </c>
      <c r="P149" s="6">
        <v>956030.60050172999</v>
      </c>
      <c r="Q149" s="6">
        <v>206456.751905938</v>
      </c>
      <c r="R149" s="6">
        <v>161933.130107131</v>
      </c>
      <c r="S149" s="6">
        <v>199640.785085843</v>
      </c>
      <c r="T149" s="6">
        <v>3475146.35</v>
      </c>
      <c r="U149" s="6">
        <v>1518716.26756155</v>
      </c>
      <c r="V149" s="6">
        <v>4052689.3524192101</v>
      </c>
      <c r="W149" s="6">
        <v>894662.66512162203</v>
      </c>
      <c r="X149" s="6">
        <v>0</v>
      </c>
      <c r="Y149" s="6">
        <v>0</v>
      </c>
      <c r="Z149" s="6">
        <v>0</v>
      </c>
      <c r="AA149" s="6">
        <v>11726.846736186901</v>
      </c>
      <c r="AB149" s="6">
        <v>34783.753284534097</v>
      </c>
      <c r="AC149" s="6">
        <v>162042.708872499</v>
      </c>
      <c r="AD149" s="6">
        <v>37598.076213343898</v>
      </c>
      <c r="AE149" s="6">
        <v>0</v>
      </c>
      <c r="AF149" s="6">
        <v>0</v>
      </c>
      <c r="AG149" s="6">
        <v>0</v>
      </c>
      <c r="AH149" s="6">
        <v>0</v>
      </c>
      <c r="AI149" s="6">
        <v>0</v>
      </c>
      <c r="AJ149" s="6">
        <v>5193503.40264739</v>
      </c>
      <c r="AK149" s="6">
        <v>12402.867780050799</v>
      </c>
      <c r="AL149" s="6">
        <v>330.98244656580999</v>
      </c>
      <c r="AM149" s="6">
        <v>93035.839999999997</v>
      </c>
      <c r="AN149" s="6">
        <v>4103.69526513439</v>
      </c>
      <c r="AO149" s="6">
        <v>21066.534605899698</v>
      </c>
      <c r="AP149" s="6">
        <v>330.98244656580999</v>
      </c>
      <c r="AQ149" s="6">
        <v>93035.839999999997</v>
      </c>
      <c r="AR149" s="6">
        <v>11191.767014867401</v>
      </c>
      <c r="AS149" s="6">
        <v>14755.726054807201</v>
      </c>
      <c r="AT149" s="6">
        <v>0</v>
      </c>
      <c r="AU149" t="s">
        <v>2973</v>
      </c>
      <c r="AV149" t="s">
        <v>2973</v>
      </c>
    </row>
    <row r="150" spans="1:48" x14ac:dyDescent="0.45">
      <c r="A150" s="5" t="s">
        <v>300</v>
      </c>
      <c r="B150">
        <v>2088</v>
      </c>
      <c r="C150" t="s">
        <v>286</v>
      </c>
      <c r="D150">
        <v>2264</v>
      </c>
      <c r="E150" t="s">
        <v>301</v>
      </c>
      <c r="F150" t="s">
        <v>2739</v>
      </c>
      <c r="G150" t="s">
        <v>2740</v>
      </c>
      <c r="H150" t="s">
        <v>2745</v>
      </c>
      <c r="I150" t="s">
        <v>2742</v>
      </c>
      <c r="J150">
        <v>799.99585221659299</v>
      </c>
      <c r="K150">
        <v>1</v>
      </c>
      <c r="L150">
        <v>1</v>
      </c>
      <c r="M150">
        <v>2</v>
      </c>
      <c r="N150" s="6">
        <v>4817482.2213282902</v>
      </c>
      <c r="O150" s="6">
        <v>1296487.95925153</v>
      </c>
      <c r="P150" s="6">
        <v>1754168.45679259</v>
      </c>
      <c r="Q150" s="6">
        <v>394437.79219642503</v>
      </c>
      <c r="R150" s="6">
        <v>309374.94527674199</v>
      </c>
      <c r="S150" s="6">
        <v>381415.81602280302</v>
      </c>
      <c r="T150" s="6">
        <v>5670428</v>
      </c>
      <c r="U150" s="6">
        <v>2901523.3748455802</v>
      </c>
      <c r="V150" s="6">
        <v>7309638.5684919702</v>
      </c>
      <c r="W150" s="6">
        <v>1173453.8166787999</v>
      </c>
      <c r="X150" s="6">
        <v>0</v>
      </c>
      <c r="Y150" s="6">
        <v>0</v>
      </c>
      <c r="Z150" s="6">
        <v>0</v>
      </c>
      <c r="AA150" s="6">
        <v>22404.263814800299</v>
      </c>
      <c r="AB150" s="6">
        <v>66454.725860007995</v>
      </c>
      <c r="AC150" s="6">
        <v>309584.29665849201</v>
      </c>
      <c r="AD150" s="6">
        <v>71831.519364311796</v>
      </c>
      <c r="AE150" s="6">
        <v>0</v>
      </c>
      <c r="AF150" s="6">
        <v>0</v>
      </c>
      <c r="AG150" s="6">
        <v>0</v>
      </c>
      <c r="AH150" s="6">
        <v>0</v>
      </c>
      <c r="AI150" s="6">
        <v>0</v>
      </c>
      <c r="AJ150" s="6">
        <v>8953367.1908683795</v>
      </c>
      <c r="AK150" s="6">
        <v>11191.767014867401</v>
      </c>
      <c r="AL150" s="6">
        <v>330.98244656580999</v>
      </c>
      <c r="AM150" s="6">
        <v>93035.839999999997</v>
      </c>
      <c r="AN150" s="6">
        <v>4103.69526513439</v>
      </c>
      <c r="AO150" s="6">
        <v>21066.534605899698</v>
      </c>
      <c r="AP150" s="6">
        <v>330.98244656580999</v>
      </c>
      <c r="AQ150" s="6">
        <v>93035.839999999997</v>
      </c>
      <c r="AR150" s="6">
        <v>11191.767014867401</v>
      </c>
      <c r="AS150" s="6">
        <v>14755.726054807201</v>
      </c>
      <c r="AT150" s="6">
        <v>0</v>
      </c>
      <c r="AU150" t="s">
        <v>2973</v>
      </c>
      <c r="AV150" t="s">
        <v>2973</v>
      </c>
    </row>
    <row r="151" spans="1:48" x14ac:dyDescent="0.45">
      <c r="A151" s="5" t="s">
        <v>302</v>
      </c>
      <c r="B151">
        <v>2088</v>
      </c>
      <c r="C151" t="s">
        <v>286</v>
      </c>
      <c r="D151">
        <v>3567</v>
      </c>
      <c r="E151" t="s">
        <v>303</v>
      </c>
      <c r="F151" t="s">
        <v>2739</v>
      </c>
      <c r="G151" t="s">
        <v>2740</v>
      </c>
      <c r="H151" t="s">
        <v>2745</v>
      </c>
      <c r="I151" t="s">
        <v>2742</v>
      </c>
      <c r="J151">
        <v>670.65689655157701</v>
      </c>
      <c r="K151">
        <v>2</v>
      </c>
      <c r="L151">
        <v>1</v>
      </c>
      <c r="M151">
        <v>2</v>
      </c>
      <c r="N151" s="6">
        <v>4729689.5963110002</v>
      </c>
      <c r="O151" s="6">
        <v>1345517.1694756299</v>
      </c>
      <c r="P151" s="6">
        <v>1656897.02101515</v>
      </c>
      <c r="Q151" s="6">
        <v>330667.246416535</v>
      </c>
      <c r="R151" s="6">
        <v>259356.89553292701</v>
      </c>
      <c r="S151" s="6">
        <v>319750.592157176</v>
      </c>
      <c r="T151" s="6">
        <v>5889706.9900000002</v>
      </c>
      <c r="U151" s="6">
        <v>2432420.93875125</v>
      </c>
      <c r="V151" s="6">
        <v>7066103.6119668903</v>
      </c>
      <c r="W151" s="6">
        <v>1181531.5627520799</v>
      </c>
      <c r="X151" s="6">
        <v>0</v>
      </c>
      <c r="Y151" s="6">
        <v>0</v>
      </c>
      <c r="Z151" s="6">
        <v>0</v>
      </c>
      <c r="AA151" s="6">
        <v>18782.064929367501</v>
      </c>
      <c r="AB151" s="6">
        <v>55710.689102913297</v>
      </c>
      <c r="AC151" s="6">
        <v>259532.400127837</v>
      </c>
      <c r="AD151" s="6">
        <v>60218.192029339501</v>
      </c>
      <c r="AE151" s="6">
        <v>0</v>
      </c>
      <c r="AF151" s="6">
        <v>0</v>
      </c>
      <c r="AG151" s="6">
        <v>0</v>
      </c>
      <c r="AH151" s="6">
        <v>0</v>
      </c>
      <c r="AI151" s="6">
        <v>0</v>
      </c>
      <c r="AJ151" s="6">
        <v>8641878.5209084302</v>
      </c>
      <c r="AK151" s="6">
        <v>12885.6924685987</v>
      </c>
      <c r="AL151" s="6">
        <v>330.98244656580999</v>
      </c>
      <c r="AM151" s="6">
        <v>93035.839999999997</v>
      </c>
      <c r="AN151" s="6">
        <v>4103.69526513439</v>
      </c>
      <c r="AO151" s="6">
        <v>21066.534605899698</v>
      </c>
      <c r="AP151" s="6">
        <v>330.98244656580999</v>
      </c>
      <c r="AQ151" s="6">
        <v>93035.839999999997</v>
      </c>
      <c r="AR151" s="6">
        <v>11191.767014867401</v>
      </c>
      <c r="AS151" s="6">
        <v>14755.726054807201</v>
      </c>
      <c r="AT151" s="6">
        <v>0</v>
      </c>
      <c r="AU151" t="s">
        <v>2973</v>
      </c>
      <c r="AV151" t="s">
        <v>2973</v>
      </c>
    </row>
    <row r="152" spans="1:48" x14ac:dyDescent="0.45">
      <c r="A152" s="5" t="s">
        <v>304</v>
      </c>
      <c r="B152">
        <v>2088</v>
      </c>
      <c r="C152" t="s">
        <v>286</v>
      </c>
      <c r="D152">
        <v>587</v>
      </c>
      <c r="E152" t="s">
        <v>305</v>
      </c>
      <c r="F152" t="s">
        <v>2739</v>
      </c>
      <c r="G152" t="s">
        <v>2747</v>
      </c>
      <c r="H152" t="s">
        <v>2745</v>
      </c>
      <c r="I152" t="s">
        <v>2742</v>
      </c>
      <c r="J152">
        <v>417.53641381196798</v>
      </c>
      <c r="K152">
        <v>1</v>
      </c>
      <c r="L152">
        <v>2</v>
      </c>
      <c r="M152">
        <v>2</v>
      </c>
      <c r="N152" s="6">
        <v>2469305.46550324</v>
      </c>
      <c r="O152" s="6">
        <v>1049665.9965679301</v>
      </c>
      <c r="P152" s="6">
        <v>1049515.87765719</v>
      </c>
      <c r="Q152" s="6">
        <v>205866.243892745</v>
      </c>
      <c r="R152" s="6">
        <v>161269.968645727</v>
      </c>
      <c r="S152" s="6">
        <v>199069.77211453099</v>
      </c>
      <c r="T152" s="6">
        <v>3421251.12</v>
      </c>
      <c r="U152" s="6">
        <v>1514372.43226684</v>
      </c>
      <c r="V152" s="6">
        <v>4092485.6744206501</v>
      </c>
      <c r="W152" s="6">
        <v>796960.30753632495</v>
      </c>
      <c r="X152" s="6">
        <v>0</v>
      </c>
      <c r="Y152" s="6">
        <v>0</v>
      </c>
      <c r="Z152" s="6">
        <v>0</v>
      </c>
      <c r="AA152" s="6">
        <v>11693.305585784799</v>
      </c>
      <c r="AB152" s="6">
        <v>34484.264724078603</v>
      </c>
      <c r="AC152" s="6">
        <v>161579.23399369101</v>
      </c>
      <c r="AD152" s="6">
        <v>37490.538120839497</v>
      </c>
      <c r="AE152" s="6">
        <v>0</v>
      </c>
      <c r="AF152" s="6">
        <v>0</v>
      </c>
      <c r="AG152" s="6">
        <v>0</v>
      </c>
      <c r="AH152" s="6">
        <v>0</v>
      </c>
      <c r="AI152" s="6">
        <v>0</v>
      </c>
      <c r="AJ152" s="6">
        <v>5134693.3243813701</v>
      </c>
      <c r="AK152" s="6">
        <v>12297.594064918399</v>
      </c>
      <c r="AL152" s="6">
        <v>330.98244656580999</v>
      </c>
      <c r="AM152" s="6">
        <v>93035.839999999997</v>
      </c>
      <c r="AN152" s="6">
        <v>4103.69526513439</v>
      </c>
      <c r="AO152" s="6">
        <v>21066.534605899698</v>
      </c>
      <c r="AP152" s="6">
        <v>3753.1860850462999</v>
      </c>
      <c r="AQ152" s="6">
        <v>20687.885194392002</v>
      </c>
      <c r="AR152" s="6">
        <v>12297.594064918399</v>
      </c>
      <c r="AS152" s="6">
        <v>13935.066121624999</v>
      </c>
      <c r="AT152" s="6">
        <v>0</v>
      </c>
      <c r="AU152" t="s">
        <v>2973</v>
      </c>
      <c r="AV152" t="s">
        <v>2973</v>
      </c>
    </row>
    <row r="153" spans="1:48" x14ac:dyDescent="0.45">
      <c r="A153" s="5" t="s">
        <v>306</v>
      </c>
      <c r="B153">
        <v>2088</v>
      </c>
      <c r="C153" t="s">
        <v>286</v>
      </c>
      <c r="D153">
        <v>588</v>
      </c>
      <c r="E153" t="s">
        <v>307</v>
      </c>
      <c r="F153" t="s">
        <v>2739</v>
      </c>
      <c r="G153" t="s">
        <v>2744</v>
      </c>
      <c r="H153" t="s">
        <v>2745</v>
      </c>
      <c r="I153" t="s">
        <v>2742</v>
      </c>
      <c r="J153">
        <v>1469.3520491946099</v>
      </c>
      <c r="K153">
        <v>1</v>
      </c>
      <c r="L153">
        <v>1</v>
      </c>
      <c r="M153">
        <v>2</v>
      </c>
      <c r="N153" s="6">
        <v>8682108.6543599907</v>
      </c>
      <c r="O153" s="6">
        <v>4673945.6326995604</v>
      </c>
      <c r="P153" s="6">
        <v>3657758.7769774301</v>
      </c>
      <c r="Q153" s="6">
        <v>724996.79895281</v>
      </c>
      <c r="R153" s="6">
        <v>568228.83337747096</v>
      </c>
      <c r="S153" s="6">
        <v>700546.27072817204</v>
      </c>
      <c r="T153" s="6">
        <v>12977811.92</v>
      </c>
      <c r="U153" s="6">
        <v>5329226.7763672499</v>
      </c>
      <c r="V153" s="6">
        <v>14292149.8002939</v>
      </c>
      <c r="W153" s="6">
        <v>3851681.6266777902</v>
      </c>
      <c r="X153" s="6">
        <v>0</v>
      </c>
      <c r="Y153" s="6">
        <v>0</v>
      </c>
      <c r="Z153" s="6">
        <v>0</v>
      </c>
      <c r="AA153" s="6">
        <v>41149.902034817896</v>
      </c>
      <c r="AB153" s="6">
        <v>122057.36736074</v>
      </c>
      <c r="AC153" s="6">
        <v>568613.34897329996</v>
      </c>
      <c r="AD153" s="6">
        <v>131932.92175487199</v>
      </c>
      <c r="AE153" s="6">
        <v>0</v>
      </c>
      <c r="AF153" s="6">
        <v>0</v>
      </c>
      <c r="AG153" s="6">
        <v>0</v>
      </c>
      <c r="AH153" s="6">
        <v>0</v>
      </c>
      <c r="AI153" s="6">
        <v>0</v>
      </c>
      <c r="AJ153" s="6">
        <v>19007584.967095401</v>
      </c>
      <c r="AK153" s="6">
        <v>12936.0318907331</v>
      </c>
      <c r="AL153" s="6">
        <v>330.98244656580999</v>
      </c>
      <c r="AM153" s="6">
        <v>93035.839999999997</v>
      </c>
      <c r="AN153" s="6">
        <v>4103.69526513439</v>
      </c>
      <c r="AO153" s="6">
        <v>21066.534605899698</v>
      </c>
      <c r="AP153" s="6">
        <v>330.98244656580999</v>
      </c>
      <c r="AQ153" s="6">
        <v>40734.411818744898</v>
      </c>
      <c r="AR153" s="6">
        <v>12936.0318907331</v>
      </c>
      <c r="AS153" s="6">
        <v>21066.534605899698</v>
      </c>
      <c r="AT153" s="6">
        <v>0</v>
      </c>
      <c r="AU153" t="s">
        <v>2973</v>
      </c>
      <c r="AV153" t="s">
        <v>2973</v>
      </c>
    </row>
    <row r="154" spans="1:48" x14ac:dyDescent="0.45">
      <c r="A154" s="5" t="s">
        <v>308</v>
      </c>
      <c r="B154">
        <v>2095</v>
      </c>
      <c r="C154" t="s">
        <v>309</v>
      </c>
      <c r="D154">
        <v>2095</v>
      </c>
      <c r="E154" t="s">
        <v>309</v>
      </c>
      <c r="F154" t="s">
        <v>1</v>
      </c>
      <c r="G154" t="s">
        <v>1</v>
      </c>
      <c r="H154" t="s">
        <v>2743</v>
      </c>
      <c r="I154" t="s">
        <v>2742</v>
      </c>
      <c r="J154">
        <v>1</v>
      </c>
      <c r="K154">
        <v>0</v>
      </c>
      <c r="L154">
        <v>0</v>
      </c>
      <c r="M154">
        <v>1</v>
      </c>
      <c r="N154" s="6">
        <v>1480.7128919812901</v>
      </c>
      <c r="O154" s="6">
        <v>1174.9740906667901</v>
      </c>
      <c r="P154" s="6">
        <v>4102.2229048624304</v>
      </c>
      <c r="Q154" s="6">
        <v>1142.40492894371</v>
      </c>
      <c r="R154" s="6">
        <v>1093.6915470771301</v>
      </c>
      <c r="S154" s="6">
        <v>710.79596192112501</v>
      </c>
      <c r="T154" s="6">
        <v>0</v>
      </c>
      <c r="U154" s="6">
        <v>8994.0063635313509</v>
      </c>
      <c r="V154" s="6">
        <v>7276.5864760425502</v>
      </c>
      <c r="W154" s="6">
        <v>1679.3129052193999</v>
      </c>
      <c r="X154" s="6">
        <v>0</v>
      </c>
      <c r="Y154" s="6">
        <v>0</v>
      </c>
      <c r="Z154" s="6">
        <v>0</v>
      </c>
      <c r="AA154" s="6">
        <v>0</v>
      </c>
      <c r="AB154" s="6">
        <v>38.106982269400604</v>
      </c>
      <c r="AC154" s="6">
        <v>584.60928925455505</v>
      </c>
      <c r="AD154" s="6">
        <v>126.18667266657</v>
      </c>
      <c r="AE154" s="6">
        <v>0</v>
      </c>
      <c r="AF154" s="6">
        <v>0</v>
      </c>
      <c r="AG154" s="6">
        <v>0</v>
      </c>
      <c r="AH154" s="6">
        <v>0</v>
      </c>
      <c r="AI154" s="6">
        <v>0</v>
      </c>
      <c r="AJ154" s="6">
        <v>9704.8023254524705</v>
      </c>
      <c r="AK154" s="6">
        <v>9704.8023254524705</v>
      </c>
      <c r="AL154" s="6">
        <v>330.98244656580999</v>
      </c>
      <c r="AM154" s="6">
        <v>93035.839999999997</v>
      </c>
      <c r="AN154" s="6">
        <v>9704.8023254524705</v>
      </c>
      <c r="AO154" s="6">
        <v>18146.263099815002</v>
      </c>
      <c r="AP154" s="6">
        <v>634.54287297753501</v>
      </c>
      <c r="AQ154" s="6">
        <v>40331.279999999999</v>
      </c>
      <c r="AR154" s="6">
        <v>9704.8023254524705</v>
      </c>
      <c r="AS154" s="6">
        <v>9704.8023254524705</v>
      </c>
      <c r="AT154" s="6">
        <v>0</v>
      </c>
      <c r="AU154" t="s">
        <v>2973</v>
      </c>
      <c r="AV154" t="s">
        <v>2977</v>
      </c>
    </row>
    <row r="155" spans="1:48" x14ac:dyDescent="0.45">
      <c r="A155" s="5" t="s">
        <v>310</v>
      </c>
      <c r="B155">
        <v>2095</v>
      </c>
      <c r="C155" t="s">
        <v>309</v>
      </c>
      <c r="D155">
        <v>3401</v>
      </c>
      <c r="E155" t="s">
        <v>311</v>
      </c>
      <c r="F155" t="s">
        <v>3</v>
      </c>
      <c r="G155" t="s">
        <v>2748</v>
      </c>
      <c r="H155" t="s">
        <v>2745</v>
      </c>
      <c r="I155" t="s">
        <v>2742</v>
      </c>
      <c r="J155">
        <v>227.30461720885199</v>
      </c>
      <c r="K155">
        <v>1</v>
      </c>
      <c r="L155">
        <v>2</v>
      </c>
      <c r="M155">
        <v>1</v>
      </c>
      <c r="N155" s="6">
        <v>1866533.40710802</v>
      </c>
      <c r="O155" s="6">
        <v>650499.96590933297</v>
      </c>
      <c r="P155" s="6">
        <v>932454.20709513803</v>
      </c>
      <c r="Q155" s="6">
        <v>259673.91507105599</v>
      </c>
      <c r="R155" s="6">
        <v>254000.688452923</v>
      </c>
      <c r="S155" s="6">
        <v>161567.20403807901</v>
      </c>
      <c r="T155" s="6">
        <v>1918783.01</v>
      </c>
      <c r="U155" s="6">
        <v>2044379.17363647</v>
      </c>
      <c r="V155" s="6">
        <v>3394950.9235239602</v>
      </c>
      <c r="W155" s="6">
        <v>559549.36709478102</v>
      </c>
      <c r="X155" s="6">
        <v>0</v>
      </c>
      <c r="Y155" s="6">
        <v>0</v>
      </c>
      <c r="Z155" s="6">
        <v>0</v>
      </c>
      <c r="AA155" s="6">
        <v>0</v>
      </c>
      <c r="AB155" s="6">
        <v>8661.8930177305992</v>
      </c>
      <c r="AC155" s="6">
        <v>132884.39071074501</v>
      </c>
      <c r="AD155" s="6">
        <v>28682.813327333399</v>
      </c>
      <c r="AE155" s="6">
        <v>0</v>
      </c>
      <c r="AF155" s="6">
        <v>0</v>
      </c>
      <c r="AG155" s="6">
        <v>0</v>
      </c>
      <c r="AH155" s="6">
        <v>0</v>
      </c>
      <c r="AI155" s="6">
        <v>0</v>
      </c>
      <c r="AJ155" s="6">
        <v>4124729.3876745501</v>
      </c>
      <c r="AK155" s="6">
        <v>18146.263099815002</v>
      </c>
      <c r="AL155" s="6">
        <v>330.98244656580999</v>
      </c>
      <c r="AM155" s="6">
        <v>93035.839999999997</v>
      </c>
      <c r="AN155" s="6">
        <v>9704.8023254524705</v>
      </c>
      <c r="AO155" s="6">
        <v>18146.263099815002</v>
      </c>
      <c r="AP155" s="6">
        <v>330.98244656580999</v>
      </c>
      <c r="AQ155" s="6">
        <v>56162.493707719797</v>
      </c>
      <c r="AR155" s="6">
        <v>18146.263099815002</v>
      </c>
      <c r="AS155" s="6">
        <v>18146.263099815002</v>
      </c>
      <c r="AT155" s="6">
        <v>0</v>
      </c>
      <c r="AU155" t="s">
        <v>2973</v>
      </c>
      <c r="AV155" t="s">
        <v>2973</v>
      </c>
    </row>
    <row r="156" spans="1:48" x14ac:dyDescent="0.45">
      <c r="A156" s="5" t="s">
        <v>312</v>
      </c>
      <c r="B156">
        <v>2052</v>
      </c>
      <c r="C156" t="s">
        <v>313</v>
      </c>
      <c r="D156">
        <v>428</v>
      </c>
      <c r="E156" t="s">
        <v>314</v>
      </c>
      <c r="F156" t="s">
        <v>2739</v>
      </c>
      <c r="G156" t="s">
        <v>2740</v>
      </c>
      <c r="H156" t="s">
        <v>2745</v>
      </c>
      <c r="I156" t="s">
        <v>2742</v>
      </c>
      <c r="J156">
        <v>27.569767441860002</v>
      </c>
      <c r="K156">
        <v>1</v>
      </c>
      <c r="L156">
        <v>1</v>
      </c>
      <c r="M156">
        <v>2</v>
      </c>
      <c r="N156" s="6">
        <v>212547.644792345</v>
      </c>
      <c r="O156" s="6">
        <v>45339.885754504699</v>
      </c>
      <c r="P156" s="6">
        <v>85142.088277842893</v>
      </c>
      <c r="Q156" s="6">
        <v>109074.30335414701</v>
      </c>
      <c r="R156" s="6">
        <v>10950.053919354001</v>
      </c>
      <c r="S156" s="6">
        <v>18415.892347712801</v>
      </c>
      <c r="T156" s="6">
        <v>0</v>
      </c>
      <c r="U156" s="6">
        <v>463053.97609819402</v>
      </c>
      <c r="V156" s="6">
        <v>446243.93710771902</v>
      </c>
      <c r="W156" s="6">
        <v>16810.038990474401</v>
      </c>
      <c r="X156" s="6">
        <v>0</v>
      </c>
      <c r="Y156" s="6">
        <v>0</v>
      </c>
      <c r="Z156" s="6">
        <v>0</v>
      </c>
      <c r="AA156" s="6">
        <v>0</v>
      </c>
      <c r="AB156" s="6">
        <v>0</v>
      </c>
      <c r="AC156" s="6">
        <v>18383.932778192499</v>
      </c>
      <c r="AD156" s="6">
        <v>31.959569520204202</v>
      </c>
      <c r="AE156" s="6">
        <v>0</v>
      </c>
      <c r="AF156" s="6">
        <v>0</v>
      </c>
      <c r="AG156" s="6">
        <v>0</v>
      </c>
      <c r="AH156" s="6">
        <v>0</v>
      </c>
      <c r="AI156" s="6">
        <v>0</v>
      </c>
      <c r="AJ156" s="6">
        <v>481469.86844590597</v>
      </c>
      <c r="AK156" s="6">
        <v>17463.689871931099</v>
      </c>
      <c r="AL156" s="6">
        <v>330.98244656580999</v>
      </c>
      <c r="AM156" s="6">
        <v>93035.839999999997</v>
      </c>
      <c r="AN156" s="6">
        <v>17463.689871931099</v>
      </c>
      <c r="AO156" s="6">
        <v>17463.689871931099</v>
      </c>
      <c r="AP156" s="6">
        <v>330.98244656580999</v>
      </c>
      <c r="AQ156" s="6">
        <v>93035.839999999997</v>
      </c>
      <c r="AR156" s="6">
        <v>17463.689871931099</v>
      </c>
      <c r="AS156" s="6">
        <v>17463.689871931099</v>
      </c>
      <c r="AT156" s="6">
        <v>0</v>
      </c>
      <c r="AU156" t="s">
        <v>2973</v>
      </c>
      <c r="AV156" t="s">
        <v>2976</v>
      </c>
    </row>
    <row r="157" spans="1:48" x14ac:dyDescent="0.45">
      <c r="A157" s="5" t="s">
        <v>315</v>
      </c>
      <c r="B157">
        <v>2052</v>
      </c>
      <c r="C157" t="s">
        <v>313</v>
      </c>
      <c r="D157">
        <v>2052</v>
      </c>
      <c r="E157" t="s">
        <v>313</v>
      </c>
      <c r="F157" t="s">
        <v>1</v>
      </c>
      <c r="G157" t="s">
        <v>1</v>
      </c>
      <c r="H157" t="s">
        <v>2743</v>
      </c>
      <c r="I157" t="s">
        <v>2742</v>
      </c>
      <c r="J157">
        <v>2.9937499999999999</v>
      </c>
      <c r="K157">
        <v>0</v>
      </c>
      <c r="L157">
        <v>0</v>
      </c>
      <c r="M157">
        <v>2</v>
      </c>
      <c r="N157" s="6">
        <v>23080.155207655</v>
      </c>
      <c r="O157" s="6">
        <v>4923.3742454952999</v>
      </c>
      <c r="P157" s="6">
        <v>9245.4217221571107</v>
      </c>
      <c r="Q157" s="6">
        <v>11844.176645853</v>
      </c>
      <c r="R157" s="6">
        <v>1189.0460806460201</v>
      </c>
      <c r="S157" s="6">
        <v>1999.74765228725</v>
      </c>
      <c r="T157" s="6">
        <v>0</v>
      </c>
      <c r="U157" s="6">
        <v>50282.173901806498</v>
      </c>
      <c r="V157" s="6">
        <v>48456.802892280903</v>
      </c>
      <c r="W157" s="6">
        <v>1825.3710095255601</v>
      </c>
      <c r="X157" s="6">
        <v>0</v>
      </c>
      <c r="Y157" s="6">
        <v>0</v>
      </c>
      <c r="Z157" s="6">
        <v>0</v>
      </c>
      <c r="AA157" s="6">
        <v>0</v>
      </c>
      <c r="AB157" s="6">
        <v>0</v>
      </c>
      <c r="AC157" s="6">
        <v>1996.2772218074599</v>
      </c>
      <c r="AD157" s="6">
        <v>3.4704304797957501</v>
      </c>
      <c r="AE157" s="6">
        <v>0</v>
      </c>
      <c r="AF157" s="6">
        <v>0</v>
      </c>
      <c r="AG157" s="6">
        <v>0</v>
      </c>
      <c r="AH157" s="6">
        <v>0</v>
      </c>
      <c r="AI157" s="6">
        <v>0</v>
      </c>
      <c r="AJ157" s="6">
        <v>52281.9215540937</v>
      </c>
      <c r="AK157" s="6">
        <v>17463.689871931099</v>
      </c>
      <c r="AL157" s="6">
        <v>330.98244656580999</v>
      </c>
      <c r="AM157" s="6">
        <v>93035.839999999997</v>
      </c>
      <c r="AN157" s="6">
        <v>17463.689871931099</v>
      </c>
      <c r="AO157" s="6">
        <v>17463.689871931099</v>
      </c>
      <c r="AP157" s="6">
        <v>634.54287297753501</v>
      </c>
      <c r="AQ157" s="6">
        <v>40331.279999999999</v>
      </c>
      <c r="AR157" s="6">
        <v>17463.689871931099</v>
      </c>
      <c r="AS157" s="6">
        <v>17463.689871931099</v>
      </c>
      <c r="AT157" s="6">
        <v>0</v>
      </c>
      <c r="AU157" t="s">
        <v>2973</v>
      </c>
      <c r="AV157" t="s">
        <v>2977</v>
      </c>
    </row>
    <row r="158" spans="1:48" x14ac:dyDescent="0.45">
      <c r="A158" s="5" t="s">
        <v>316</v>
      </c>
      <c r="B158">
        <v>1974</v>
      </c>
      <c r="C158" t="s">
        <v>317</v>
      </c>
      <c r="D158">
        <v>235</v>
      </c>
      <c r="E158" t="s">
        <v>318</v>
      </c>
      <c r="F158" t="s">
        <v>2739</v>
      </c>
      <c r="G158" t="s">
        <v>2747</v>
      </c>
      <c r="H158" t="s">
        <v>2745</v>
      </c>
      <c r="I158" t="s">
        <v>2742</v>
      </c>
      <c r="J158">
        <v>339.58697172423803</v>
      </c>
      <c r="K158">
        <v>1</v>
      </c>
      <c r="L158">
        <v>1</v>
      </c>
      <c r="M158">
        <v>3</v>
      </c>
      <c r="N158" s="6">
        <v>2355360.63379987</v>
      </c>
      <c r="O158" s="6">
        <v>804067.22997692495</v>
      </c>
      <c r="P158" s="6">
        <v>852487.05916099995</v>
      </c>
      <c r="Q158" s="6">
        <v>299011.33679673402</v>
      </c>
      <c r="R158" s="6">
        <v>269049.80777428998</v>
      </c>
      <c r="S158" s="6">
        <v>24711.203077933402</v>
      </c>
      <c r="T158" s="6">
        <v>2912980.12</v>
      </c>
      <c r="U158" s="6">
        <v>1666995.9475088201</v>
      </c>
      <c r="V158" s="6">
        <v>4017705.96526078</v>
      </c>
      <c r="W158" s="6">
        <v>562270.10224804201</v>
      </c>
      <c r="X158" s="6">
        <v>0</v>
      </c>
      <c r="Y158" s="6">
        <v>0</v>
      </c>
      <c r="Z158" s="6">
        <v>0</v>
      </c>
      <c r="AA158" s="6">
        <v>0</v>
      </c>
      <c r="AB158" s="6">
        <v>0</v>
      </c>
      <c r="AC158" s="6">
        <v>17820.707361140401</v>
      </c>
      <c r="AD158" s="6">
        <v>6890.4957167930097</v>
      </c>
      <c r="AE158" s="6">
        <v>0</v>
      </c>
      <c r="AF158" s="6">
        <v>0</v>
      </c>
      <c r="AG158" s="6">
        <v>0</v>
      </c>
      <c r="AH158" s="6">
        <v>0</v>
      </c>
      <c r="AI158" s="6">
        <v>0</v>
      </c>
      <c r="AJ158" s="6">
        <v>4604687.2705867495</v>
      </c>
      <c r="AK158" s="6">
        <v>13559.669993247</v>
      </c>
      <c r="AL158" s="6">
        <v>330.98244656580999</v>
      </c>
      <c r="AM158" s="6">
        <v>93035.839999999997</v>
      </c>
      <c r="AN158" s="6">
        <v>11158.632559605299</v>
      </c>
      <c r="AO158" s="6">
        <v>15561.6462221559</v>
      </c>
      <c r="AP158" s="6">
        <v>3753.1860850462999</v>
      </c>
      <c r="AQ158" s="6">
        <v>20687.885194392002</v>
      </c>
      <c r="AR158" s="6">
        <v>13559.669993247</v>
      </c>
      <c r="AS158" s="6">
        <v>13559.669993247</v>
      </c>
      <c r="AT158" s="6">
        <v>0</v>
      </c>
      <c r="AU158" t="s">
        <v>2973</v>
      </c>
      <c r="AV158" t="s">
        <v>2973</v>
      </c>
    </row>
    <row r="159" spans="1:48" x14ac:dyDescent="0.45">
      <c r="A159" s="5" t="s">
        <v>319</v>
      </c>
      <c r="B159">
        <v>1974</v>
      </c>
      <c r="C159" t="s">
        <v>317</v>
      </c>
      <c r="D159">
        <v>237</v>
      </c>
      <c r="E159" t="s">
        <v>320</v>
      </c>
      <c r="F159" t="s">
        <v>2739</v>
      </c>
      <c r="G159" t="s">
        <v>2744</v>
      </c>
      <c r="H159" t="s">
        <v>2745</v>
      </c>
      <c r="I159" t="s">
        <v>2742</v>
      </c>
      <c r="J159">
        <v>475.61719631378401</v>
      </c>
      <c r="K159">
        <v>1</v>
      </c>
      <c r="L159">
        <v>1</v>
      </c>
      <c r="M159">
        <v>3</v>
      </c>
      <c r="N159" s="6">
        <v>3536008.1385048898</v>
      </c>
      <c r="O159" s="6">
        <v>1867929.71426272</v>
      </c>
      <c r="P159" s="6">
        <v>1157425.25996663</v>
      </c>
      <c r="Q159" s="6">
        <v>418787.95570751402</v>
      </c>
      <c r="R159" s="6">
        <v>386625.571898725</v>
      </c>
      <c r="S159" s="6">
        <v>34609.905868271497</v>
      </c>
      <c r="T159" s="6">
        <v>5032022.9400000004</v>
      </c>
      <c r="U159" s="6">
        <v>2334753.7003404899</v>
      </c>
      <c r="V159" s="6">
        <v>5842863.6852903198</v>
      </c>
      <c r="W159" s="6">
        <v>1523912.9550501599</v>
      </c>
      <c r="X159" s="6">
        <v>0</v>
      </c>
      <c r="Y159" s="6">
        <v>0</v>
      </c>
      <c r="Z159" s="6">
        <v>0</v>
      </c>
      <c r="AA159" s="6">
        <v>0</v>
      </c>
      <c r="AB159" s="6">
        <v>0</v>
      </c>
      <c r="AC159" s="6">
        <v>24959.246311477498</v>
      </c>
      <c r="AD159" s="6">
        <v>9650.6595567939294</v>
      </c>
      <c r="AE159" s="6">
        <v>0</v>
      </c>
      <c r="AF159" s="6">
        <v>0</v>
      </c>
      <c r="AG159" s="6">
        <v>0</v>
      </c>
      <c r="AH159" s="6">
        <v>0</v>
      </c>
      <c r="AI159" s="6">
        <v>0</v>
      </c>
      <c r="AJ159" s="6">
        <v>7401386.5462087598</v>
      </c>
      <c r="AK159" s="6">
        <v>15561.6462221559</v>
      </c>
      <c r="AL159" s="6">
        <v>330.98244656580999</v>
      </c>
      <c r="AM159" s="6">
        <v>93035.839999999997</v>
      </c>
      <c r="AN159" s="6">
        <v>11158.632559605299</v>
      </c>
      <c r="AO159" s="6">
        <v>15561.6462221559</v>
      </c>
      <c r="AP159" s="6">
        <v>330.98244656580999</v>
      </c>
      <c r="AQ159" s="6">
        <v>40734.411818744898</v>
      </c>
      <c r="AR159" s="6">
        <v>15561.6462221559</v>
      </c>
      <c r="AS159" s="6">
        <v>15561.6462221559</v>
      </c>
      <c r="AT159" s="6">
        <v>0</v>
      </c>
      <c r="AU159" t="s">
        <v>2973</v>
      </c>
      <c r="AV159" t="s">
        <v>2973</v>
      </c>
    </row>
    <row r="160" spans="1:48" x14ac:dyDescent="0.45">
      <c r="A160" s="5" t="s">
        <v>321</v>
      </c>
      <c r="B160">
        <v>1974</v>
      </c>
      <c r="C160" t="s">
        <v>317</v>
      </c>
      <c r="D160">
        <v>236</v>
      </c>
      <c r="E160" t="s">
        <v>322</v>
      </c>
      <c r="F160" t="s">
        <v>2739</v>
      </c>
      <c r="G160" t="s">
        <v>2740</v>
      </c>
      <c r="H160" t="s">
        <v>2745</v>
      </c>
      <c r="I160" t="s">
        <v>2742</v>
      </c>
      <c r="J160">
        <v>722.45625529313702</v>
      </c>
      <c r="K160">
        <v>1</v>
      </c>
      <c r="L160">
        <v>1</v>
      </c>
      <c r="M160">
        <v>3</v>
      </c>
      <c r="N160" s="6">
        <v>3997742.2076952402</v>
      </c>
      <c r="O160" s="6">
        <v>1229473.8857603499</v>
      </c>
      <c r="P160" s="6">
        <v>1573310.86087237</v>
      </c>
      <c r="Q160" s="6">
        <v>636133.38749575196</v>
      </c>
      <c r="R160" s="6">
        <v>572391.56032698497</v>
      </c>
      <c r="S160" s="6">
        <v>52571.9910537951</v>
      </c>
      <c r="T160" s="6">
        <v>4462591.79</v>
      </c>
      <c r="U160" s="6">
        <v>3546460.1121506998</v>
      </c>
      <c r="V160" s="6">
        <v>6904487.9794489099</v>
      </c>
      <c r="W160" s="6">
        <v>1104563.92270179</v>
      </c>
      <c r="X160" s="6">
        <v>0</v>
      </c>
      <c r="Y160" s="6">
        <v>0</v>
      </c>
      <c r="Z160" s="6">
        <v>0</v>
      </c>
      <c r="AA160" s="6">
        <v>0</v>
      </c>
      <c r="AB160" s="6">
        <v>0</v>
      </c>
      <c r="AC160" s="6">
        <v>37912.766327382102</v>
      </c>
      <c r="AD160" s="6">
        <v>14659.2247264131</v>
      </c>
      <c r="AE160" s="6">
        <v>0</v>
      </c>
      <c r="AF160" s="6">
        <v>0</v>
      </c>
      <c r="AG160" s="6">
        <v>0</v>
      </c>
      <c r="AH160" s="6">
        <v>0</v>
      </c>
      <c r="AI160" s="6">
        <v>0</v>
      </c>
      <c r="AJ160" s="6">
        <v>8061623.8932045</v>
      </c>
      <c r="AK160" s="6">
        <v>11158.632559605299</v>
      </c>
      <c r="AL160" s="6">
        <v>330.98244656580999</v>
      </c>
      <c r="AM160" s="6">
        <v>93035.839999999997</v>
      </c>
      <c r="AN160" s="6">
        <v>11158.632559605299</v>
      </c>
      <c r="AO160" s="6">
        <v>15561.6462221559</v>
      </c>
      <c r="AP160" s="6">
        <v>330.98244656580999</v>
      </c>
      <c r="AQ160" s="6">
        <v>93035.839999999997</v>
      </c>
      <c r="AR160" s="6">
        <v>11158.632559605299</v>
      </c>
      <c r="AS160" s="6">
        <v>11158.632559605299</v>
      </c>
      <c r="AT160" s="6">
        <v>0</v>
      </c>
      <c r="AU160" t="s">
        <v>2973</v>
      </c>
      <c r="AV160" t="s">
        <v>2973</v>
      </c>
    </row>
    <row r="161" spans="1:48" x14ac:dyDescent="0.45">
      <c r="A161" s="5" t="s">
        <v>323</v>
      </c>
      <c r="B161">
        <v>1896</v>
      </c>
      <c r="C161" t="s">
        <v>324</v>
      </c>
      <c r="D161">
        <v>3347</v>
      </c>
      <c r="E161" t="s">
        <v>325</v>
      </c>
      <c r="F161" t="s">
        <v>3</v>
      </c>
      <c r="G161" t="s">
        <v>2748</v>
      </c>
      <c r="H161" t="s">
        <v>2745</v>
      </c>
      <c r="I161" t="s">
        <v>2742</v>
      </c>
      <c r="J161">
        <v>59.363365125938998</v>
      </c>
      <c r="K161">
        <v>1</v>
      </c>
      <c r="L161">
        <v>1</v>
      </c>
      <c r="M161">
        <v>1</v>
      </c>
      <c r="N161" s="6">
        <v>497165</v>
      </c>
      <c r="O161" s="6">
        <v>132321</v>
      </c>
      <c r="P161" s="6">
        <v>778445</v>
      </c>
      <c r="Q161" s="6">
        <v>197040</v>
      </c>
      <c r="R161" s="6">
        <v>114770</v>
      </c>
      <c r="S161" s="6">
        <v>29212.21</v>
      </c>
      <c r="T161" s="6">
        <v>1719741</v>
      </c>
      <c r="U161" s="6">
        <v>0</v>
      </c>
      <c r="V161" s="6">
        <v>1592449</v>
      </c>
      <c r="W161" s="6">
        <v>127292</v>
      </c>
      <c r="X161" s="6">
        <v>0</v>
      </c>
      <c r="Y161" s="6">
        <v>0</v>
      </c>
      <c r="Z161" s="6">
        <v>0</v>
      </c>
      <c r="AA161" s="6">
        <v>0</v>
      </c>
      <c r="AB161" s="6">
        <v>0</v>
      </c>
      <c r="AC161" s="6">
        <v>28863.11</v>
      </c>
      <c r="AD161" s="6">
        <v>349.1</v>
      </c>
      <c r="AE161" s="6">
        <v>0</v>
      </c>
      <c r="AF161" s="6">
        <v>0</v>
      </c>
      <c r="AG161" s="6">
        <v>0</v>
      </c>
      <c r="AH161" s="6">
        <v>0</v>
      </c>
      <c r="AI161" s="6">
        <v>0</v>
      </c>
      <c r="AJ161" s="6">
        <v>1748953.21</v>
      </c>
      <c r="AK161" s="6">
        <v>29461.827278315599</v>
      </c>
      <c r="AL161" s="6">
        <v>330.98244656580999</v>
      </c>
      <c r="AM161" s="6">
        <v>93035.839999999997</v>
      </c>
      <c r="AN161" s="6">
        <v>29461.827278315599</v>
      </c>
      <c r="AO161" s="6">
        <v>29461.827278315599</v>
      </c>
      <c r="AP161" s="6">
        <v>330.98244656580999</v>
      </c>
      <c r="AQ161" s="6">
        <v>56162.493707719797</v>
      </c>
      <c r="AR161" s="6">
        <v>29461.827278315599</v>
      </c>
      <c r="AS161" s="6">
        <v>29461.827278315599</v>
      </c>
      <c r="AT161" s="6">
        <v>0</v>
      </c>
      <c r="AU161" t="s">
        <v>2973</v>
      </c>
      <c r="AV161" t="s">
        <v>2973</v>
      </c>
    </row>
    <row r="162" spans="1:48" x14ac:dyDescent="0.45">
      <c r="A162" s="5" t="s">
        <v>326</v>
      </c>
      <c r="B162">
        <v>2046</v>
      </c>
      <c r="C162" t="s">
        <v>327</v>
      </c>
      <c r="D162">
        <v>406</v>
      </c>
      <c r="E162" t="s">
        <v>328</v>
      </c>
      <c r="F162" t="s">
        <v>3</v>
      </c>
      <c r="G162" t="s">
        <v>2748</v>
      </c>
      <c r="H162" t="s">
        <v>2745</v>
      </c>
      <c r="I162" t="s">
        <v>2742</v>
      </c>
      <c r="J162">
        <v>219.66249719791199</v>
      </c>
      <c r="K162">
        <v>1</v>
      </c>
      <c r="L162">
        <v>2</v>
      </c>
      <c r="M162">
        <v>2</v>
      </c>
      <c r="N162" s="6">
        <v>2020462.42</v>
      </c>
      <c r="O162" s="6">
        <v>503478.68</v>
      </c>
      <c r="P162" s="6">
        <v>1001196.38</v>
      </c>
      <c r="Q162" s="6">
        <v>280683.19</v>
      </c>
      <c r="R162" s="6">
        <v>265318.84000000003</v>
      </c>
      <c r="S162" s="6">
        <v>167239.66</v>
      </c>
      <c r="T162" s="6">
        <v>1181115.5900000001</v>
      </c>
      <c r="U162" s="6">
        <v>2890023.92</v>
      </c>
      <c r="V162" s="6">
        <v>3603297.06</v>
      </c>
      <c r="W162" s="6">
        <v>467842.45</v>
      </c>
      <c r="X162" s="6">
        <v>0</v>
      </c>
      <c r="Y162" s="6">
        <v>0</v>
      </c>
      <c r="Z162" s="6">
        <v>0</v>
      </c>
      <c r="AA162" s="6">
        <v>0</v>
      </c>
      <c r="AB162" s="6">
        <v>0</v>
      </c>
      <c r="AC162" s="6">
        <v>120447.61</v>
      </c>
      <c r="AD162" s="6">
        <v>46792.05</v>
      </c>
      <c r="AE162" s="6">
        <v>0</v>
      </c>
      <c r="AF162" s="6">
        <v>0</v>
      </c>
      <c r="AG162" s="6">
        <v>0</v>
      </c>
      <c r="AH162" s="6">
        <v>0</v>
      </c>
      <c r="AI162" s="6">
        <v>0</v>
      </c>
      <c r="AJ162" s="6">
        <v>4238379.17</v>
      </c>
      <c r="AK162" s="6">
        <v>19294.9603326293</v>
      </c>
      <c r="AL162" s="6">
        <v>330.98244656580999</v>
      </c>
      <c r="AM162" s="6">
        <v>93035.839999999997</v>
      </c>
      <c r="AN162" s="6">
        <v>19294.9603326293</v>
      </c>
      <c r="AO162" s="6">
        <v>19294.9603326293</v>
      </c>
      <c r="AP162" s="6">
        <v>330.98244656580999</v>
      </c>
      <c r="AQ162" s="6">
        <v>56162.493707719797</v>
      </c>
      <c r="AR162" s="6">
        <v>19294.9603326293</v>
      </c>
      <c r="AS162" s="6">
        <v>19294.9603326293</v>
      </c>
      <c r="AT162" s="6">
        <v>0</v>
      </c>
      <c r="AU162" t="s">
        <v>2973</v>
      </c>
      <c r="AV162" t="s">
        <v>2973</v>
      </c>
    </row>
    <row r="163" spans="1:48" x14ac:dyDescent="0.45">
      <c r="A163" s="5" t="s">
        <v>329</v>
      </c>
      <c r="B163">
        <v>1995</v>
      </c>
      <c r="C163" t="s">
        <v>330</v>
      </c>
      <c r="D163">
        <v>3400</v>
      </c>
      <c r="E163" t="s">
        <v>331</v>
      </c>
      <c r="F163" t="s">
        <v>3</v>
      </c>
      <c r="G163" t="s">
        <v>2748</v>
      </c>
      <c r="H163" t="s">
        <v>2745</v>
      </c>
      <c r="I163" t="s">
        <v>2742</v>
      </c>
      <c r="J163">
        <v>209.088804814627</v>
      </c>
      <c r="K163">
        <v>1</v>
      </c>
      <c r="L163">
        <v>1</v>
      </c>
      <c r="M163">
        <v>2</v>
      </c>
      <c r="N163" s="6">
        <v>1740481.16</v>
      </c>
      <c r="O163" s="6">
        <v>285803.2</v>
      </c>
      <c r="P163" s="6">
        <v>804546.66</v>
      </c>
      <c r="Q163" s="6">
        <v>373201.57</v>
      </c>
      <c r="R163" s="6">
        <v>818898.93</v>
      </c>
      <c r="S163" s="6">
        <v>104400.91</v>
      </c>
      <c r="T163" s="6">
        <v>1857973.55</v>
      </c>
      <c r="U163" s="6">
        <v>2164957.9700000002</v>
      </c>
      <c r="V163" s="6">
        <v>3448561.77</v>
      </c>
      <c r="W163" s="6">
        <v>571278.12</v>
      </c>
      <c r="X163" s="6">
        <v>0</v>
      </c>
      <c r="Y163" s="6">
        <v>0</v>
      </c>
      <c r="Z163" s="6">
        <v>0</v>
      </c>
      <c r="AA163" s="6">
        <v>0</v>
      </c>
      <c r="AB163" s="6">
        <v>3091.63</v>
      </c>
      <c r="AC163" s="6">
        <v>87803.42</v>
      </c>
      <c r="AD163" s="6">
        <v>16597.490000000002</v>
      </c>
      <c r="AE163" s="6">
        <v>0</v>
      </c>
      <c r="AF163" s="6">
        <v>0</v>
      </c>
      <c r="AG163" s="6">
        <v>0</v>
      </c>
      <c r="AH163" s="6">
        <v>0</v>
      </c>
      <c r="AI163" s="6">
        <v>0</v>
      </c>
      <c r="AJ163" s="6">
        <v>4127332.43</v>
      </c>
      <c r="AK163" s="6">
        <v>19739.614627665898</v>
      </c>
      <c r="AL163" s="6">
        <v>330.98244656580999</v>
      </c>
      <c r="AM163" s="6">
        <v>93035.839999999997</v>
      </c>
      <c r="AN163" s="6">
        <v>19739.614627665898</v>
      </c>
      <c r="AO163" s="6">
        <v>19739.614627665898</v>
      </c>
      <c r="AP163" s="6">
        <v>330.98244656580999</v>
      </c>
      <c r="AQ163" s="6">
        <v>56162.493707719797</v>
      </c>
      <c r="AR163" s="6">
        <v>19739.614627665898</v>
      </c>
      <c r="AS163" s="6">
        <v>19739.614627665898</v>
      </c>
      <c r="AT163" s="6">
        <v>0</v>
      </c>
      <c r="AU163" t="s">
        <v>2973</v>
      </c>
      <c r="AV163" t="s">
        <v>2973</v>
      </c>
    </row>
    <row r="164" spans="1:48" x14ac:dyDescent="0.45">
      <c r="A164" s="5" t="s">
        <v>332</v>
      </c>
      <c r="B164">
        <v>1929</v>
      </c>
      <c r="C164" t="s">
        <v>333</v>
      </c>
      <c r="D164">
        <v>4434</v>
      </c>
      <c r="E164" t="s">
        <v>334</v>
      </c>
      <c r="F164" t="s">
        <v>2739</v>
      </c>
      <c r="G164" t="s">
        <v>2747</v>
      </c>
      <c r="H164" t="s">
        <v>2741</v>
      </c>
      <c r="I164" t="s">
        <v>2742</v>
      </c>
      <c r="J164">
        <v>609.80921052627696</v>
      </c>
      <c r="K164">
        <v>2</v>
      </c>
      <c r="L164">
        <v>1</v>
      </c>
      <c r="M164">
        <v>2</v>
      </c>
      <c r="N164" s="6">
        <v>3363408.07410309</v>
      </c>
      <c r="O164" s="6">
        <v>1588970.6063550999</v>
      </c>
      <c r="P164" s="6">
        <v>1521794.4166475399</v>
      </c>
      <c r="Q164" s="6">
        <v>276726.80984945199</v>
      </c>
      <c r="R164" s="6">
        <v>296320.60858521902</v>
      </c>
      <c r="S164" s="6">
        <v>415014.79002577497</v>
      </c>
      <c r="T164" s="6">
        <v>4975189.6900000004</v>
      </c>
      <c r="U164" s="6">
        <v>2072030.8255404001</v>
      </c>
      <c r="V164" s="6">
        <v>6121760.3895449303</v>
      </c>
      <c r="W164" s="6">
        <v>859902.881761392</v>
      </c>
      <c r="X164" s="6">
        <v>0</v>
      </c>
      <c r="Y164" s="6">
        <v>0</v>
      </c>
      <c r="Z164" s="6">
        <v>0</v>
      </c>
      <c r="AA164" s="6">
        <v>65440.4345906776</v>
      </c>
      <c r="AB164" s="6">
        <v>116.80964339996</v>
      </c>
      <c r="AC164" s="6">
        <v>239304.18369884201</v>
      </c>
      <c r="AD164" s="6">
        <v>175710.60632693299</v>
      </c>
      <c r="AE164" s="6">
        <v>0</v>
      </c>
      <c r="AF164" s="6">
        <v>0</v>
      </c>
      <c r="AG164" s="6">
        <v>0</v>
      </c>
      <c r="AH164" s="6">
        <v>0</v>
      </c>
      <c r="AI164" s="6">
        <v>0</v>
      </c>
      <c r="AJ164" s="6">
        <v>7462235.3055661796</v>
      </c>
      <c r="AK164" s="6">
        <v>12236.9999940245</v>
      </c>
      <c r="AL164" s="6">
        <v>330.98244656580999</v>
      </c>
      <c r="AM164" s="6">
        <v>93035.839999999997</v>
      </c>
      <c r="AN164" s="6">
        <v>4078.3995594619</v>
      </c>
      <c r="AO164" s="6">
        <v>14869.3603831337</v>
      </c>
      <c r="AP164" s="6">
        <v>3753.1860850462999</v>
      </c>
      <c r="AQ164" s="6">
        <v>20687.885194392002</v>
      </c>
      <c r="AR164" s="6">
        <v>12236.9999940245</v>
      </c>
      <c r="AS164" s="6">
        <v>12236.9999940245</v>
      </c>
      <c r="AT164" s="6">
        <v>0</v>
      </c>
      <c r="AU164" t="s">
        <v>2973</v>
      </c>
      <c r="AV164" t="s">
        <v>2973</v>
      </c>
    </row>
    <row r="165" spans="1:48" x14ac:dyDescent="0.45">
      <c r="A165" s="5" t="s">
        <v>335</v>
      </c>
      <c r="B165">
        <v>1929</v>
      </c>
      <c r="C165" t="s">
        <v>333</v>
      </c>
      <c r="D165">
        <v>140</v>
      </c>
      <c r="E165" t="s">
        <v>336</v>
      </c>
      <c r="F165" t="s">
        <v>2739</v>
      </c>
      <c r="G165" t="s">
        <v>2744</v>
      </c>
      <c r="H165" t="s">
        <v>2741</v>
      </c>
      <c r="I165" t="s">
        <v>2742</v>
      </c>
      <c r="J165">
        <v>1363.38500717435</v>
      </c>
      <c r="K165">
        <v>1</v>
      </c>
      <c r="L165">
        <v>1</v>
      </c>
      <c r="M165">
        <v>2</v>
      </c>
      <c r="N165" s="6">
        <v>8419858.3900068197</v>
      </c>
      <c r="O165" s="6">
        <v>4972994.81801988</v>
      </c>
      <c r="P165" s="6">
        <v>3550028.77643291</v>
      </c>
      <c r="Q165" s="6">
        <v>618693.80966929998</v>
      </c>
      <c r="R165" s="6">
        <v>1783215.1353879599</v>
      </c>
      <c r="S165" s="6">
        <v>927872.08311995806</v>
      </c>
      <c r="T165" s="6">
        <v>14712234.199999999</v>
      </c>
      <c r="U165" s="6">
        <v>4632556.7295168797</v>
      </c>
      <c r="V165" s="6">
        <v>15159300.900184</v>
      </c>
      <c r="W165" s="6">
        <v>3913531.2739677601</v>
      </c>
      <c r="X165" s="6">
        <v>0</v>
      </c>
      <c r="Y165" s="6">
        <v>0</v>
      </c>
      <c r="Z165" s="6">
        <v>0</v>
      </c>
      <c r="AA165" s="6">
        <v>218046.657426308</v>
      </c>
      <c r="AB165" s="6">
        <v>53912.097938837003</v>
      </c>
      <c r="AC165" s="6">
        <v>535025.92380906502</v>
      </c>
      <c r="AD165" s="6">
        <v>392846.15931089298</v>
      </c>
      <c r="AE165" s="6">
        <v>0</v>
      </c>
      <c r="AF165" s="6">
        <v>0</v>
      </c>
      <c r="AG165" s="6">
        <v>0</v>
      </c>
      <c r="AH165" s="6">
        <v>0</v>
      </c>
      <c r="AI165" s="6">
        <v>0</v>
      </c>
      <c r="AJ165" s="6">
        <v>20272663.0126369</v>
      </c>
      <c r="AK165" s="6">
        <v>14869.3603831337</v>
      </c>
      <c r="AL165" s="6">
        <v>330.98244656580999</v>
      </c>
      <c r="AM165" s="6">
        <v>93035.839999999997</v>
      </c>
      <c r="AN165" s="6">
        <v>4078.3995594619</v>
      </c>
      <c r="AO165" s="6">
        <v>14869.3603831337</v>
      </c>
      <c r="AP165" s="6">
        <v>330.98244656580999</v>
      </c>
      <c r="AQ165" s="6">
        <v>40734.411818744898</v>
      </c>
      <c r="AR165" s="6">
        <v>14869.3603831337</v>
      </c>
      <c r="AS165" s="6">
        <v>14869.3603831337</v>
      </c>
      <c r="AT165" s="6">
        <v>0</v>
      </c>
      <c r="AU165" t="s">
        <v>2973</v>
      </c>
      <c r="AV165" t="s">
        <v>2973</v>
      </c>
    </row>
    <row r="166" spans="1:48" x14ac:dyDescent="0.45">
      <c r="A166" s="5" t="s">
        <v>337</v>
      </c>
      <c r="B166">
        <v>1929</v>
      </c>
      <c r="C166" t="s">
        <v>333</v>
      </c>
      <c r="D166">
        <v>1929</v>
      </c>
      <c r="E166" t="s">
        <v>333</v>
      </c>
      <c r="F166" t="s">
        <v>1</v>
      </c>
      <c r="G166" t="s">
        <v>1</v>
      </c>
      <c r="H166" t="s">
        <v>2743</v>
      </c>
      <c r="I166" t="s">
        <v>2742</v>
      </c>
      <c r="J166">
        <v>60.290389179888898</v>
      </c>
      <c r="K166">
        <v>1</v>
      </c>
      <c r="L166">
        <v>4</v>
      </c>
      <c r="M166">
        <v>2</v>
      </c>
      <c r="N166" s="6">
        <v>21744.652511400898</v>
      </c>
      <c r="O166" s="6">
        <v>30798.550531294899</v>
      </c>
      <c r="P166" s="6">
        <v>98550.800769571797</v>
      </c>
      <c r="Q166" s="6">
        <v>27359.3228412112</v>
      </c>
      <c r="R166" s="6">
        <v>26403.442821592998</v>
      </c>
      <c r="S166" s="6">
        <v>41031.527195973104</v>
      </c>
      <c r="T166" s="6">
        <v>0</v>
      </c>
      <c r="U166" s="6">
        <v>204856.76947507201</v>
      </c>
      <c r="V166" s="6">
        <v>163916.03677356101</v>
      </c>
      <c r="W166" s="6">
        <v>37352.315965181202</v>
      </c>
      <c r="X166" s="6">
        <v>0</v>
      </c>
      <c r="Y166" s="6">
        <v>0</v>
      </c>
      <c r="Z166" s="6">
        <v>0</v>
      </c>
      <c r="AA166" s="6">
        <v>3576.8680441503102</v>
      </c>
      <c r="AB166" s="6">
        <v>11.548692179427499</v>
      </c>
      <c r="AC166" s="6">
        <v>23659.436621377699</v>
      </c>
      <c r="AD166" s="6">
        <v>17372.090574595499</v>
      </c>
      <c r="AE166" s="6">
        <v>0</v>
      </c>
      <c r="AF166" s="6">
        <v>0</v>
      </c>
      <c r="AG166" s="6">
        <v>0</v>
      </c>
      <c r="AH166" s="6">
        <v>0</v>
      </c>
      <c r="AI166" s="6">
        <v>0</v>
      </c>
      <c r="AJ166" s="6">
        <v>245888.29667104501</v>
      </c>
      <c r="AK166" s="6">
        <v>4078.3995594619</v>
      </c>
      <c r="AL166" s="6">
        <v>330.98244656580999</v>
      </c>
      <c r="AM166" s="6">
        <v>93035.839999999997</v>
      </c>
      <c r="AN166" s="6">
        <v>4078.3995594619</v>
      </c>
      <c r="AO166" s="6">
        <v>14869.3603831337</v>
      </c>
      <c r="AP166" s="6">
        <v>634.54287297753501</v>
      </c>
      <c r="AQ166" s="6">
        <v>40331.279999999999</v>
      </c>
      <c r="AR166" s="6">
        <v>4078.3995594619</v>
      </c>
      <c r="AS166" s="6">
        <v>4078.3995594619</v>
      </c>
      <c r="AT166" s="6">
        <v>0</v>
      </c>
      <c r="AU166" t="s">
        <v>2973</v>
      </c>
      <c r="AV166" t="s">
        <v>2977</v>
      </c>
    </row>
    <row r="167" spans="1:48" x14ac:dyDescent="0.45">
      <c r="A167" s="5" t="s">
        <v>338</v>
      </c>
      <c r="B167">
        <v>1929</v>
      </c>
      <c r="C167" t="s">
        <v>333</v>
      </c>
      <c r="D167">
        <v>92</v>
      </c>
      <c r="E167" t="s">
        <v>339</v>
      </c>
      <c r="F167" t="s">
        <v>2739</v>
      </c>
      <c r="G167" t="s">
        <v>2740</v>
      </c>
      <c r="H167" t="s">
        <v>2741</v>
      </c>
      <c r="I167" t="s">
        <v>2742</v>
      </c>
      <c r="J167">
        <v>473.97076023387302</v>
      </c>
      <c r="K167">
        <v>1</v>
      </c>
      <c r="L167">
        <v>1</v>
      </c>
      <c r="M167">
        <v>2</v>
      </c>
      <c r="N167" s="6">
        <v>2800261.6659490098</v>
      </c>
      <c r="O167" s="6">
        <v>1016651.1447208</v>
      </c>
      <c r="P167" s="6">
        <v>1050519.25151234</v>
      </c>
      <c r="Q167" s="6">
        <v>215084.34798524101</v>
      </c>
      <c r="R167" s="6">
        <v>210258.84104954699</v>
      </c>
      <c r="S167" s="6">
        <v>322567.898518715</v>
      </c>
      <c r="T167" s="6">
        <v>3682301.01</v>
      </c>
      <c r="U167" s="6">
        <v>1610474.2412169301</v>
      </c>
      <c r="V167" s="6">
        <v>4636987.9904022804</v>
      </c>
      <c r="W167" s="6">
        <v>624887.93967338896</v>
      </c>
      <c r="X167" s="6">
        <v>0</v>
      </c>
      <c r="Y167" s="6">
        <v>0</v>
      </c>
      <c r="Z167" s="6">
        <v>0</v>
      </c>
      <c r="AA167" s="6">
        <v>30808.531506532301</v>
      </c>
      <c r="AB167" s="6">
        <v>90.7896347402597</v>
      </c>
      <c r="AC167" s="6">
        <v>185997.82344546801</v>
      </c>
      <c r="AD167" s="6">
        <v>136570.07507324699</v>
      </c>
      <c r="AE167" s="6">
        <v>0</v>
      </c>
      <c r="AF167" s="6">
        <v>0</v>
      </c>
      <c r="AG167" s="6">
        <v>0</v>
      </c>
      <c r="AH167" s="6">
        <v>0</v>
      </c>
      <c r="AI167" s="6">
        <v>0</v>
      </c>
      <c r="AJ167" s="6">
        <v>5615343.14973565</v>
      </c>
      <c r="AK167" s="6">
        <v>11847.446342396401</v>
      </c>
      <c r="AL167" s="6">
        <v>330.98244656580999</v>
      </c>
      <c r="AM167" s="6">
        <v>93035.839999999997</v>
      </c>
      <c r="AN167" s="6">
        <v>4078.3995594619</v>
      </c>
      <c r="AO167" s="6">
        <v>14869.3603831337</v>
      </c>
      <c r="AP167" s="6">
        <v>330.98244656580999</v>
      </c>
      <c r="AQ167" s="6">
        <v>93035.839999999997</v>
      </c>
      <c r="AR167" s="6">
        <v>11847.446342396401</v>
      </c>
      <c r="AS167" s="6">
        <v>14493.5623589878</v>
      </c>
      <c r="AT167" s="6">
        <v>0</v>
      </c>
      <c r="AU167" t="s">
        <v>2973</v>
      </c>
      <c r="AV167" t="s">
        <v>2973</v>
      </c>
    </row>
    <row r="168" spans="1:48" x14ac:dyDescent="0.45">
      <c r="A168" s="5" t="s">
        <v>340</v>
      </c>
      <c r="B168">
        <v>1929</v>
      </c>
      <c r="C168" t="s">
        <v>333</v>
      </c>
      <c r="D168">
        <v>1307</v>
      </c>
      <c r="E168" t="s">
        <v>341</v>
      </c>
      <c r="F168" t="s">
        <v>2739</v>
      </c>
      <c r="G168" t="s">
        <v>2740</v>
      </c>
      <c r="H168" t="s">
        <v>2741</v>
      </c>
      <c r="I168" t="s">
        <v>2742</v>
      </c>
      <c r="J168">
        <v>416.01754385960498</v>
      </c>
      <c r="K168">
        <v>5</v>
      </c>
      <c r="L168">
        <v>1</v>
      </c>
      <c r="M168">
        <v>2</v>
      </c>
      <c r="N168" s="6">
        <v>3028677.6006156299</v>
      </c>
      <c r="O168" s="6">
        <v>837144.67810735398</v>
      </c>
      <c r="P168" s="6">
        <v>1010619.7784742001</v>
      </c>
      <c r="Q168" s="6">
        <v>188785.61649523</v>
      </c>
      <c r="R168" s="6">
        <v>220001.63463859601</v>
      </c>
      <c r="S168" s="6">
        <v>283126.96927442198</v>
      </c>
      <c r="T168" s="6">
        <v>3871670.51</v>
      </c>
      <c r="U168" s="6">
        <v>1413558.7983310099</v>
      </c>
      <c r="V168" s="6">
        <v>4612998.8619386498</v>
      </c>
      <c r="W168" s="6">
        <v>647372.23606811895</v>
      </c>
      <c r="X168" s="6">
        <v>0</v>
      </c>
      <c r="Y168" s="6">
        <v>0</v>
      </c>
      <c r="Z168" s="6">
        <v>0</v>
      </c>
      <c r="AA168" s="6">
        <v>24778.521693582701</v>
      </c>
      <c r="AB168" s="6">
        <v>79.688630652904607</v>
      </c>
      <c r="AC168" s="6">
        <v>163255.551112129</v>
      </c>
      <c r="AD168" s="6">
        <v>119871.418162292</v>
      </c>
      <c r="AE168" s="6">
        <v>0</v>
      </c>
      <c r="AF168" s="6">
        <v>0</v>
      </c>
      <c r="AG168" s="6">
        <v>0</v>
      </c>
      <c r="AH168" s="6">
        <v>0</v>
      </c>
      <c r="AI168" s="6">
        <v>0</v>
      </c>
      <c r="AJ168" s="6">
        <v>5568356.2776054302</v>
      </c>
      <c r="AK168" s="6">
        <v>13384.9073429572</v>
      </c>
      <c r="AL168" s="6">
        <v>330.98244656580999</v>
      </c>
      <c r="AM168" s="6">
        <v>93035.839999999997</v>
      </c>
      <c r="AN168" s="6">
        <v>4078.3995594619</v>
      </c>
      <c r="AO168" s="6">
        <v>14869.3603831337</v>
      </c>
      <c r="AP168" s="6">
        <v>330.98244656580999</v>
      </c>
      <c r="AQ168" s="6">
        <v>93035.839999999997</v>
      </c>
      <c r="AR168" s="6">
        <v>11847.446342396401</v>
      </c>
      <c r="AS168" s="6">
        <v>14493.5623589878</v>
      </c>
      <c r="AT168" s="6">
        <v>0</v>
      </c>
      <c r="AU168" t="s">
        <v>2973</v>
      </c>
      <c r="AV168" t="s">
        <v>2973</v>
      </c>
    </row>
    <row r="169" spans="1:48" x14ac:dyDescent="0.45">
      <c r="A169" s="5" t="s">
        <v>342</v>
      </c>
      <c r="B169">
        <v>1929</v>
      </c>
      <c r="C169" t="s">
        <v>333</v>
      </c>
      <c r="D169">
        <v>124</v>
      </c>
      <c r="E169" t="s">
        <v>343</v>
      </c>
      <c r="F169" t="s">
        <v>2739</v>
      </c>
      <c r="G169" t="s">
        <v>2740</v>
      </c>
      <c r="H169" t="s">
        <v>2741</v>
      </c>
      <c r="I169" t="s">
        <v>2742</v>
      </c>
      <c r="J169">
        <v>458.60818713447901</v>
      </c>
      <c r="K169">
        <v>1</v>
      </c>
      <c r="L169">
        <v>1</v>
      </c>
      <c r="M169">
        <v>2</v>
      </c>
      <c r="N169" s="6">
        <v>2933201.4786048401</v>
      </c>
      <c r="O169" s="6">
        <v>875545.79677091097</v>
      </c>
      <c r="P169" s="6">
        <v>1043617.7562418201</v>
      </c>
      <c r="Q169" s="6">
        <v>208112.92844697999</v>
      </c>
      <c r="R169" s="6">
        <v>207203.49896665299</v>
      </c>
      <c r="S169" s="6">
        <v>312112.66934367799</v>
      </c>
      <c r="T169" s="6">
        <v>3709406.7</v>
      </c>
      <c r="U169" s="6">
        <v>1558274.7590312001</v>
      </c>
      <c r="V169" s="6">
        <v>4678296.4720780198</v>
      </c>
      <c r="W169" s="6">
        <v>555727.51903252897</v>
      </c>
      <c r="X169" s="6">
        <v>0</v>
      </c>
      <c r="Y169" s="6">
        <v>0</v>
      </c>
      <c r="Z169" s="6">
        <v>0</v>
      </c>
      <c r="AA169" s="6">
        <v>33569.621004150198</v>
      </c>
      <c r="AB169" s="6">
        <v>87.846916502374498</v>
      </c>
      <c r="AC169" s="6">
        <v>179969.170628152</v>
      </c>
      <c r="AD169" s="6">
        <v>132143.49871552599</v>
      </c>
      <c r="AE169" s="6">
        <v>0</v>
      </c>
      <c r="AF169" s="6">
        <v>0</v>
      </c>
      <c r="AG169" s="6">
        <v>0</v>
      </c>
      <c r="AH169" s="6">
        <v>0</v>
      </c>
      <c r="AI169" s="6">
        <v>0</v>
      </c>
      <c r="AJ169" s="6">
        <v>5579794.1283748802</v>
      </c>
      <c r="AK169" s="6">
        <v>12166.800080999599</v>
      </c>
      <c r="AL169" s="6">
        <v>330.98244656580999</v>
      </c>
      <c r="AM169" s="6">
        <v>93035.839999999997</v>
      </c>
      <c r="AN169" s="6">
        <v>4078.3995594619</v>
      </c>
      <c r="AO169" s="6">
        <v>14869.3603831337</v>
      </c>
      <c r="AP169" s="6">
        <v>330.98244656580999</v>
      </c>
      <c r="AQ169" s="6">
        <v>93035.839999999997</v>
      </c>
      <c r="AR169" s="6">
        <v>11847.446342396401</v>
      </c>
      <c r="AS169" s="6">
        <v>14493.5623589878</v>
      </c>
      <c r="AT169" s="6">
        <v>0</v>
      </c>
      <c r="AU169" t="s">
        <v>2973</v>
      </c>
      <c r="AV169" t="s">
        <v>2973</v>
      </c>
    </row>
    <row r="170" spans="1:48" x14ac:dyDescent="0.45">
      <c r="A170" s="5" t="s">
        <v>344</v>
      </c>
      <c r="B170">
        <v>1929</v>
      </c>
      <c r="C170" t="s">
        <v>333</v>
      </c>
      <c r="D170">
        <v>127</v>
      </c>
      <c r="E170" t="s">
        <v>345</v>
      </c>
      <c r="F170" t="s">
        <v>2739</v>
      </c>
      <c r="G170" t="s">
        <v>2740</v>
      </c>
      <c r="H170" t="s">
        <v>2741</v>
      </c>
      <c r="I170" t="s">
        <v>2742</v>
      </c>
      <c r="J170">
        <v>479.27690871434203</v>
      </c>
      <c r="K170">
        <v>1</v>
      </c>
      <c r="L170">
        <v>1</v>
      </c>
      <c r="M170">
        <v>2</v>
      </c>
      <c r="N170" s="6">
        <v>2932890.7896891101</v>
      </c>
      <c r="O170" s="6">
        <v>969642.12072346499</v>
      </c>
      <c r="P170" s="6">
        <v>1150607.60331402</v>
      </c>
      <c r="Q170" s="6">
        <v>217492.23805354699</v>
      </c>
      <c r="R170" s="6">
        <v>308161.69425480498</v>
      </c>
      <c r="S170" s="6">
        <v>326179.07732588099</v>
      </c>
      <c r="T170" s="6">
        <v>3950290.79</v>
      </c>
      <c r="U170" s="6">
        <v>1628503.6560349499</v>
      </c>
      <c r="V170" s="6">
        <v>4987329.0272235097</v>
      </c>
      <c r="W170" s="6">
        <v>559064.77162929601</v>
      </c>
      <c r="X170" s="6">
        <v>0</v>
      </c>
      <c r="Y170" s="6">
        <v>0</v>
      </c>
      <c r="Z170" s="6">
        <v>0</v>
      </c>
      <c r="AA170" s="6">
        <v>32308.8411486556</v>
      </c>
      <c r="AB170" s="6">
        <v>91.806033477982794</v>
      </c>
      <c r="AC170" s="6">
        <v>188080.08705970101</v>
      </c>
      <c r="AD170" s="6">
        <v>138098.99026617999</v>
      </c>
      <c r="AE170" s="6">
        <v>0</v>
      </c>
      <c r="AF170" s="6">
        <v>0</v>
      </c>
      <c r="AG170" s="6">
        <v>0</v>
      </c>
      <c r="AH170" s="6">
        <v>0</v>
      </c>
      <c r="AI170" s="6">
        <v>0</v>
      </c>
      <c r="AJ170" s="6">
        <v>5904973.5233608196</v>
      </c>
      <c r="AK170" s="6">
        <v>12320.5884030609</v>
      </c>
      <c r="AL170" s="6">
        <v>330.98244656580999</v>
      </c>
      <c r="AM170" s="6">
        <v>93035.839999999997</v>
      </c>
      <c r="AN170" s="6">
        <v>4078.3995594619</v>
      </c>
      <c r="AO170" s="6">
        <v>14869.3603831337</v>
      </c>
      <c r="AP170" s="6">
        <v>330.98244656580999</v>
      </c>
      <c r="AQ170" s="6">
        <v>93035.839999999997</v>
      </c>
      <c r="AR170" s="6">
        <v>11847.446342396401</v>
      </c>
      <c r="AS170" s="6">
        <v>14493.5623589878</v>
      </c>
      <c r="AT170" s="6">
        <v>0</v>
      </c>
      <c r="AU170" t="s">
        <v>2973</v>
      </c>
      <c r="AV170" t="s">
        <v>2973</v>
      </c>
    </row>
    <row r="171" spans="1:48" x14ac:dyDescent="0.45">
      <c r="A171" s="5" t="s">
        <v>346</v>
      </c>
      <c r="B171">
        <v>1929</v>
      </c>
      <c r="C171" t="s">
        <v>333</v>
      </c>
      <c r="D171">
        <v>4435</v>
      </c>
      <c r="E171" t="s">
        <v>347</v>
      </c>
      <c r="F171" t="s">
        <v>2739</v>
      </c>
      <c r="G171" t="s">
        <v>2740</v>
      </c>
      <c r="H171" t="s">
        <v>2741</v>
      </c>
      <c r="I171" t="s">
        <v>2742</v>
      </c>
      <c r="J171">
        <v>426.42105263154002</v>
      </c>
      <c r="K171">
        <v>3</v>
      </c>
      <c r="L171">
        <v>1</v>
      </c>
      <c r="M171">
        <v>2</v>
      </c>
      <c r="N171" s="6">
        <v>3050517.7554368302</v>
      </c>
      <c r="O171" s="6">
        <v>920426.25341869099</v>
      </c>
      <c r="P171" s="6">
        <v>1012458.59645149</v>
      </c>
      <c r="Q171" s="6">
        <v>195207.89013001899</v>
      </c>
      <c r="R171" s="6">
        <v>188932.48480056401</v>
      </c>
      <c r="S171" s="6">
        <v>290207.23296015698</v>
      </c>
      <c r="T171" s="6">
        <v>3918634.78</v>
      </c>
      <c r="U171" s="6">
        <v>1448908.2002375899</v>
      </c>
      <c r="V171" s="6">
        <v>4804305.2173551004</v>
      </c>
      <c r="W171" s="6">
        <v>537212.67731673794</v>
      </c>
      <c r="X171" s="6">
        <v>0</v>
      </c>
      <c r="Y171" s="6">
        <v>0</v>
      </c>
      <c r="Z171" s="6">
        <v>0</v>
      </c>
      <c r="AA171" s="6">
        <v>25943.404131245701</v>
      </c>
      <c r="AB171" s="6">
        <v>81.6814345148033</v>
      </c>
      <c r="AC171" s="6">
        <v>167338.14470254601</v>
      </c>
      <c r="AD171" s="6">
        <v>122869.088257611</v>
      </c>
      <c r="AE171" s="6">
        <v>0</v>
      </c>
      <c r="AF171" s="6">
        <v>0</v>
      </c>
      <c r="AG171" s="6">
        <v>0</v>
      </c>
      <c r="AH171" s="6">
        <v>0</v>
      </c>
      <c r="AI171" s="6">
        <v>0</v>
      </c>
      <c r="AJ171" s="6">
        <v>5657750.21319775</v>
      </c>
      <c r="AK171" s="6">
        <v>13267.9898853082</v>
      </c>
      <c r="AL171" s="6">
        <v>330.98244656580999</v>
      </c>
      <c r="AM171" s="6">
        <v>93035.839999999997</v>
      </c>
      <c r="AN171" s="6">
        <v>4078.3995594619</v>
      </c>
      <c r="AO171" s="6">
        <v>14869.3603831337</v>
      </c>
      <c r="AP171" s="6">
        <v>330.98244656580999</v>
      </c>
      <c r="AQ171" s="6">
        <v>93035.839999999997</v>
      </c>
      <c r="AR171" s="6">
        <v>11847.446342396401</v>
      </c>
      <c r="AS171" s="6">
        <v>14493.5623589878</v>
      </c>
      <c r="AT171" s="6">
        <v>0</v>
      </c>
      <c r="AU171" t="s">
        <v>2973</v>
      </c>
      <c r="AV171" t="s">
        <v>2973</v>
      </c>
    </row>
    <row r="172" spans="1:48" x14ac:dyDescent="0.45">
      <c r="A172" s="5" t="s">
        <v>348</v>
      </c>
      <c r="B172">
        <v>1929</v>
      </c>
      <c r="C172" t="s">
        <v>333</v>
      </c>
      <c r="D172">
        <v>122</v>
      </c>
      <c r="E172" t="s">
        <v>349</v>
      </c>
      <c r="F172" t="s">
        <v>2739</v>
      </c>
      <c r="G172" t="s">
        <v>2740</v>
      </c>
      <c r="H172" t="s">
        <v>2741</v>
      </c>
      <c r="I172" t="s">
        <v>2742</v>
      </c>
      <c r="J172">
        <v>360.69260292032999</v>
      </c>
      <c r="K172">
        <v>2</v>
      </c>
      <c r="L172">
        <v>1</v>
      </c>
      <c r="M172">
        <v>2</v>
      </c>
      <c r="N172" s="6">
        <v>2857390.9030832802</v>
      </c>
      <c r="O172" s="6">
        <v>913177.19135249197</v>
      </c>
      <c r="P172" s="6">
        <v>889432.77015613206</v>
      </c>
      <c r="Q172" s="6">
        <v>163679.57652902199</v>
      </c>
      <c r="R172" s="6">
        <v>158565.539495067</v>
      </c>
      <c r="S172" s="6">
        <v>245474.75223544601</v>
      </c>
      <c r="T172" s="6">
        <v>3756672.18</v>
      </c>
      <c r="U172" s="6">
        <v>1225573.8006159901</v>
      </c>
      <c r="V172" s="6">
        <v>4404700.44449999</v>
      </c>
      <c r="W172" s="6">
        <v>555472.91458560899</v>
      </c>
      <c r="X172" s="6">
        <v>0</v>
      </c>
      <c r="Y172" s="6">
        <v>0</v>
      </c>
      <c r="Z172" s="6">
        <v>0</v>
      </c>
      <c r="AA172" s="6">
        <v>22003.530454698099</v>
      </c>
      <c r="AB172" s="6">
        <v>69.091075695242907</v>
      </c>
      <c r="AC172" s="6">
        <v>141544.67892272101</v>
      </c>
      <c r="AD172" s="6">
        <v>103930.073312725</v>
      </c>
      <c r="AE172" s="6">
        <v>0</v>
      </c>
      <c r="AF172" s="6">
        <v>0</v>
      </c>
      <c r="AG172" s="6">
        <v>0</v>
      </c>
      <c r="AH172" s="6">
        <v>0</v>
      </c>
      <c r="AI172" s="6">
        <v>0</v>
      </c>
      <c r="AJ172" s="6">
        <v>5227720.7328514401</v>
      </c>
      <c r="AK172" s="6">
        <v>14493.5623589878</v>
      </c>
      <c r="AL172" s="6">
        <v>330.98244656580999</v>
      </c>
      <c r="AM172" s="6">
        <v>93035.839999999997</v>
      </c>
      <c r="AN172" s="6">
        <v>4078.3995594619</v>
      </c>
      <c r="AO172" s="6">
        <v>14869.3603831337</v>
      </c>
      <c r="AP172" s="6">
        <v>330.98244656580999</v>
      </c>
      <c r="AQ172" s="6">
        <v>93035.839999999997</v>
      </c>
      <c r="AR172" s="6">
        <v>11847.446342396401</v>
      </c>
      <c r="AS172" s="6">
        <v>14493.5623589878</v>
      </c>
      <c r="AT172" s="6">
        <v>0</v>
      </c>
      <c r="AU172" t="s">
        <v>2973</v>
      </c>
      <c r="AV172" t="s">
        <v>2973</v>
      </c>
    </row>
    <row r="173" spans="1:48" x14ac:dyDescent="0.45">
      <c r="A173" s="5" t="s">
        <v>350</v>
      </c>
      <c r="B173">
        <v>2139</v>
      </c>
      <c r="C173" t="s">
        <v>351</v>
      </c>
      <c r="D173">
        <v>719</v>
      </c>
      <c r="E173" t="s">
        <v>352</v>
      </c>
      <c r="F173" t="s">
        <v>2739</v>
      </c>
      <c r="G173" t="s">
        <v>2740</v>
      </c>
      <c r="H173" t="s">
        <v>2741</v>
      </c>
      <c r="I173" t="s">
        <v>2742</v>
      </c>
      <c r="J173">
        <v>571.83797065332806</v>
      </c>
      <c r="K173">
        <v>1</v>
      </c>
      <c r="L173">
        <v>1</v>
      </c>
      <c r="M173">
        <v>2</v>
      </c>
      <c r="N173" s="6">
        <v>3632995.6575700599</v>
      </c>
      <c r="O173" s="6">
        <v>1215402.0232202101</v>
      </c>
      <c r="P173" s="6">
        <v>1472981.98243626</v>
      </c>
      <c r="Q173" s="6">
        <v>252086.89175666601</v>
      </c>
      <c r="R173" s="6">
        <v>217617.30745755701</v>
      </c>
      <c r="S173" s="6">
        <v>306140.53471405501</v>
      </c>
      <c r="T173" s="6">
        <v>4832289.88</v>
      </c>
      <c r="U173" s="6">
        <v>1958793.9824407599</v>
      </c>
      <c r="V173" s="6">
        <v>5973535.7837726297</v>
      </c>
      <c r="W173" s="6">
        <v>817548.07866812998</v>
      </c>
      <c r="X173" s="6">
        <v>0</v>
      </c>
      <c r="Y173" s="6">
        <v>0</v>
      </c>
      <c r="Z173" s="6">
        <v>0</v>
      </c>
      <c r="AA173" s="6">
        <v>0</v>
      </c>
      <c r="AB173" s="6">
        <v>0</v>
      </c>
      <c r="AC173" s="6">
        <v>101382.792701939</v>
      </c>
      <c r="AD173" s="6">
        <v>204757.74201211601</v>
      </c>
      <c r="AE173" s="6">
        <v>0</v>
      </c>
      <c r="AF173" s="6">
        <v>0</v>
      </c>
      <c r="AG173" s="6">
        <v>0</v>
      </c>
      <c r="AH173" s="6">
        <v>0</v>
      </c>
      <c r="AI173" s="6">
        <v>0</v>
      </c>
      <c r="AJ173" s="6">
        <v>7097224.3971548099</v>
      </c>
      <c r="AK173" s="6">
        <v>12411.2506713155</v>
      </c>
      <c r="AL173" s="6">
        <v>330.98244656580999</v>
      </c>
      <c r="AM173" s="6">
        <v>93035.839999999997</v>
      </c>
      <c r="AN173" s="6">
        <v>3960.7976968845101</v>
      </c>
      <c r="AO173" s="6">
        <v>15387.6887038929</v>
      </c>
      <c r="AP173" s="6">
        <v>330.98244656580999</v>
      </c>
      <c r="AQ173" s="6">
        <v>93035.839999999997</v>
      </c>
      <c r="AR173" s="6">
        <v>11900.094225782501</v>
      </c>
      <c r="AS173" s="6">
        <v>12829.285811059999</v>
      </c>
      <c r="AT173" s="6">
        <v>0</v>
      </c>
      <c r="AU173" t="s">
        <v>2973</v>
      </c>
      <c r="AV173" t="s">
        <v>2973</v>
      </c>
    </row>
    <row r="174" spans="1:48" x14ac:dyDescent="0.45">
      <c r="A174" s="5" t="s">
        <v>353</v>
      </c>
      <c r="B174">
        <v>2139</v>
      </c>
      <c r="C174" t="s">
        <v>351</v>
      </c>
      <c r="D174">
        <v>810</v>
      </c>
      <c r="E174" t="s">
        <v>354</v>
      </c>
      <c r="F174" t="s">
        <v>2739</v>
      </c>
      <c r="G174" t="s">
        <v>2747</v>
      </c>
      <c r="H174" t="s">
        <v>2741</v>
      </c>
      <c r="I174" t="s">
        <v>2742</v>
      </c>
      <c r="J174">
        <v>563.174501660906</v>
      </c>
      <c r="K174">
        <v>1</v>
      </c>
      <c r="L174">
        <v>1</v>
      </c>
      <c r="M174">
        <v>2</v>
      </c>
      <c r="N174" s="6">
        <v>3231392.8259166898</v>
      </c>
      <c r="O174" s="6">
        <v>1236305.11330553</v>
      </c>
      <c r="P174" s="6">
        <v>1023098.7415721</v>
      </c>
      <c r="Q174" s="6">
        <v>248267.72079878999</v>
      </c>
      <c r="R174" s="6">
        <v>214320.358160506</v>
      </c>
      <c r="S174" s="6">
        <v>301502.43936899002</v>
      </c>
      <c r="T174" s="6">
        <v>4024266.93</v>
      </c>
      <c r="U174" s="6">
        <v>1929117.8297536101</v>
      </c>
      <c r="V174" s="6">
        <v>5440991.3939490896</v>
      </c>
      <c r="W174" s="6">
        <v>512393.36580452201</v>
      </c>
      <c r="X174" s="6">
        <v>0</v>
      </c>
      <c r="Y174" s="6">
        <v>0</v>
      </c>
      <c r="Z174" s="6">
        <v>0</v>
      </c>
      <c r="AA174" s="6">
        <v>0</v>
      </c>
      <c r="AB174" s="6">
        <v>0</v>
      </c>
      <c r="AC174" s="6">
        <v>99846.821454813107</v>
      </c>
      <c r="AD174" s="6">
        <v>201655.61791417701</v>
      </c>
      <c r="AE174" s="6">
        <v>0</v>
      </c>
      <c r="AF174" s="6">
        <v>0</v>
      </c>
      <c r="AG174" s="6">
        <v>0</v>
      </c>
      <c r="AH174" s="6">
        <v>0</v>
      </c>
      <c r="AI174" s="6">
        <v>0</v>
      </c>
      <c r="AJ174" s="6">
        <v>6254887.1991226003</v>
      </c>
      <c r="AK174" s="6">
        <v>11106.481526908199</v>
      </c>
      <c r="AL174" s="6">
        <v>330.98244656580999</v>
      </c>
      <c r="AM174" s="6">
        <v>93035.839999999997</v>
      </c>
      <c r="AN174" s="6">
        <v>3960.7976968845101</v>
      </c>
      <c r="AO174" s="6">
        <v>15387.6887038929</v>
      </c>
      <c r="AP174" s="6">
        <v>3753.1860850462999</v>
      </c>
      <c r="AQ174" s="6">
        <v>20687.885194392002</v>
      </c>
      <c r="AR174" s="6">
        <v>11106.481526908199</v>
      </c>
      <c r="AS174" s="6">
        <v>11106.481526908199</v>
      </c>
      <c r="AT174" s="6">
        <v>0</v>
      </c>
      <c r="AU174" t="s">
        <v>2973</v>
      </c>
      <c r="AV174" t="s">
        <v>2973</v>
      </c>
    </row>
    <row r="175" spans="1:48" x14ac:dyDescent="0.45">
      <c r="A175" s="5" t="s">
        <v>2806</v>
      </c>
      <c r="B175">
        <v>2139</v>
      </c>
      <c r="C175" t="s">
        <v>351</v>
      </c>
      <c r="D175">
        <v>5380</v>
      </c>
      <c r="E175" t="s">
        <v>2807</v>
      </c>
      <c r="F175" t="s">
        <v>2750</v>
      </c>
      <c r="G175" t="s">
        <v>2744</v>
      </c>
      <c r="H175" t="s">
        <v>2745</v>
      </c>
      <c r="I175" t="s">
        <v>2742</v>
      </c>
      <c r="J175">
        <v>62.741682119930601</v>
      </c>
      <c r="K175">
        <v>1</v>
      </c>
      <c r="L175">
        <v>1</v>
      </c>
      <c r="M175">
        <v>2</v>
      </c>
      <c r="N175" s="6">
        <v>18340.3327438089</v>
      </c>
      <c r="O175" s="6">
        <v>32484.787228583598</v>
      </c>
      <c r="P175" s="6">
        <v>112556.821454991</v>
      </c>
      <c r="Q175" s="6">
        <v>27658.806236892298</v>
      </c>
      <c r="R175" s="6">
        <v>23876.826354671499</v>
      </c>
      <c r="S175" s="6">
        <v>33589.536020334199</v>
      </c>
      <c r="T175" s="6">
        <v>0</v>
      </c>
      <c r="U175" s="6">
        <v>214917.57401894699</v>
      </c>
      <c r="V175" s="6">
        <v>194604.48530904501</v>
      </c>
      <c r="W175" s="6">
        <v>20313.0887099014</v>
      </c>
      <c r="X175" s="6">
        <v>0</v>
      </c>
      <c r="Y175" s="6">
        <v>0</v>
      </c>
      <c r="Z175" s="6">
        <v>0</v>
      </c>
      <c r="AA175" s="6">
        <v>0</v>
      </c>
      <c r="AB175" s="6">
        <v>0</v>
      </c>
      <c r="AC175" s="6">
        <v>11123.652640394799</v>
      </c>
      <c r="AD175" s="6">
        <v>22465.8833799395</v>
      </c>
      <c r="AE175" s="6">
        <v>0</v>
      </c>
      <c r="AF175" s="6">
        <v>0</v>
      </c>
      <c r="AG175" s="6">
        <v>0</v>
      </c>
      <c r="AH175" s="6">
        <v>0</v>
      </c>
      <c r="AI175" s="6">
        <v>0</v>
      </c>
      <c r="AJ175" s="6">
        <v>248507.11003928099</v>
      </c>
      <c r="AK175" s="6">
        <v>3960.7976968845101</v>
      </c>
      <c r="AL175" s="6">
        <v>330.98244656580999</v>
      </c>
      <c r="AM175" s="6">
        <v>93035.839999999997</v>
      </c>
      <c r="AN175" s="6">
        <v>3960.7976968845101</v>
      </c>
      <c r="AO175" s="6">
        <v>15387.6887038929</v>
      </c>
      <c r="AP175" s="6">
        <v>330.98244656580999</v>
      </c>
      <c r="AQ175" s="6">
        <v>40734.411818744898</v>
      </c>
      <c r="AR175" s="6">
        <v>3960.7976968845101</v>
      </c>
      <c r="AS175" s="6">
        <v>15387.6887038929</v>
      </c>
      <c r="AT175" s="6">
        <v>0</v>
      </c>
      <c r="AU175" t="s">
        <v>2973</v>
      </c>
      <c r="AV175" t="s">
        <v>2976</v>
      </c>
    </row>
    <row r="176" spans="1:48" x14ac:dyDescent="0.45">
      <c r="A176" s="5" t="s">
        <v>355</v>
      </c>
      <c r="B176">
        <v>2139</v>
      </c>
      <c r="C176" t="s">
        <v>351</v>
      </c>
      <c r="D176">
        <v>2139</v>
      </c>
      <c r="E176" t="s">
        <v>351</v>
      </c>
      <c r="F176" t="s">
        <v>1</v>
      </c>
      <c r="G176" t="s">
        <v>1</v>
      </c>
      <c r="H176" t="s">
        <v>2743</v>
      </c>
      <c r="I176" t="s">
        <v>2742</v>
      </c>
      <c r="J176">
        <v>2.7083333333319999</v>
      </c>
      <c r="K176">
        <v>0</v>
      </c>
      <c r="L176">
        <v>0</v>
      </c>
      <c r="M176">
        <v>2</v>
      </c>
      <c r="N176" s="6">
        <v>791.68636919090898</v>
      </c>
      <c r="O176" s="6">
        <v>1402.2517265188701</v>
      </c>
      <c r="P176" s="6">
        <v>4858.6741882014903</v>
      </c>
      <c r="Q176" s="6">
        <v>1193.93144016059</v>
      </c>
      <c r="R176" s="6">
        <v>1030.6769363774299</v>
      </c>
      <c r="S176" s="6">
        <v>1449.93976860765</v>
      </c>
      <c r="T176" s="6">
        <v>0</v>
      </c>
      <c r="U176" s="6">
        <v>9277.2206604492894</v>
      </c>
      <c r="V176" s="6">
        <v>8400.3774934013309</v>
      </c>
      <c r="W176" s="6">
        <v>876.84316704795503</v>
      </c>
      <c r="X176" s="6">
        <v>0</v>
      </c>
      <c r="Y176" s="6">
        <v>0</v>
      </c>
      <c r="Z176" s="6">
        <v>0</v>
      </c>
      <c r="AA176" s="6">
        <v>0</v>
      </c>
      <c r="AB176" s="6">
        <v>0</v>
      </c>
      <c r="AC176" s="6">
        <v>480.16817873643902</v>
      </c>
      <c r="AD176" s="6">
        <v>969.77158987121504</v>
      </c>
      <c r="AE176" s="6">
        <v>0</v>
      </c>
      <c r="AF176" s="6">
        <v>0</v>
      </c>
      <c r="AG176" s="6">
        <v>0</v>
      </c>
      <c r="AH176" s="6">
        <v>0</v>
      </c>
      <c r="AI176" s="6">
        <v>0</v>
      </c>
      <c r="AJ176" s="6">
        <v>10727.160429056899</v>
      </c>
      <c r="AK176" s="6">
        <v>3960.7976968845101</v>
      </c>
      <c r="AL176" s="6">
        <v>330.98244656580999</v>
      </c>
      <c r="AM176" s="6">
        <v>93035.839999999997</v>
      </c>
      <c r="AN176" s="6">
        <v>3960.7976968845101</v>
      </c>
      <c r="AO176" s="6">
        <v>15387.6887038929</v>
      </c>
      <c r="AP176" s="6">
        <v>634.54287297753501</v>
      </c>
      <c r="AQ176" s="6">
        <v>40331.279999999999</v>
      </c>
      <c r="AR176" s="6">
        <v>3960.7976968845101</v>
      </c>
      <c r="AS176" s="6">
        <v>3960.7976968845101</v>
      </c>
      <c r="AT176" s="6">
        <v>0</v>
      </c>
      <c r="AU176" t="s">
        <v>2973</v>
      </c>
      <c r="AV176" t="s">
        <v>2977</v>
      </c>
    </row>
    <row r="177" spans="1:48" x14ac:dyDescent="0.45">
      <c r="A177" s="5" t="s">
        <v>356</v>
      </c>
      <c r="B177">
        <v>2139</v>
      </c>
      <c r="C177" t="s">
        <v>351</v>
      </c>
      <c r="D177">
        <v>811</v>
      </c>
      <c r="E177" t="s">
        <v>357</v>
      </c>
      <c r="F177" t="s">
        <v>2739</v>
      </c>
      <c r="G177" t="s">
        <v>2744</v>
      </c>
      <c r="H177" t="s">
        <v>2741</v>
      </c>
      <c r="I177" t="s">
        <v>2742</v>
      </c>
      <c r="J177">
        <v>673.22695432044998</v>
      </c>
      <c r="K177">
        <v>1</v>
      </c>
      <c r="L177">
        <v>1</v>
      </c>
      <c r="M177">
        <v>2</v>
      </c>
      <c r="N177" s="6">
        <v>5169021.8949936097</v>
      </c>
      <c r="O177" s="6">
        <v>2236283.49410536</v>
      </c>
      <c r="P177" s="6">
        <v>2040696.5410498001</v>
      </c>
      <c r="Q177" s="6">
        <v>296782.82847771101</v>
      </c>
      <c r="R177" s="6">
        <v>256201.65960592701</v>
      </c>
      <c r="S177" s="6">
        <v>360420.381920607</v>
      </c>
      <c r="T177" s="6">
        <v>7692891.0300000003</v>
      </c>
      <c r="U177" s="6">
        <v>2306095.38823241</v>
      </c>
      <c r="V177" s="6">
        <v>7954205.7480101297</v>
      </c>
      <c r="W177" s="6">
        <v>2044780.6702222801</v>
      </c>
      <c r="X177" s="6">
        <v>0</v>
      </c>
      <c r="Y177" s="6">
        <v>0</v>
      </c>
      <c r="Z177" s="6">
        <v>0</v>
      </c>
      <c r="AA177" s="6">
        <v>0</v>
      </c>
      <c r="AB177" s="6">
        <v>0</v>
      </c>
      <c r="AC177" s="6">
        <v>119358.336196611</v>
      </c>
      <c r="AD177" s="6">
        <v>241062.04572399499</v>
      </c>
      <c r="AE177" s="6">
        <v>0</v>
      </c>
      <c r="AF177" s="6">
        <v>0</v>
      </c>
      <c r="AG177" s="6">
        <v>0</v>
      </c>
      <c r="AH177" s="6">
        <v>0</v>
      </c>
      <c r="AI177" s="6">
        <v>0</v>
      </c>
      <c r="AJ177" s="6">
        <v>10359406.800153</v>
      </c>
      <c r="AK177" s="6">
        <v>15387.6887038929</v>
      </c>
      <c r="AL177" s="6">
        <v>330.98244656580999</v>
      </c>
      <c r="AM177" s="6">
        <v>93035.839999999997</v>
      </c>
      <c r="AN177" s="6">
        <v>3960.7976968845101</v>
      </c>
      <c r="AO177" s="6">
        <v>15387.6887038929</v>
      </c>
      <c r="AP177" s="6">
        <v>330.98244656580999</v>
      </c>
      <c r="AQ177" s="6">
        <v>40734.411818744898</v>
      </c>
      <c r="AR177" s="6">
        <v>3960.7976968845101</v>
      </c>
      <c r="AS177" s="6">
        <v>15387.6887038929</v>
      </c>
      <c r="AT177" s="6">
        <v>0</v>
      </c>
      <c r="AU177" t="s">
        <v>2973</v>
      </c>
      <c r="AV177" t="s">
        <v>2973</v>
      </c>
    </row>
    <row r="178" spans="1:48" x14ac:dyDescent="0.45">
      <c r="A178" s="5" t="s">
        <v>358</v>
      </c>
      <c r="B178">
        <v>2139</v>
      </c>
      <c r="C178" t="s">
        <v>351</v>
      </c>
      <c r="D178">
        <v>806</v>
      </c>
      <c r="E178" t="s">
        <v>359</v>
      </c>
      <c r="F178" t="s">
        <v>2739</v>
      </c>
      <c r="G178" t="s">
        <v>2740</v>
      </c>
      <c r="H178" t="s">
        <v>2741</v>
      </c>
      <c r="I178" t="s">
        <v>2742</v>
      </c>
      <c r="J178">
        <v>164.81146179400301</v>
      </c>
      <c r="K178">
        <v>1</v>
      </c>
      <c r="L178">
        <v>1</v>
      </c>
      <c r="M178">
        <v>2</v>
      </c>
      <c r="N178" s="6">
        <v>1059964.4670297101</v>
      </c>
      <c r="O178" s="6">
        <v>387453.81329877599</v>
      </c>
      <c r="P178" s="6">
        <v>443386.08904812502</v>
      </c>
      <c r="Q178" s="6">
        <v>72654.862498996503</v>
      </c>
      <c r="R178" s="6">
        <v>62720.260623438597</v>
      </c>
      <c r="S178" s="6">
        <v>88233.855794807503</v>
      </c>
      <c r="T178" s="6">
        <v>1461628.49</v>
      </c>
      <c r="U178" s="6">
        <v>564551.00249904895</v>
      </c>
      <c r="V178" s="6">
        <v>1810811.4494373901</v>
      </c>
      <c r="W178" s="6">
        <v>215368.043061659</v>
      </c>
      <c r="X178" s="6">
        <v>0</v>
      </c>
      <c r="Y178" s="6">
        <v>0</v>
      </c>
      <c r="Z178" s="6">
        <v>0</v>
      </c>
      <c r="AA178" s="6">
        <v>0</v>
      </c>
      <c r="AB178" s="6">
        <v>0</v>
      </c>
      <c r="AC178" s="6">
        <v>29219.896410297399</v>
      </c>
      <c r="AD178" s="6">
        <v>59013.959384510097</v>
      </c>
      <c r="AE178" s="6">
        <v>0</v>
      </c>
      <c r="AF178" s="6">
        <v>0</v>
      </c>
      <c r="AG178" s="6">
        <v>0</v>
      </c>
      <c r="AH178" s="6">
        <v>0</v>
      </c>
      <c r="AI178" s="6">
        <v>0</v>
      </c>
      <c r="AJ178" s="6">
        <v>2114413.34829386</v>
      </c>
      <c r="AK178" s="6">
        <v>12829.285811059999</v>
      </c>
      <c r="AL178" s="6">
        <v>330.98244656580999</v>
      </c>
      <c r="AM178" s="6">
        <v>93035.839999999997</v>
      </c>
      <c r="AN178" s="6">
        <v>3960.7976968845101</v>
      </c>
      <c r="AO178" s="6">
        <v>15387.6887038929</v>
      </c>
      <c r="AP178" s="6">
        <v>330.98244656580999</v>
      </c>
      <c r="AQ178" s="6">
        <v>93035.839999999997</v>
      </c>
      <c r="AR178" s="6">
        <v>11900.094225782501</v>
      </c>
      <c r="AS178" s="6">
        <v>12829.285811059999</v>
      </c>
      <c r="AT178" s="6">
        <v>0</v>
      </c>
      <c r="AU178" t="s">
        <v>2973</v>
      </c>
      <c r="AV178" t="s">
        <v>2973</v>
      </c>
    </row>
    <row r="179" spans="1:48" x14ac:dyDescent="0.45">
      <c r="A179" s="5" t="s">
        <v>360</v>
      </c>
      <c r="B179">
        <v>2139</v>
      </c>
      <c r="C179" t="s">
        <v>351</v>
      </c>
      <c r="D179">
        <v>790</v>
      </c>
      <c r="E179" t="s">
        <v>361</v>
      </c>
      <c r="F179" t="s">
        <v>2739</v>
      </c>
      <c r="G179" t="s">
        <v>2740</v>
      </c>
      <c r="H179" t="s">
        <v>2741</v>
      </c>
      <c r="I179" t="s">
        <v>2742</v>
      </c>
      <c r="J179">
        <v>309.67677187153203</v>
      </c>
      <c r="K179">
        <v>1</v>
      </c>
      <c r="L179">
        <v>1</v>
      </c>
      <c r="M179">
        <v>2</v>
      </c>
      <c r="N179" s="6">
        <v>1905080.4553769301</v>
      </c>
      <c r="O179" s="6">
        <v>615717.15711502498</v>
      </c>
      <c r="P179" s="6">
        <v>744229.26025052799</v>
      </c>
      <c r="Q179" s="6">
        <v>136516.738790784</v>
      </c>
      <c r="R179" s="6">
        <v>117849.86086152399</v>
      </c>
      <c r="S179" s="6">
        <v>165789.292412601</v>
      </c>
      <c r="T179" s="6">
        <v>2458615.7200000002</v>
      </c>
      <c r="U179" s="6">
        <v>1060777.7523947901</v>
      </c>
      <c r="V179" s="6">
        <v>3072501.7620283398</v>
      </c>
      <c r="W179" s="6">
        <v>446891.710366457</v>
      </c>
      <c r="X179" s="6">
        <v>0</v>
      </c>
      <c r="Y179" s="6">
        <v>0</v>
      </c>
      <c r="Z179" s="6">
        <v>0</v>
      </c>
      <c r="AA179" s="6">
        <v>0</v>
      </c>
      <c r="AB179" s="6">
        <v>0</v>
      </c>
      <c r="AC179" s="6">
        <v>54903.482417208499</v>
      </c>
      <c r="AD179" s="6">
        <v>110885.80999539301</v>
      </c>
      <c r="AE179" s="6">
        <v>0</v>
      </c>
      <c r="AF179" s="6">
        <v>0</v>
      </c>
      <c r="AG179" s="6">
        <v>0</v>
      </c>
      <c r="AH179" s="6">
        <v>0</v>
      </c>
      <c r="AI179" s="6">
        <v>0</v>
      </c>
      <c r="AJ179" s="6">
        <v>3685182.7648073998</v>
      </c>
      <c r="AK179" s="6">
        <v>11900.094225782501</v>
      </c>
      <c r="AL179" s="6">
        <v>330.98244656580999</v>
      </c>
      <c r="AM179" s="6">
        <v>93035.839999999997</v>
      </c>
      <c r="AN179" s="6">
        <v>3960.7976968845101</v>
      </c>
      <c r="AO179" s="6">
        <v>15387.6887038929</v>
      </c>
      <c r="AP179" s="6">
        <v>330.98244656580999</v>
      </c>
      <c r="AQ179" s="6">
        <v>93035.839999999997</v>
      </c>
      <c r="AR179" s="6">
        <v>11900.094225782501</v>
      </c>
      <c r="AS179" s="6">
        <v>12829.285811059999</v>
      </c>
      <c r="AT179" s="6">
        <v>0</v>
      </c>
      <c r="AU179" t="s">
        <v>2973</v>
      </c>
      <c r="AV179" t="s">
        <v>2973</v>
      </c>
    </row>
    <row r="180" spans="1:48" x14ac:dyDescent="0.45">
      <c r="A180" s="5" t="s">
        <v>362</v>
      </c>
      <c r="B180">
        <v>2185</v>
      </c>
      <c r="C180" t="s">
        <v>363</v>
      </c>
      <c r="D180">
        <v>3649</v>
      </c>
      <c r="E180" t="s">
        <v>364</v>
      </c>
      <c r="F180" t="s">
        <v>2739</v>
      </c>
      <c r="G180" t="s">
        <v>2740</v>
      </c>
      <c r="H180" t="s">
        <v>2741</v>
      </c>
      <c r="I180" t="s">
        <v>2742</v>
      </c>
      <c r="J180">
        <v>561.39759213602304</v>
      </c>
      <c r="K180">
        <v>3</v>
      </c>
      <c r="L180">
        <v>1</v>
      </c>
      <c r="M180">
        <v>3</v>
      </c>
      <c r="N180" s="6">
        <v>3742275.7801079401</v>
      </c>
      <c r="O180" s="6">
        <v>1127512.0086856801</v>
      </c>
      <c r="P180" s="6">
        <v>1194831.8689357999</v>
      </c>
      <c r="Q180" s="6">
        <v>212837.52592240699</v>
      </c>
      <c r="R180" s="6">
        <v>509358.45487267902</v>
      </c>
      <c r="S180" s="6">
        <v>223665.913106719</v>
      </c>
      <c r="T180" s="6">
        <v>4585765.71</v>
      </c>
      <c r="U180" s="6">
        <v>2201049.9285245002</v>
      </c>
      <c r="V180" s="6">
        <v>5803601.5235376302</v>
      </c>
      <c r="W180" s="6">
        <v>821580.78130577202</v>
      </c>
      <c r="X180" s="6">
        <v>0</v>
      </c>
      <c r="Y180" s="6">
        <v>0</v>
      </c>
      <c r="Z180" s="6">
        <v>0</v>
      </c>
      <c r="AA180" s="6">
        <v>113743.23937406699</v>
      </c>
      <c r="AB180" s="6">
        <v>47890.094307028397</v>
      </c>
      <c r="AC180" s="6">
        <v>223665.913106719</v>
      </c>
      <c r="AD180" s="6">
        <v>0</v>
      </c>
      <c r="AE180" s="6">
        <v>0</v>
      </c>
      <c r="AF180" s="6">
        <v>0</v>
      </c>
      <c r="AG180" s="6">
        <v>0</v>
      </c>
      <c r="AH180" s="6">
        <v>0</v>
      </c>
      <c r="AI180" s="6">
        <v>0</v>
      </c>
      <c r="AJ180" s="6">
        <v>7010481.5516312197</v>
      </c>
      <c r="AK180" s="6">
        <v>12487.551870248501</v>
      </c>
      <c r="AL180" s="6">
        <v>330.98244656580999</v>
      </c>
      <c r="AM180" s="6">
        <v>93035.839999999997</v>
      </c>
      <c r="AN180" s="6">
        <v>4319.0706116240899</v>
      </c>
      <c r="AO180" s="6">
        <v>27772.190776730298</v>
      </c>
      <c r="AP180" s="6">
        <v>330.98244656580999</v>
      </c>
      <c r="AQ180" s="6">
        <v>93035.839999999997</v>
      </c>
      <c r="AR180" s="6">
        <v>12487.551870248501</v>
      </c>
      <c r="AS180" s="6">
        <v>15796.182579132201</v>
      </c>
      <c r="AT180" s="6">
        <v>0</v>
      </c>
      <c r="AU180" t="s">
        <v>2973</v>
      </c>
      <c r="AV180" t="s">
        <v>2973</v>
      </c>
    </row>
    <row r="181" spans="1:48" x14ac:dyDescent="0.45">
      <c r="A181" s="5" t="s">
        <v>365</v>
      </c>
      <c r="B181">
        <v>2185</v>
      </c>
      <c r="C181" t="s">
        <v>363</v>
      </c>
      <c r="D181">
        <v>967</v>
      </c>
      <c r="E181" t="s">
        <v>366</v>
      </c>
      <c r="F181" t="s">
        <v>2739</v>
      </c>
      <c r="G181" t="s">
        <v>2744</v>
      </c>
      <c r="H181" t="s">
        <v>2741</v>
      </c>
      <c r="I181" t="s">
        <v>2742</v>
      </c>
      <c r="J181">
        <v>1669.5562750878501</v>
      </c>
      <c r="K181">
        <v>1</v>
      </c>
      <c r="L181">
        <v>1</v>
      </c>
      <c r="M181">
        <v>3</v>
      </c>
      <c r="N181" s="6">
        <v>10579852.827413499</v>
      </c>
      <c r="O181" s="6">
        <v>5407526.2687443504</v>
      </c>
      <c r="P181" s="6">
        <v>4193268.59657849</v>
      </c>
      <c r="Q181" s="6">
        <v>632963.57511242805</v>
      </c>
      <c r="R181" s="6">
        <v>2065544.4804297299</v>
      </c>
      <c r="S181" s="6">
        <v>665166.42390603304</v>
      </c>
      <c r="T181" s="6">
        <v>16333390.73</v>
      </c>
      <c r="U181" s="6">
        <v>6545765.01827846</v>
      </c>
      <c r="V181" s="6">
        <v>18997864.855324</v>
      </c>
      <c r="W181" s="6">
        <v>2877190.0757388701</v>
      </c>
      <c r="X181" s="6">
        <v>0</v>
      </c>
      <c r="Y181" s="6">
        <v>0</v>
      </c>
      <c r="Z181" s="6">
        <v>0</v>
      </c>
      <c r="AA181" s="6">
        <v>337035.01280640101</v>
      </c>
      <c r="AB181" s="6">
        <v>667065.80440918205</v>
      </c>
      <c r="AC181" s="6">
        <v>665166.42390603304</v>
      </c>
      <c r="AD181" s="6">
        <v>0</v>
      </c>
      <c r="AE181" s="6">
        <v>0</v>
      </c>
      <c r="AF181" s="6">
        <v>0</v>
      </c>
      <c r="AG181" s="6">
        <v>0</v>
      </c>
      <c r="AH181" s="6">
        <v>0</v>
      </c>
      <c r="AI181" s="6">
        <v>0</v>
      </c>
      <c r="AJ181" s="6">
        <v>23544322.172184501</v>
      </c>
      <c r="AK181" s="6">
        <v>14102.1434997426</v>
      </c>
      <c r="AL181" s="6">
        <v>330.98244656580999</v>
      </c>
      <c r="AM181" s="6">
        <v>93035.839999999997</v>
      </c>
      <c r="AN181" s="6">
        <v>4319.0706116240899</v>
      </c>
      <c r="AO181" s="6">
        <v>27772.190776730298</v>
      </c>
      <c r="AP181" s="6">
        <v>330.98244656580999</v>
      </c>
      <c r="AQ181" s="6">
        <v>40734.411818744898</v>
      </c>
      <c r="AR181" s="6">
        <v>14102.1434997426</v>
      </c>
      <c r="AS181" s="6">
        <v>27772.190776730298</v>
      </c>
      <c r="AT181" s="6">
        <v>0</v>
      </c>
      <c r="AU181" t="s">
        <v>2973</v>
      </c>
      <c r="AV181" t="s">
        <v>2973</v>
      </c>
    </row>
    <row r="182" spans="1:48" x14ac:dyDescent="0.45">
      <c r="A182" s="5" t="s">
        <v>367</v>
      </c>
      <c r="B182">
        <v>2185</v>
      </c>
      <c r="C182" t="s">
        <v>363</v>
      </c>
      <c r="D182">
        <v>960</v>
      </c>
      <c r="E182" t="s">
        <v>368</v>
      </c>
      <c r="F182" t="s">
        <v>2739</v>
      </c>
      <c r="G182" t="s">
        <v>2747</v>
      </c>
      <c r="H182" t="s">
        <v>2741</v>
      </c>
      <c r="I182" t="s">
        <v>2742</v>
      </c>
      <c r="J182">
        <v>901.27261202639602</v>
      </c>
      <c r="K182">
        <v>2</v>
      </c>
      <c r="L182">
        <v>1</v>
      </c>
      <c r="M182">
        <v>3</v>
      </c>
      <c r="N182" s="6">
        <v>6520000.7610499701</v>
      </c>
      <c r="O182" s="6">
        <v>2104570.9803995299</v>
      </c>
      <c r="P182" s="6">
        <v>2069385.72233181</v>
      </c>
      <c r="Q182" s="6">
        <v>341691.22848472302</v>
      </c>
      <c r="R182" s="6">
        <v>877381.69327622605</v>
      </c>
      <c r="S182" s="6">
        <v>359075.21612262097</v>
      </c>
      <c r="T182" s="6">
        <v>8379445.5499999998</v>
      </c>
      <c r="U182" s="6">
        <v>3533584.8355422602</v>
      </c>
      <c r="V182" s="6">
        <v>10274902.229617</v>
      </c>
      <c r="W182" s="6">
        <v>1318987.4181385799</v>
      </c>
      <c r="X182" s="6">
        <v>0</v>
      </c>
      <c r="Y182" s="6">
        <v>0</v>
      </c>
      <c r="Z182" s="6">
        <v>0</v>
      </c>
      <c r="AA182" s="6">
        <v>187368.22317827601</v>
      </c>
      <c r="AB182" s="6">
        <v>131772.51460842401</v>
      </c>
      <c r="AC182" s="6">
        <v>359075.21612262097</v>
      </c>
      <c r="AD182" s="6">
        <v>0</v>
      </c>
      <c r="AE182" s="6">
        <v>0</v>
      </c>
      <c r="AF182" s="6">
        <v>0</v>
      </c>
      <c r="AG182" s="6">
        <v>0</v>
      </c>
      <c r="AH182" s="6">
        <v>0</v>
      </c>
      <c r="AI182" s="6">
        <v>0</v>
      </c>
      <c r="AJ182" s="6">
        <v>12272105.601664901</v>
      </c>
      <c r="AK182" s="6">
        <v>13616.419092190799</v>
      </c>
      <c r="AL182" s="6">
        <v>330.98244656580999</v>
      </c>
      <c r="AM182" s="6">
        <v>93035.839999999997</v>
      </c>
      <c r="AN182" s="6">
        <v>4319.0706116240899</v>
      </c>
      <c r="AO182" s="6">
        <v>27772.190776730298</v>
      </c>
      <c r="AP182" s="6">
        <v>3753.1860850462999</v>
      </c>
      <c r="AQ182" s="6">
        <v>20687.885194392002</v>
      </c>
      <c r="AR182" s="6">
        <v>13616.419092190799</v>
      </c>
      <c r="AS182" s="6">
        <v>13616.419092190799</v>
      </c>
      <c r="AT182" s="6">
        <v>0</v>
      </c>
      <c r="AU182" t="s">
        <v>2973</v>
      </c>
      <c r="AV182" t="s">
        <v>2973</v>
      </c>
    </row>
    <row r="183" spans="1:48" x14ac:dyDescent="0.45">
      <c r="A183" s="5" t="s">
        <v>369</v>
      </c>
      <c r="B183">
        <v>2185</v>
      </c>
      <c r="C183" t="s">
        <v>363</v>
      </c>
      <c r="D183">
        <v>1367</v>
      </c>
      <c r="E183" t="s">
        <v>370</v>
      </c>
      <c r="F183" t="s">
        <v>2750</v>
      </c>
      <c r="G183" t="s">
        <v>2744</v>
      </c>
      <c r="H183" t="s">
        <v>2741</v>
      </c>
      <c r="I183" t="s">
        <v>2742</v>
      </c>
      <c r="J183">
        <v>113.444023280045</v>
      </c>
      <c r="K183">
        <v>1</v>
      </c>
      <c r="L183">
        <v>2</v>
      </c>
      <c r="M183">
        <v>3</v>
      </c>
      <c r="N183" s="6">
        <v>1844853.5759793399</v>
      </c>
      <c r="O183" s="6">
        <v>733390.229190276</v>
      </c>
      <c r="P183" s="6">
        <v>357019.78786186699</v>
      </c>
      <c r="Q183" s="6">
        <v>43008.993240851698</v>
      </c>
      <c r="R183" s="6">
        <v>127119.338781556</v>
      </c>
      <c r="S183" s="6">
        <v>45197.1319593464</v>
      </c>
      <c r="T183" s="6">
        <v>2660616.31</v>
      </c>
      <c r="U183" s="6">
        <v>444775.61505389301</v>
      </c>
      <c r="V183" s="6">
        <v>2507421.74855344</v>
      </c>
      <c r="W183" s="6">
        <v>548347.14683045202</v>
      </c>
      <c r="X183" s="6">
        <v>0</v>
      </c>
      <c r="Y183" s="6">
        <v>0</v>
      </c>
      <c r="Z183" s="6">
        <v>0</v>
      </c>
      <c r="AA183" s="6">
        <v>25525.0796465147</v>
      </c>
      <c r="AB183" s="6">
        <v>24097.950023482801</v>
      </c>
      <c r="AC183" s="6">
        <v>45197.1319593464</v>
      </c>
      <c r="AD183" s="6">
        <v>0</v>
      </c>
      <c r="AE183" s="6">
        <v>0</v>
      </c>
      <c r="AF183" s="6">
        <v>0</v>
      </c>
      <c r="AG183" s="6">
        <v>0</v>
      </c>
      <c r="AH183" s="6">
        <v>0</v>
      </c>
      <c r="AI183" s="6">
        <v>0</v>
      </c>
      <c r="AJ183" s="6">
        <v>3150589.0570132402</v>
      </c>
      <c r="AK183" s="6">
        <v>27772.190776730298</v>
      </c>
      <c r="AL183" s="6">
        <v>330.98244656580999</v>
      </c>
      <c r="AM183" s="6">
        <v>93035.839999999997</v>
      </c>
      <c r="AN183" s="6">
        <v>4319.0706116240899</v>
      </c>
      <c r="AO183" s="6">
        <v>27772.190776730298</v>
      </c>
      <c r="AP183" s="6">
        <v>330.98244656580999</v>
      </c>
      <c r="AQ183" s="6">
        <v>40734.411818744898</v>
      </c>
      <c r="AR183" s="6">
        <v>14102.1434997426</v>
      </c>
      <c r="AS183" s="6">
        <v>27772.190776730298</v>
      </c>
      <c r="AT183" s="6">
        <v>0</v>
      </c>
      <c r="AU183" t="s">
        <v>2973</v>
      </c>
      <c r="AV183" t="s">
        <v>2973</v>
      </c>
    </row>
    <row r="184" spans="1:48" x14ac:dyDescent="0.45">
      <c r="A184" s="5" t="s">
        <v>371</v>
      </c>
      <c r="B184">
        <v>2185</v>
      </c>
      <c r="C184" t="s">
        <v>363</v>
      </c>
      <c r="D184">
        <v>2185</v>
      </c>
      <c r="E184" t="s">
        <v>363</v>
      </c>
      <c r="F184" t="s">
        <v>1</v>
      </c>
      <c r="G184" t="s">
        <v>1</v>
      </c>
      <c r="H184" t="s">
        <v>2743</v>
      </c>
      <c r="I184" t="s">
        <v>2742</v>
      </c>
      <c r="J184">
        <v>202.18896712856201</v>
      </c>
      <c r="K184">
        <v>1</v>
      </c>
      <c r="L184">
        <v>5</v>
      </c>
      <c r="M184">
        <v>3</v>
      </c>
      <c r="N184" s="6">
        <v>74716.361286956599</v>
      </c>
      <c r="O184" s="6">
        <v>182846.378503819</v>
      </c>
      <c r="P184" s="6">
        <v>278985.94129355601</v>
      </c>
      <c r="Q184" s="6">
        <v>76654.050774808406</v>
      </c>
      <c r="R184" s="6">
        <v>179511.76831088701</v>
      </c>
      <c r="S184" s="6">
        <v>80553.925749572896</v>
      </c>
      <c r="T184" s="6">
        <v>0</v>
      </c>
      <c r="U184" s="6">
        <v>792714.50017002702</v>
      </c>
      <c r="V184" s="6">
        <v>568734.59284986695</v>
      </c>
      <c r="W184" s="6">
        <v>169702.347497551</v>
      </c>
      <c r="X184" s="6">
        <v>0</v>
      </c>
      <c r="Y184" s="6">
        <v>0</v>
      </c>
      <c r="Z184" s="6">
        <v>0</v>
      </c>
      <c r="AA184" s="6">
        <v>40816.091162846496</v>
      </c>
      <c r="AB184" s="6">
        <v>13461.468659762</v>
      </c>
      <c r="AC184" s="6">
        <v>80553.925749572896</v>
      </c>
      <c r="AD184" s="6">
        <v>0</v>
      </c>
      <c r="AE184" s="6">
        <v>0</v>
      </c>
      <c r="AF184" s="6">
        <v>0</v>
      </c>
      <c r="AG184" s="6">
        <v>0</v>
      </c>
      <c r="AH184" s="6">
        <v>0</v>
      </c>
      <c r="AI184" s="6">
        <v>0</v>
      </c>
      <c r="AJ184" s="6">
        <v>873268.42591959995</v>
      </c>
      <c r="AK184" s="6">
        <v>4319.0706116240899</v>
      </c>
      <c r="AL184" s="6">
        <v>330.98244656580999</v>
      </c>
      <c r="AM184" s="6">
        <v>93035.839999999997</v>
      </c>
      <c r="AN184" s="6">
        <v>4319.0706116240899</v>
      </c>
      <c r="AO184" s="6">
        <v>27772.190776730298</v>
      </c>
      <c r="AP184" s="6">
        <v>634.54287297753501</v>
      </c>
      <c r="AQ184" s="6">
        <v>40331.279999999999</v>
      </c>
      <c r="AR184" s="6">
        <v>4319.0706116240899</v>
      </c>
      <c r="AS184" s="6">
        <v>4319.0706116240899</v>
      </c>
      <c r="AT184" s="6">
        <v>0</v>
      </c>
      <c r="AU184" t="s">
        <v>2973</v>
      </c>
      <c r="AV184" t="s">
        <v>2977</v>
      </c>
    </row>
    <row r="185" spans="1:48" x14ac:dyDescent="0.45">
      <c r="A185" s="5" t="s">
        <v>372</v>
      </c>
      <c r="B185">
        <v>2185</v>
      </c>
      <c r="C185" t="s">
        <v>363</v>
      </c>
      <c r="D185">
        <v>959</v>
      </c>
      <c r="E185" t="s">
        <v>373</v>
      </c>
      <c r="F185" t="s">
        <v>2739</v>
      </c>
      <c r="G185" t="s">
        <v>2740</v>
      </c>
      <c r="H185" t="s">
        <v>2741</v>
      </c>
      <c r="I185" t="s">
        <v>2742</v>
      </c>
      <c r="J185">
        <v>405.30355044523702</v>
      </c>
      <c r="K185">
        <v>4</v>
      </c>
      <c r="L185">
        <v>1</v>
      </c>
      <c r="M185">
        <v>3</v>
      </c>
      <c r="N185" s="6">
        <v>3201185.4722639001</v>
      </c>
      <c r="O185" s="6">
        <v>1038078.58329412</v>
      </c>
      <c r="P185" s="6">
        <v>964876.503460504</v>
      </c>
      <c r="Q185" s="6">
        <v>153659.02193508201</v>
      </c>
      <c r="R185" s="6">
        <v>372725.58714365697</v>
      </c>
      <c r="S185" s="6">
        <v>161476.62541766799</v>
      </c>
      <c r="T185" s="6">
        <v>4141467.14</v>
      </c>
      <c r="U185" s="6">
        <v>1589058.02809725</v>
      </c>
      <c r="V185" s="6">
        <v>4589086.2988730902</v>
      </c>
      <c r="W185" s="6">
        <v>1019866.5382264</v>
      </c>
      <c r="X185" s="6">
        <v>0</v>
      </c>
      <c r="Y185" s="6">
        <v>0</v>
      </c>
      <c r="Z185" s="6">
        <v>0</v>
      </c>
      <c r="AA185" s="6">
        <v>83904.767401181904</v>
      </c>
      <c r="AB185" s="6">
        <v>37667.5635965865</v>
      </c>
      <c r="AC185" s="6">
        <v>161476.62541766799</v>
      </c>
      <c r="AD185" s="6">
        <v>0</v>
      </c>
      <c r="AE185" s="6">
        <v>0</v>
      </c>
      <c r="AF185" s="6">
        <v>0</v>
      </c>
      <c r="AG185" s="6">
        <v>0</v>
      </c>
      <c r="AH185" s="6">
        <v>0</v>
      </c>
      <c r="AI185" s="6">
        <v>0</v>
      </c>
      <c r="AJ185" s="6">
        <v>5892001.7935149204</v>
      </c>
      <c r="AK185" s="6">
        <v>14537.2567968931</v>
      </c>
      <c r="AL185" s="6">
        <v>330.98244656580999</v>
      </c>
      <c r="AM185" s="6">
        <v>93035.839999999997</v>
      </c>
      <c r="AN185" s="6">
        <v>4319.0706116240899</v>
      </c>
      <c r="AO185" s="6">
        <v>27772.190776730298</v>
      </c>
      <c r="AP185" s="6">
        <v>330.98244656580999</v>
      </c>
      <c r="AQ185" s="6">
        <v>93035.839999999997</v>
      </c>
      <c r="AR185" s="6">
        <v>12487.551870248501</v>
      </c>
      <c r="AS185" s="6">
        <v>15796.182579132201</v>
      </c>
      <c r="AT185" s="6">
        <v>0</v>
      </c>
      <c r="AU185" t="s">
        <v>2973</v>
      </c>
      <c r="AV185" t="s">
        <v>2973</v>
      </c>
    </row>
    <row r="186" spans="1:48" x14ac:dyDescent="0.45">
      <c r="A186" s="5" t="s">
        <v>374</v>
      </c>
      <c r="B186">
        <v>2185</v>
      </c>
      <c r="C186" t="s">
        <v>363</v>
      </c>
      <c r="D186">
        <v>962</v>
      </c>
      <c r="E186" t="s">
        <v>375</v>
      </c>
      <c r="F186" t="s">
        <v>2739</v>
      </c>
      <c r="G186" t="s">
        <v>2740</v>
      </c>
      <c r="H186" t="s">
        <v>2741</v>
      </c>
      <c r="I186" t="s">
        <v>2742</v>
      </c>
      <c r="J186">
        <v>378.14681225777599</v>
      </c>
      <c r="K186">
        <v>4</v>
      </c>
      <c r="L186">
        <v>1</v>
      </c>
      <c r="M186">
        <v>3</v>
      </c>
      <c r="N186" s="6">
        <v>2971969.3850563401</v>
      </c>
      <c r="O186" s="6">
        <v>1258276.79878746</v>
      </c>
      <c r="P186" s="6">
        <v>997759.56335536798</v>
      </c>
      <c r="Q186" s="6">
        <v>143363.33657962899</v>
      </c>
      <c r="R186" s="6">
        <v>347538.85630371899</v>
      </c>
      <c r="S186" s="6">
        <v>150657.13361937201</v>
      </c>
      <c r="T186" s="6">
        <v>4236322.29</v>
      </c>
      <c r="U186" s="6">
        <v>1482585.65008252</v>
      </c>
      <c r="V186" s="6">
        <v>4462938.6597623201</v>
      </c>
      <c r="W186" s="6">
        <v>1142651.4965013899</v>
      </c>
      <c r="X186" s="6">
        <v>0</v>
      </c>
      <c r="Y186" s="6">
        <v>0</v>
      </c>
      <c r="Z186" s="6">
        <v>0</v>
      </c>
      <c r="AA186" s="6">
        <v>77494.279213785994</v>
      </c>
      <c r="AB186" s="6">
        <v>35823.504605022303</v>
      </c>
      <c r="AC186" s="6">
        <v>150657.13361937201</v>
      </c>
      <c r="AD186" s="6">
        <v>0</v>
      </c>
      <c r="AE186" s="6">
        <v>0</v>
      </c>
      <c r="AF186" s="6">
        <v>0</v>
      </c>
      <c r="AG186" s="6">
        <v>0</v>
      </c>
      <c r="AH186" s="6">
        <v>0</v>
      </c>
      <c r="AI186" s="6">
        <v>0</v>
      </c>
      <c r="AJ186" s="6">
        <v>5869565.0737018902</v>
      </c>
      <c r="AK186" s="6">
        <v>15521.921336998401</v>
      </c>
      <c r="AL186" s="6">
        <v>330.98244656580999</v>
      </c>
      <c r="AM186" s="6">
        <v>93035.839999999997</v>
      </c>
      <c r="AN186" s="6">
        <v>4319.0706116240899</v>
      </c>
      <c r="AO186" s="6">
        <v>27772.190776730298</v>
      </c>
      <c r="AP186" s="6">
        <v>330.98244656580999</v>
      </c>
      <c r="AQ186" s="6">
        <v>93035.839999999997</v>
      </c>
      <c r="AR186" s="6">
        <v>12487.551870248501</v>
      </c>
      <c r="AS186" s="6">
        <v>15796.182579132201</v>
      </c>
      <c r="AT186" s="6">
        <v>0</v>
      </c>
      <c r="AU186" t="s">
        <v>2973</v>
      </c>
      <c r="AV186" t="s">
        <v>2973</v>
      </c>
    </row>
    <row r="187" spans="1:48" x14ac:dyDescent="0.45">
      <c r="A187" s="5" t="s">
        <v>376</v>
      </c>
      <c r="B187">
        <v>2185</v>
      </c>
      <c r="C187" t="s">
        <v>363</v>
      </c>
      <c r="D187">
        <v>963</v>
      </c>
      <c r="E187" t="s">
        <v>377</v>
      </c>
      <c r="F187" t="s">
        <v>2739</v>
      </c>
      <c r="G187" t="s">
        <v>2740</v>
      </c>
      <c r="H187" t="s">
        <v>2741</v>
      </c>
      <c r="I187" t="s">
        <v>2742</v>
      </c>
      <c r="J187">
        <v>376.079633292724</v>
      </c>
      <c r="K187">
        <v>4</v>
      </c>
      <c r="L187">
        <v>1</v>
      </c>
      <c r="M187">
        <v>3</v>
      </c>
      <c r="N187" s="6">
        <v>2932144.02536096</v>
      </c>
      <c r="O187" s="6">
        <v>1361753.58834951</v>
      </c>
      <c r="P187" s="6">
        <v>1008667.97251953</v>
      </c>
      <c r="Q187" s="6">
        <v>142579.625956848</v>
      </c>
      <c r="R187" s="6">
        <v>345643.78890331002</v>
      </c>
      <c r="S187" s="6">
        <v>149833.55069480999</v>
      </c>
      <c r="T187" s="6">
        <v>4316308.0599999996</v>
      </c>
      <c r="U187" s="6">
        <v>1474480.94109016</v>
      </c>
      <c r="V187" s="6">
        <v>4519791.6801960003</v>
      </c>
      <c r="W187" s="6">
        <v>1158294.2105691601</v>
      </c>
      <c r="X187" s="6">
        <v>0</v>
      </c>
      <c r="Y187" s="6">
        <v>0</v>
      </c>
      <c r="Z187" s="6">
        <v>0</v>
      </c>
      <c r="AA187" s="6">
        <v>77147.235706647494</v>
      </c>
      <c r="AB187" s="6">
        <v>35555.874618345202</v>
      </c>
      <c r="AC187" s="6">
        <v>149833.55069480999</v>
      </c>
      <c r="AD187" s="6">
        <v>0</v>
      </c>
      <c r="AE187" s="6">
        <v>0</v>
      </c>
      <c r="AF187" s="6">
        <v>0</v>
      </c>
      <c r="AG187" s="6">
        <v>0</v>
      </c>
      <c r="AH187" s="6">
        <v>0</v>
      </c>
      <c r="AI187" s="6">
        <v>0</v>
      </c>
      <c r="AJ187" s="6">
        <v>5940622.5517849699</v>
      </c>
      <c r="AK187" s="6">
        <v>15796.182579132201</v>
      </c>
      <c r="AL187" s="6">
        <v>330.98244656580999</v>
      </c>
      <c r="AM187" s="6">
        <v>93035.839999999997</v>
      </c>
      <c r="AN187" s="6">
        <v>4319.0706116240899</v>
      </c>
      <c r="AO187" s="6">
        <v>27772.190776730298</v>
      </c>
      <c r="AP187" s="6">
        <v>330.98244656580999</v>
      </c>
      <c r="AQ187" s="6">
        <v>93035.839999999997</v>
      </c>
      <c r="AR187" s="6">
        <v>12487.551870248501</v>
      </c>
      <c r="AS187" s="6">
        <v>15796.182579132201</v>
      </c>
      <c r="AT187" s="6">
        <v>0</v>
      </c>
      <c r="AU187" t="s">
        <v>2973</v>
      </c>
      <c r="AV187" t="s">
        <v>2973</v>
      </c>
    </row>
    <row r="188" spans="1:48" x14ac:dyDescent="0.45">
      <c r="A188" s="5" t="s">
        <v>378</v>
      </c>
      <c r="B188">
        <v>2185</v>
      </c>
      <c r="C188" t="s">
        <v>363</v>
      </c>
      <c r="D188">
        <v>964</v>
      </c>
      <c r="E188" t="s">
        <v>379</v>
      </c>
      <c r="F188" t="s">
        <v>2739</v>
      </c>
      <c r="G188" t="s">
        <v>2740</v>
      </c>
      <c r="H188" t="s">
        <v>2741</v>
      </c>
      <c r="I188" t="s">
        <v>2742</v>
      </c>
      <c r="J188">
        <v>480.12113420213097</v>
      </c>
      <c r="K188">
        <v>4</v>
      </c>
      <c r="L188">
        <v>1</v>
      </c>
      <c r="M188">
        <v>3</v>
      </c>
      <c r="N188" s="6">
        <v>3529005.7587830601</v>
      </c>
      <c r="O188" s="6">
        <v>1103622.26589282</v>
      </c>
      <c r="P188" s="6">
        <v>1097256.0393870999</v>
      </c>
      <c r="Q188" s="6">
        <v>182023.927031525</v>
      </c>
      <c r="R188" s="6">
        <v>453856.49754047103</v>
      </c>
      <c r="S188" s="6">
        <v>191284.63211707899</v>
      </c>
      <c r="T188" s="6">
        <v>4483372.04</v>
      </c>
      <c r="U188" s="6">
        <v>1882392.44863497</v>
      </c>
      <c r="V188" s="6">
        <v>5187217.6815876402</v>
      </c>
      <c r="W188" s="6">
        <v>1022073.4510017399</v>
      </c>
      <c r="X188" s="6">
        <v>0</v>
      </c>
      <c r="Y188" s="6">
        <v>0</v>
      </c>
      <c r="Z188" s="6">
        <v>0</v>
      </c>
      <c r="AA188" s="6">
        <v>105720.53865831799</v>
      </c>
      <c r="AB188" s="6">
        <v>50752.817387265102</v>
      </c>
      <c r="AC188" s="6">
        <v>191284.63211707899</v>
      </c>
      <c r="AD188" s="6">
        <v>0</v>
      </c>
      <c r="AE188" s="6">
        <v>0</v>
      </c>
      <c r="AF188" s="6">
        <v>0</v>
      </c>
      <c r="AG188" s="6">
        <v>0</v>
      </c>
      <c r="AH188" s="6">
        <v>0</v>
      </c>
      <c r="AI188" s="6">
        <v>0</v>
      </c>
      <c r="AJ188" s="6">
        <v>6557049.1207520403</v>
      </c>
      <c r="AK188" s="6">
        <v>13657.072462866299</v>
      </c>
      <c r="AL188" s="6">
        <v>330.98244656580999</v>
      </c>
      <c r="AM188" s="6">
        <v>93035.839999999997</v>
      </c>
      <c r="AN188" s="6">
        <v>4319.0706116240899</v>
      </c>
      <c r="AO188" s="6">
        <v>27772.190776730298</v>
      </c>
      <c r="AP188" s="6">
        <v>330.98244656580999</v>
      </c>
      <c r="AQ188" s="6">
        <v>93035.839999999997</v>
      </c>
      <c r="AR188" s="6">
        <v>12487.551870248501</v>
      </c>
      <c r="AS188" s="6">
        <v>15796.182579132201</v>
      </c>
      <c r="AT188" s="6">
        <v>0</v>
      </c>
      <c r="AU188" t="s">
        <v>2973</v>
      </c>
      <c r="AV188" t="s">
        <v>2973</v>
      </c>
    </row>
    <row r="189" spans="1:48" x14ac:dyDescent="0.45">
      <c r="A189" s="5" t="s">
        <v>380</v>
      </c>
      <c r="B189">
        <v>2185</v>
      </c>
      <c r="C189" t="s">
        <v>363</v>
      </c>
      <c r="D189">
        <v>966</v>
      </c>
      <c r="E189" t="s">
        <v>381</v>
      </c>
      <c r="F189" t="s">
        <v>2739</v>
      </c>
      <c r="G189" t="s">
        <v>2740</v>
      </c>
      <c r="H189" t="s">
        <v>2741</v>
      </c>
      <c r="I189" t="s">
        <v>2742</v>
      </c>
      <c r="J189">
        <v>412.59034871429401</v>
      </c>
      <c r="K189">
        <v>2</v>
      </c>
      <c r="L189">
        <v>1</v>
      </c>
      <c r="M189">
        <v>3</v>
      </c>
      <c r="N189" s="6">
        <v>2890169.1258879802</v>
      </c>
      <c r="O189" s="6">
        <v>995647.58348056395</v>
      </c>
      <c r="P189" s="6">
        <v>1012630.6096939601</v>
      </c>
      <c r="Q189" s="6">
        <v>156421.59900560501</v>
      </c>
      <c r="R189" s="6">
        <v>380774.85949782003</v>
      </c>
      <c r="S189" s="6">
        <v>164379.752205711</v>
      </c>
      <c r="T189" s="6">
        <v>3818016.68</v>
      </c>
      <c r="U189" s="6">
        <v>1617627.0975659301</v>
      </c>
      <c r="V189" s="6">
        <v>4604213.2845149599</v>
      </c>
      <c r="W189" s="6">
        <v>706210.75352308305</v>
      </c>
      <c r="X189" s="6">
        <v>0</v>
      </c>
      <c r="Y189" s="6">
        <v>0</v>
      </c>
      <c r="Z189" s="6">
        <v>0</v>
      </c>
      <c r="AA189" s="6">
        <v>83290.030733107997</v>
      </c>
      <c r="AB189" s="6">
        <v>41929.708794774102</v>
      </c>
      <c r="AC189" s="6">
        <v>164379.752205711</v>
      </c>
      <c r="AD189" s="6">
        <v>0</v>
      </c>
      <c r="AE189" s="6">
        <v>0</v>
      </c>
      <c r="AF189" s="6">
        <v>0</v>
      </c>
      <c r="AG189" s="6">
        <v>0</v>
      </c>
      <c r="AH189" s="6">
        <v>0</v>
      </c>
      <c r="AI189" s="6">
        <v>0</v>
      </c>
      <c r="AJ189" s="6">
        <v>5600023.52977164</v>
      </c>
      <c r="AK189" s="6">
        <v>13572.8417962813</v>
      </c>
      <c r="AL189" s="6">
        <v>330.98244656580999</v>
      </c>
      <c r="AM189" s="6">
        <v>93035.839999999997</v>
      </c>
      <c r="AN189" s="6">
        <v>4319.0706116240899</v>
      </c>
      <c r="AO189" s="6">
        <v>27772.190776730298</v>
      </c>
      <c r="AP189" s="6">
        <v>330.98244656580999</v>
      </c>
      <c r="AQ189" s="6">
        <v>93035.839999999997</v>
      </c>
      <c r="AR189" s="6">
        <v>12487.551870248501</v>
      </c>
      <c r="AS189" s="6">
        <v>15796.182579132201</v>
      </c>
      <c r="AT189" s="6">
        <v>0</v>
      </c>
      <c r="AU189" t="s">
        <v>2973</v>
      </c>
      <c r="AV189" t="s">
        <v>2973</v>
      </c>
    </row>
    <row r="190" spans="1:48" x14ac:dyDescent="0.45">
      <c r="A190" s="5" t="s">
        <v>382</v>
      </c>
      <c r="B190">
        <v>2185</v>
      </c>
      <c r="C190" t="s">
        <v>363</v>
      </c>
      <c r="D190">
        <v>965</v>
      </c>
      <c r="E190" t="s">
        <v>383</v>
      </c>
      <c r="F190" t="s">
        <v>2739</v>
      </c>
      <c r="G190" t="s">
        <v>2740</v>
      </c>
      <c r="H190" t="s">
        <v>2741</v>
      </c>
      <c r="I190" t="s">
        <v>2742</v>
      </c>
      <c r="J190">
        <v>533.54293765403304</v>
      </c>
      <c r="K190">
        <v>4</v>
      </c>
      <c r="L190">
        <v>1</v>
      </c>
      <c r="M190">
        <v>3</v>
      </c>
      <c r="N190" s="6">
        <v>3903602.2568100998</v>
      </c>
      <c r="O190" s="6">
        <v>1180671.0646718801</v>
      </c>
      <c r="P190" s="6">
        <v>1210484.25458202</v>
      </c>
      <c r="Q190" s="6">
        <v>202277.245956094</v>
      </c>
      <c r="R190" s="6">
        <v>478746.03493994899</v>
      </c>
      <c r="S190" s="6">
        <v>212568.36510106799</v>
      </c>
      <c r="T190" s="6">
        <v>4883939.5999999996</v>
      </c>
      <c r="U190" s="6">
        <v>2091841.25696005</v>
      </c>
      <c r="V190" s="6">
        <v>5679286.1451840596</v>
      </c>
      <c r="W190" s="6">
        <v>1148220.850667</v>
      </c>
      <c r="X190" s="6">
        <v>0</v>
      </c>
      <c r="Y190" s="6">
        <v>0</v>
      </c>
      <c r="Z190" s="6">
        <v>0</v>
      </c>
      <c r="AA190" s="6">
        <v>111376.29211885401</v>
      </c>
      <c r="AB190" s="6">
        <v>36897.568990128202</v>
      </c>
      <c r="AC190" s="6">
        <v>212568.36510106799</v>
      </c>
      <c r="AD190" s="6">
        <v>0</v>
      </c>
      <c r="AE190" s="6">
        <v>0</v>
      </c>
      <c r="AF190" s="6">
        <v>0</v>
      </c>
      <c r="AG190" s="6">
        <v>0</v>
      </c>
      <c r="AH190" s="6">
        <v>0</v>
      </c>
      <c r="AI190" s="6">
        <v>0</v>
      </c>
      <c r="AJ190" s="6">
        <v>7188349.22206112</v>
      </c>
      <c r="AK190" s="6">
        <v>13472.859848296401</v>
      </c>
      <c r="AL190" s="6">
        <v>330.98244656580999</v>
      </c>
      <c r="AM190" s="6">
        <v>93035.839999999997</v>
      </c>
      <c r="AN190" s="6">
        <v>4319.0706116240899</v>
      </c>
      <c r="AO190" s="6">
        <v>27772.190776730298</v>
      </c>
      <c r="AP190" s="6">
        <v>330.98244656580999</v>
      </c>
      <c r="AQ190" s="6">
        <v>93035.839999999997</v>
      </c>
      <c r="AR190" s="6">
        <v>12487.551870248501</v>
      </c>
      <c r="AS190" s="6">
        <v>15796.182579132201</v>
      </c>
      <c r="AT190" s="6">
        <v>0</v>
      </c>
      <c r="AU190" t="s">
        <v>2973</v>
      </c>
      <c r="AV190" t="s">
        <v>2973</v>
      </c>
    </row>
    <row r="191" spans="1:48" x14ac:dyDescent="0.45">
      <c r="A191" s="5" t="s">
        <v>384</v>
      </c>
      <c r="B191">
        <v>1972</v>
      </c>
      <c r="C191" t="s">
        <v>385</v>
      </c>
      <c r="D191">
        <v>239</v>
      </c>
      <c r="E191" t="s">
        <v>386</v>
      </c>
      <c r="F191" t="s">
        <v>2739</v>
      </c>
      <c r="G191" t="s">
        <v>2744</v>
      </c>
      <c r="H191" t="s">
        <v>2745</v>
      </c>
      <c r="I191" t="s">
        <v>2742</v>
      </c>
      <c r="J191">
        <v>152.95296034931101</v>
      </c>
      <c r="K191">
        <v>1</v>
      </c>
      <c r="L191">
        <v>1</v>
      </c>
      <c r="M191">
        <v>2</v>
      </c>
      <c r="N191" s="6">
        <v>1082845.17014434</v>
      </c>
      <c r="O191" s="6">
        <v>684549.88342183898</v>
      </c>
      <c r="P191" s="6">
        <v>736021.54124613898</v>
      </c>
      <c r="Q191" s="6">
        <v>140772.35781207099</v>
      </c>
      <c r="R191" s="6">
        <v>22678.412855910799</v>
      </c>
      <c r="S191" s="6">
        <v>96464.758868380304</v>
      </c>
      <c r="T191" s="6">
        <v>2325798.35</v>
      </c>
      <c r="U191" s="6">
        <v>341069.01548030297</v>
      </c>
      <c r="V191" s="6">
        <v>2359454.8102132701</v>
      </c>
      <c r="W191" s="6">
        <v>307412.55526703602</v>
      </c>
      <c r="X191" s="6">
        <v>0</v>
      </c>
      <c r="Y191" s="6">
        <v>0</v>
      </c>
      <c r="Z191" s="6">
        <v>0</v>
      </c>
      <c r="AA191" s="6">
        <v>0</v>
      </c>
      <c r="AB191" s="6">
        <v>0</v>
      </c>
      <c r="AC191" s="6">
        <v>70701.267075788797</v>
      </c>
      <c r="AD191" s="6">
        <v>25763.4917925915</v>
      </c>
      <c r="AE191" s="6">
        <v>0</v>
      </c>
      <c r="AF191" s="6">
        <v>0</v>
      </c>
      <c r="AG191" s="6">
        <v>0</v>
      </c>
      <c r="AH191" s="6">
        <v>0</v>
      </c>
      <c r="AI191" s="6">
        <v>0</v>
      </c>
      <c r="AJ191" s="6">
        <v>2763332.12434868</v>
      </c>
      <c r="AK191" s="6">
        <v>18066.548813686499</v>
      </c>
      <c r="AL191" s="6">
        <v>330.98244656580999</v>
      </c>
      <c r="AM191" s="6">
        <v>93035.839999999997</v>
      </c>
      <c r="AN191" s="6">
        <v>12128.802007182599</v>
      </c>
      <c r="AO191" s="6">
        <v>18066.548813686499</v>
      </c>
      <c r="AP191" s="6">
        <v>330.98244656580999</v>
      </c>
      <c r="AQ191" s="6">
        <v>40734.411818744898</v>
      </c>
      <c r="AR191" s="6">
        <v>18066.548813686499</v>
      </c>
      <c r="AS191" s="6">
        <v>18066.548813686499</v>
      </c>
      <c r="AT191" s="6">
        <v>0</v>
      </c>
      <c r="AU191" t="s">
        <v>2973</v>
      </c>
      <c r="AV191" t="s">
        <v>2973</v>
      </c>
    </row>
    <row r="192" spans="1:48" x14ac:dyDescent="0.45">
      <c r="A192" s="5" t="s">
        <v>387</v>
      </c>
      <c r="B192">
        <v>1972</v>
      </c>
      <c r="C192" t="s">
        <v>385</v>
      </c>
      <c r="D192">
        <v>231</v>
      </c>
      <c r="E192" t="s">
        <v>388</v>
      </c>
      <c r="F192" t="s">
        <v>2739</v>
      </c>
      <c r="G192" t="s">
        <v>2740</v>
      </c>
      <c r="H192" t="s">
        <v>2741</v>
      </c>
      <c r="I192" t="s">
        <v>2742</v>
      </c>
      <c r="J192">
        <v>319.69876112703002</v>
      </c>
      <c r="K192">
        <v>1</v>
      </c>
      <c r="L192">
        <v>1</v>
      </c>
      <c r="M192">
        <v>2</v>
      </c>
      <c r="N192" s="6">
        <v>2003026.57985566</v>
      </c>
      <c r="O192" s="6">
        <v>539193.00657816103</v>
      </c>
      <c r="P192" s="6">
        <v>876747.56875386206</v>
      </c>
      <c r="Q192" s="6">
        <v>209565.502187929</v>
      </c>
      <c r="R192" s="6">
        <v>47401.897144089198</v>
      </c>
      <c r="S192" s="6">
        <v>201628.42113162001</v>
      </c>
      <c r="T192" s="6">
        <v>2963039.94</v>
      </c>
      <c r="U192" s="6">
        <v>712894.61451969703</v>
      </c>
      <c r="V192" s="6">
        <v>3353697.3597867298</v>
      </c>
      <c r="W192" s="6">
        <v>322237.19473296398</v>
      </c>
      <c r="X192" s="6">
        <v>0</v>
      </c>
      <c r="Y192" s="6">
        <v>0</v>
      </c>
      <c r="Z192" s="6">
        <v>0</v>
      </c>
      <c r="AA192" s="6">
        <v>0</v>
      </c>
      <c r="AB192" s="6">
        <v>0</v>
      </c>
      <c r="AC192" s="6">
        <v>147778.16292421101</v>
      </c>
      <c r="AD192" s="6">
        <v>53850.2582074085</v>
      </c>
      <c r="AE192" s="6">
        <v>0</v>
      </c>
      <c r="AF192" s="6">
        <v>0</v>
      </c>
      <c r="AG192" s="6">
        <v>0</v>
      </c>
      <c r="AH192" s="6">
        <v>0</v>
      </c>
      <c r="AI192" s="6">
        <v>0</v>
      </c>
      <c r="AJ192" s="6">
        <v>3877562.9756513201</v>
      </c>
      <c r="AK192" s="6">
        <v>12128.802007182599</v>
      </c>
      <c r="AL192" s="6">
        <v>330.98244656580999</v>
      </c>
      <c r="AM192" s="6">
        <v>93035.839999999997</v>
      </c>
      <c r="AN192" s="6">
        <v>12128.802007182599</v>
      </c>
      <c r="AO192" s="6">
        <v>18066.548813686499</v>
      </c>
      <c r="AP192" s="6">
        <v>330.98244656580999</v>
      </c>
      <c r="AQ192" s="6">
        <v>93035.839999999997</v>
      </c>
      <c r="AR192" s="6">
        <v>12128.802007182599</v>
      </c>
      <c r="AS192" s="6">
        <v>12128.802007182599</v>
      </c>
      <c r="AT192" s="6">
        <v>0</v>
      </c>
      <c r="AU192" t="s">
        <v>2973</v>
      </c>
      <c r="AV192" t="s">
        <v>2973</v>
      </c>
    </row>
    <row r="193" spans="1:48" x14ac:dyDescent="0.45">
      <c r="A193" s="5" t="s">
        <v>389</v>
      </c>
      <c r="B193">
        <v>2105</v>
      </c>
      <c r="C193" t="s">
        <v>390</v>
      </c>
      <c r="D193">
        <v>1311</v>
      </c>
      <c r="E193" t="s">
        <v>391</v>
      </c>
      <c r="F193" t="s">
        <v>2739</v>
      </c>
      <c r="G193" t="s">
        <v>2740</v>
      </c>
      <c r="H193" t="s">
        <v>2741</v>
      </c>
      <c r="I193" t="s">
        <v>2742</v>
      </c>
      <c r="J193">
        <v>325.999999999973</v>
      </c>
      <c r="K193">
        <v>1</v>
      </c>
      <c r="L193">
        <v>1</v>
      </c>
      <c r="M193">
        <v>2</v>
      </c>
      <c r="N193" s="6">
        <v>2218749.8288445799</v>
      </c>
      <c r="O193" s="6">
        <v>474205.67998598999</v>
      </c>
      <c r="P193" s="6">
        <v>994669.91955587105</v>
      </c>
      <c r="Q193" s="6">
        <v>267628.52637017297</v>
      </c>
      <c r="R193" s="6">
        <v>136614.498166651</v>
      </c>
      <c r="S193" s="6">
        <v>142573.75524877699</v>
      </c>
      <c r="T193" s="6">
        <v>2418924.0699999998</v>
      </c>
      <c r="U193" s="6">
        <v>1672944.3829232701</v>
      </c>
      <c r="V193" s="6">
        <v>3514469.79468077</v>
      </c>
      <c r="W193" s="6">
        <v>577398.65824250202</v>
      </c>
      <c r="X193" s="6">
        <v>0</v>
      </c>
      <c r="Y193" s="6">
        <v>0</v>
      </c>
      <c r="Z193" s="6">
        <v>0</v>
      </c>
      <c r="AA193" s="6">
        <v>0</v>
      </c>
      <c r="AB193" s="6">
        <v>0</v>
      </c>
      <c r="AC193" s="6">
        <v>142047.80246192901</v>
      </c>
      <c r="AD193" s="6">
        <v>525.952786847781</v>
      </c>
      <c r="AE193" s="6">
        <v>0</v>
      </c>
      <c r="AF193" s="6">
        <v>0</v>
      </c>
      <c r="AG193" s="6">
        <v>0</v>
      </c>
      <c r="AH193" s="6">
        <v>0</v>
      </c>
      <c r="AI193" s="6">
        <v>0</v>
      </c>
      <c r="AJ193" s="6">
        <v>4234442.2081720503</v>
      </c>
      <c r="AK193" s="6">
        <v>12989.0865281362</v>
      </c>
      <c r="AL193" s="6">
        <v>330.98244656580999</v>
      </c>
      <c r="AM193" s="6">
        <v>93035.839999999997</v>
      </c>
      <c r="AN193" s="6">
        <v>12989.0865281362</v>
      </c>
      <c r="AO193" s="6">
        <v>14710.3224233356</v>
      </c>
      <c r="AP193" s="6">
        <v>330.98244656580999</v>
      </c>
      <c r="AQ193" s="6">
        <v>93035.839999999997</v>
      </c>
      <c r="AR193" s="6">
        <v>12989.0865281362</v>
      </c>
      <c r="AS193" s="6">
        <v>12989.0865281362</v>
      </c>
      <c r="AT193" s="6">
        <v>0</v>
      </c>
      <c r="AU193" t="s">
        <v>2973</v>
      </c>
      <c r="AV193" t="s">
        <v>2973</v>
      </c>
    </row>
    <row r="194" spans="1:48" x14ac:dyDescent="0.45">
      <c r="A194" s="5" t="s">
        <v>392</v>
      </c>
      <c r="B194">
        <v>2105</v>
      </c>
      <c r="C194" t="s">
        <v>390</v>
      </c>
      <c r="D194">
        <v>687</v>
      </c>
      <c r="E194" t="s">
        <v>393</v>
      </c>
      <c r="F194" t="s">
        <v>2739</v>
      </c>
      <c r="G194" t="s">
        <v>2744</v>
      </c>
      <c r="H194" t="s">
        <v>2745</v>
      </c>
      <c r="I194" t="s">
        <v>2742</v>
      </c>
      <c r="J194">
        <v>321.980063082394</v>
      </c>
      <c r="K194">
        <v>1</v>
      </c>
      <c r="L194">
        <v>1</v>
      </c>
      <c r="M194">
        <v>2</v>
      </c>
      <c r="N194" s="6">
        <v>2316816.32115542</v>
      </c>
      <c r="O194" s="6">
        <v>896059.57001400995</v>
      </c>
      <c r="P194" s="6">
        <v>982404.55044412904</v>
      </c>
      <c r="Q194" s="6">
        <v>264328.37362982699</v>
      </c>
      <c r="R194" s="6">
        <v>136006.061833349</v>
      </c>
      <c r="S194" s="6">
        <v>140815.664751223</v>
      </c>
      <c r="T194" s="6">
        <v>2943299.73</v>
      </c>
      <c r="U194" s="6">
        <v>1652315.1470767299</v>
      </c>
      <c r="V194" s="6">
        <v>4050214.20531923</v>
      </c>
      <c r="W194" s="6">
        <v>545400.67175749806</v>
      </c>
      <c r="X194" s="6">
        <v>0</v>
      </c>
      <c r="Y194" s="6">
        <v>0</v>
      </c>
      <c r="Z194" s="6">
        <v>0</v>
      </c>
      <c r="AA194" s="6">
        <v>0</v>
      </c>
      <c r="AB194" s="6">
        <v>0</v>
      </c>
      <c r="AC194" s="6">
        <v>140296.19753807099</v>
      </c>
      <c r="AD194" s="6">
        <v>519.46721315221896</v>
      </c>
      <c r="AE194" s="6">
        <v>0</v>
      </c>
      <c r="AF194" s="6">
        <v>0</v>
      </c>
      <c r="AG194" s="6">
        <v>0</v>
      </c>
      <c r="AH194" s="6">
        <v>0</v>
      </c>
      <c r="AI194" s="6">
        <v>0</v>
      </c>
      <c r="AJ194" s="6">
        <v>4736430.5418279497</v>
      </c>
      <c r="AK194" s="6">
        <v>14710.3224233356</v>
      </c>
      <c r="AL194" s="6">
        <v>330.98244656580999</v>
      </c>
      <c r="AM194" s="6">
        <v>93035.839999999997</v>
      </c>
      <c r="AN194" s="6">
        <v>12989.0865281362</v>
      </c>
      <c r="AO194" s="6">
        <v>14710.3224233356</v>
      </c>
      <c r="AP194" s="6">
        <v>330.98244656580999</v>
      </c>
      <c r="AQ194" s="6">
        <v>40734.411818744898</v>
      </c>
      <c r="AR194" s="6">
        <v>14710.3224233356</v>
      </c>
      <c r="AS194" s="6">
        <v>14710.3224233356</v>
      </c>
      <c r="AT194" s="6">
        <v>0</v>
      </c>
      <c r="AU194" t="s">
        <v>2973</v>
      </c>
      <c r="AV194" t="s">
        <v>2973</v>
      </c>
    </row>
    <row r="195" spans="1:48" x14ac:dyDescent="0.45">
      <c r="A195" s="5" t="s">
        <v>394</v>
      </c>
      <c r="B195">
        <v>2042</v>
      </c>
      <c r="C195" t="s">
        <v>395</v>
      </c>
      <c r="D195">
        <v>382</v>
      </c>
      <c r="E195" t="s">
        <v>396</v>
      </c>
      <c r="F195" t="s">
        <v>2739</v>
      </c>
      <c r="G195" t="s">
        <v>2740</v>
      </c>
      <c r="H195" t="s">
        <v>2745</v>
      </c>
      <c r="I195" t="s">
        <v>2742</v>
      </c>
      <c r="J195">
        <v>545.43928457188304</v>
      </c>
      <c r="K195">
        <v>1</v>
      </c>
      <c r="L195">
        <v>1</v>
      </c>
      <c r="M195">
        <v>2</v>
      </c>
      <c r="N195" s="6">
        <v>3935789.62700526</v>
      </c>
      <c r="O195" s="6">
        <v>837980.63214056101</v>
      </c>
      <c r="P195" s="6">
        <v>1172488.7065095101</v>
      </c>
      <c r="Q195" s="6">
        <v>253354.72625511701</v>
      </c>
      <c r="R195" s="6">
        <v>501622.75535627297</v>
      </c>
      <c r="S195" s="6">
        <v>274878.24343016598</v>
      </c>
      <c r="T195" s="6">
        <v>5002317.75</v>
      </c>
      <c r="U195" s="6">
        <v>1698918.69726673</v>
      </c>
      <c r="V195" s="6">
        <v>5546065.44727688</v>
      </c>
      <c r="W195" s="6">
        <v>1155170.99998985</v>
      </c>
      <c r="X195" s="6">
        <v>0</v>
      </c>
      <c r="Y195" s="6">
        <v>0</v>
      </c>
      <c r="Z195" s="6">
        <v>0</v>
      </c>
      <c r="AA195" s="6">
        <v>0</v>
      </c>
      <c r="AB195" s="6">
        <v>0</v>
      </c>
      <c r="AC195" s="6">
        <v>214814.67774175</v>
      </c>
      <c r="AD195" s="6">
        <v>60063.565688416304</v>
      </c>
      <c r="AE195" s="6">
        <v>0</v>
      </c>
      <c r="AF195" s="6">
        <v>0</v>
      </c>
      <c r="AG195" s="6">
        <v>0</v>
      </c>
      <c r="AH195" s="6">
        <v>0</v>
      </c>
      <c r="AI195" s="6">
        <v>0</v>
      </c>
      <c r="AJ195" s="6">
        <v>6976114.6906968895</v>
      </c>
      <c r="AK195" s="6">
        <v>12789.901439117</v>
      </c>
      <c r="AL195" s="6">
        <v>330.98244656580999</v>
      </c>
      <c r="AM195" s="6">
        <v>93035.839999999997</v>
      </c>
      <c r="AN195" s="6">
        <v>3618.72897044101</v>
      </c>
      <c r="AO195" s="6">
        <v>15792.524489508</v>
      </c>
      <c r="AP195" s="6">
        <v>330.98244656580999</v>
      </c>
      <c r="AQ195" s="6">
        <v>93035.839999999997</v>
      </c>
      <c r="AR195" s="6">
        <v>11844.200563463401</v>
      </c>
      <c r="AS195" s="6">
        <v>15792.524489508</v>
      </c>
      <c r="AT195" s="6">
        <v>0</v>
      </c>
      <c r="AU195" t="s">
        <v>2973</v>
      </c>
      <c r="AV195" t="s">
        <v>2973</v>
      </c>
    </row>
    <row r="196" spans="1:48" x14ac:dyDescent="0.45">
      <c r="A196" s="5" t="s">
        <v>397</v>
      </c>
      <c r="B196">
        <v>2042</v>
      </c>
      <c r="C196" t="s">
        <v>395</v>
      </c>
      <c r="D196">
        <v>2042</v>
      </c>
      <c r="E196" t="s">
        <v>395</v>
      </c>
      <c r="F196" t="s">
        <v>1</v>
      </c>
      <c r="G196" t="s">
        <v>1</v>
      </c>
      <c r="H196" t="s">
        <v>2743</v>
      </c>
      <c r="I196" t="s">
        <v>2742</v>
      </c>
      <c r="J196">
        <v>81.281436301254502</v>
      </c>
      <c r="K196">
        <v>1</v>
      </c>
      <c r="L196">
        <v>3</v>
      </c>
      <c r="M196">
        <v>2</v>
      </c>
      <c r="N196" s="6">
        <v>20175.554102475598</v>
      </c>
      <c r="O196" s="6">
        <v>33672.874850916902</v>
      </c>
      <c r="P196" s="6">
        <v>88128.595911003504</v>
      </c>
      <c r="Q196" s="6">
        <v>37754.955732406801</v>
      </c>
      <c r="R196" s="6">
        <v>73441.114519151903</v>
      </c>
      <c r="S196" s="6">
        <v>40962.393186450601</v>
      </c>
      <c r="T196" s="6">
        <v>0</v>
      </c>
      <c r="U196" s="6">
        <v>253173.09511595499</v>
      </c>
      <c r="V196" s="6">
        <v>180578.13412025</v>
      </c>
      <c r="W196" s="6">
        <v>72594.960995704401</v>
      </c>
      <c r="X196" s="6">
        <v>0</v>
      </c>
      <c r="Y196" s="6">
        <v>0</v>
      </c>
      <c r="Z196" s="6">
        <v>0</v>
      </c>
      <c r="AA196" s="6">
        <v>0</v>
      </c>
      <c r="AB196" s="6">
        <v>0</v>
      </c>
      <c r="AC196" s="6">
        <v>32011.712466118599</v>
      </c>
      <c r="AD196" s="6">
        <v>8950.6807203319804</v>
      </c>
      <c r="AE196" s="6">
        <v>0</v>
      </c>
      <c r="AF196" s="6">
        <v>0</v>
      </c>
      <c r="AG196" s="6">
        <v>0</v>
      </c>
      <c r="AH196" s="6">
        <v>0</v>
      </c>
      <c r="AI196" s="6">
        <v>0</v>
      </c>
      <c r="AJ196" s="6">
        <v>294135.48830240499</v>
      </c>
      <c r="AK196" s="6">
        <v>3618.72897044101</v>
      </c>
      <c r="AL196" s="6">
        <v>330.98244656580999</v>
      </c>
      <c r="AM196" s="6">
        <v>93035.839999999997</v>
      </c>
      <c r="AN196" s="6">
        <v>3618.72897044101</v>
      </c>
      <c r="AO196" s="6">
        <v>15792.524489508</v>
      </c>
      <c r="AP196" s="6">
        <v>634.54287297753501</v>
      </c>
      <c r="AQ196" s="6">
        <v>40331.279999999999</v>
      </c>
      <c r="AR196" s="6">
        <v>3618.72897044101</v>
      </c>
      <c r="AS196" s="6">
        <v>3618.72897044101</v>
      </c>
      <c r="AT196" s="6">
        <v>0</v>
      </c>
      <c r="AU196" t="s">
        <v>2973</v>
      </c>
      <c r="AV196" t="s">
        <v>2977</v>
      </c>
    </row>
    <row r="197" spans="1:48" x14ac:dyDescent="0.45">
      <c r="A197" s="5" t="s">
        <v>398</v>
      </c>
      <c r="B197">
        <v>2042</v>
      </c>
      <c r="C197" t="s">
        <v>395</v>
      </c>
      <c r="D197">
        <v>4557</v>
      </c>
      <c r="E197" t="s">
        <v>399</v>
      </c>
      <c r="F197" t="s">
        <v>2739</v>
      </c>
      <c r="G197" t="s">
        <v>2744</v>
      </c>
      <c r="H197" t="s">
        <v>2745</v>
      </c>
      <c r="I197" t="s">
        <v>2742</v>
      </c>
      <c r="J197">
        <v>414.32280862342202</v>
      </c>
      <c r="K197">
        <v>1</v>
      </c>
      <c r="L197">
        <v>1</v>
      </c>
      <c r="M197">
        <v>2</v>
      </c>
      <c r="N197" s="6">
        <v>2740866.7453980199</v>
      </c>
      <c r="O197" s="6">
        <v>1299994.2114408</v>
      </c>
      <c r="P197" s="6">
        <v>896390.90021224099</v>
      </c>
      <c r="Q197" s="6">
        <v>192451.56102466999</v>
      </c>
      <c r="R197" s="6">
        <v>633816.00665382796</v>
      </c>
      <c r="S197" s="6">
        <v>208801.10595050099</v>
      </c>
      <c r="T197" s="6">
        <v>4472998.58</v>
      </c>
      <c r="U197" s="6">
        <v>1290520.84472956</v>
      </c>
      <c r="V197" s="6">
        <v>5044733.4487124104</v>
      </c>
      <c r="W197" s="6">
        <v>711558.896017152</v>
      </c>
      <c r="X197" s="6">
        <v>0</v>
      </c>
      <c r="Y197" s="6">
        <v>0</v>
      </c>
      <c r="Z197" s="6">
        <v>0</v>
      </c>
      <c r="AA197" s="6">
        <v>0</v>
      </c>
      <c r="AB197" s="6">
        <v>7227.08</v>
      </c>
      <c r="AC197" s="6">
        <v>163176.03651404701</v>
      </c>
      <c r="AD197" s="6">
        <v>45625.069436454098</v>
      </c>
      <c r="AE197" s="6">
        <v>0</v>
      </c>
      <c r="AF197" s="6">
        <v>0</v>
      </c>
      <c r="AG197" s="6">
        <v>0</v>
      </c>
      <c r="AH197" s="6">
        <v>0</v>
      </c>
      <c r="AI197" s="6">
        <v>0</v>
      </c>
      <c r="AJ197" s="6">
        <v>5972320.5306800697</v>
      </c>
      <c r="AK197" s="6">
        <v>14414.6554483036</v>
      </c>
      <c r="AL197" s="6">
        <v>330.98244656580999</v>
      </c>
      <c r="AM197" s="6">
        <v>93035.839999999997</v>
      </c>
      <c r="AN197" s="6">
        <v>3618.72897044101</v>
      </c>
      <c r="AO197" s="6">
        <v>15792.524489508</v>
      </c>
      <c r="AP197" s="6">
        <v>330.98244656580999</v>
      </c>
      <c r="AQ197" s="6">
        <v>40734.411818744898</v>
      </c>
      <c r="AR197" s="6">
        <v>14243.2661624874</v>
      </c>
      <c r="AS197" s="6">
        <v>14681.621444411399</v>
      </c>
      <c r="AT197" s="6">
        <v>0</v>
      </c>
      <c r="AU197" t="s">
        <v>2973</v>
      </c>
      <c r="AV197" t="s">
        <v>2973</v>
      </c>
    </row>
    <row r="198" spans="1:48" x14ac:dyDescent="0.45">
      <c r="A198" s="5" t="s">
        <v>400</v>
      </c>
      <c r="B198">
        <v>2042</v>
      </c>
      <c r="C198" t="s">
        <v>395</v>
      </c>
      <c r="D198">
        <v>4561</v>
      </c>
      <c r="E198" t="s">
        <v>401</v>
      </c>
      <c r="F198" t="s">
        <v>2739</v>
      </c>
      <c r="G198" t="s">
        <v>2744</v>
      </c>
      <c r="H198" t="s">
        <v>2745</v>
      </c>
      <c r="I198" t="s">
        <v>2742</v>
      </c>
      <c r="J198">
        <v>408.06270788780802</v>
      </c>
      <c r="K198">
        <v>1</v>
      </c>
      <c r="L198">
        <v>1</v>
      </c>
      <c r="M198">
        <v>2</v>
      </c>
      <c r="N198" s="6">
        <v>2720300.44274486</v>
      </c>
      <c r="O198" s="6">
        <v>1334799.67760572</v>
      </c>
      <c r="P198" s="6">
        <v>904709.89771144697</v>
      </c>
      <c r="Q198" s="6">
        <v>189543.76513782699</v>
      </c>
      <c r="R198" s="6">
        <v>636022.13864527503</v>
      </c>
      <c r="S198" s="6">
        <v>205646.28094508901</v>
      </c>
      <c r="T198" s="6">
        <v>4514353.8600000003</v>
      </c>
      <c r="U198" s="6">
        <v>1271022.0618451301</v>
      </c>
      <c r="V198" s="6">
        <v>5003054.3451272203</v>
      </c>
      <c r="W198" s="6">
        <v>774875.48671790899</v>
      </c>
      <c r="X198" s="6">
        <v>0</v>
      </c>
      <c r="Y198" s="6">
        <v>0</v>
      </c>
      <c r="Z198" s="6">
        <v>0</v>
      </c>
      <c r="AA198" s="6">
        <v>0</v>
      </c>
      <c r="AB198" s="6">
        <v>7446.09</v>
      </c>
      <c r="AC198" s="6">
        <v>160710.57141061701</v>
      </c>
      <c r="AD198" s="6">
        <v>44935.709534472</v>
      </c>
      <c r="AE198" s="6">
        <v>0</v>
      </c>
      <c r="AF198" s="6">
        <v>0</v>
      </c>
      <c r="AG198" s="6">
        <v>0</v>
      </c>
      <c r="AH198" s="6">
        <v>0</v>
      </c>
      <c r="AI198" s="6">
        <v>0</v>
      </c>
      <c r="AJ198" s="6">
        <v>5991022.2027902203</v>
      </c>
      <c r="AK198" s="6">
        <v>14681.621444411399</v>
      </c>
      <c r="AL198" s="6">
        <v>330.98244656580999</v>
      </c>
      <c r="AM198" s="6">
        <v>93035.839999999997</v>
      </c>
      <c r="AN198" s="6">
        <v>3618.72897044101</v>
      </c>
      <c r="AO198" s="6">
        <v>15792.524489508</v>
      </c>
      <c r="AP198" s="6">
        <v>330.98244656580999</v>
      </c>
      <c r="AQ198" s="6">
        <v>40734.411818744898</v>
      </c>
      <c r="AR198" s="6">
        <v>14243.2661624874</v>
      </c>
      <c r="AS198" s="6">
        <v>14681.621444411399</v>
      </c>
      <c r="AT198" s="6">
        <v>0</v>
      </c>
      <c r="AU198" t="s">
        <v>2973</v>
      </c>
      <c r="AV198" t="s">
        <v>2973</v>
      </c>
    </row>
    <row r="199" spans="1:48" x14ac:dyDescent="0.45">
      <c r="A199" s="5" t="s">
        <v>402</v>
      </c>
      <c r="B199">
        <v>2042</v>
      </c>
      <c r="C199" t="s">
        <v>395</v>
      </c>
      <c r="D199">
        <v>4559</v>
      </c>
      <c r="E199" t="s">
        <v>403</v>
      </c>
      <c r="F199" t="s">
        <v>2739</v>
      </c>
      <c r="G199" t="s">
        <v>2744</v>
      </c>
      <c r="H199" t="s">
        <v>2745</v>
      </c>
      <c r="I199" t="s">
        <v>2742</v>
      </c>
      <c r="J199">
        <v>419.663180560733</v>
      </c>
      <c r="K199">
        <v>1</v>
      </c>
      <c r="L199">
        <v>1</v>
      </c>
      <c r="M199">
        <v>2</v>
      </c>
      <c r="N199" s="6">
        <v>2736390.1543721599</v>
      </c>
      <c r="O199" s="6">
        <v>1279677.5845393899</v>
      </c>
      <c r="P199" s="6">
        <v>897331.14583159005</v>
      </c>
      <c r="Q199" s="6">
        <v>194932.14595602499</v>
      </c>
      <c r="R199" s="6">
        <v>657550.92193577997</v>
      </c>
      <c r="S199" s="6">
        <v>211492.42668759101</v>
      </c>
      <c r="T199" s="6">
        <v>4458727.07</v>
      </c>
      <c r="U199" s="6">
        <v>1307154.8826349501</v>
      </c>
      <c r="V199" s="6">
        <v>4964629.6055125296</v>
      </c>
      <c r="W199" s="6">
        <v>794025.26712241594</v>
      </c>
      <c r="X199" s="6">
        <v>0</v>
      </c>
      <c r="Y199" s="6">
        <v>0</v>
      </c>
      <c r="Z199" s="6">
        <v>0</v>
      </c>
      <c r="AA199" s="6">
        <v>0</v>
      </c>
      <c r="AB199" s="6">
        <v>7227.08</v>
      </c>
      <c r="AC199" s="6">
        <v>165279.27753313701</v>
      </c>
      <c r="AD199" s="6">
        <v>46213.149154454302</v>
      </c>
      <c r="AE199" s="6">
        <v>0</v>
      </c>
      <c r="AF199" s="6">
        <v>0</v>
      </c>
      <c r="AG199" s="6">
        <v>0</v>
      </c>
      <c r="AH199" s="6">
        <v>0</v>
      </c>
      <c r="AI199" s="6">
        <v>0</v>
      </c>
      <c r="AJ199" s="6">
        <v>5977374.37932254</v>
      </c>
      <c r="AK199" s="6">
        <v>14243.2661624874</v>
      </c>
      <c r="AL199" s="6">
        <v>330.98244656580999</v>
      </c>
      <c r="AM199" s="6">
        <v>93035.839999999997</v>
      </c>
      <c r="AN199" s="6">
        <v>3618.72897044101</v>
      </c>
      <c r="AO199" s="6">
        <v>15792.524489508</v>
      </c>
      <c r="AP199" s="6">
        <v>330.98244656580999</v>
      </c>
      <c r="AQ199" s="6">
        <v>40734.411818744898</v>
      </c>
      <c r="AR199" s="6">
        <v>14243.2661624874</v>
      </c>
      <c r="AS199" s="6">
        <v>14681.621444411399</v>
      </c>
      <c r="AT199" s="6">
        <v>0</v>
      </c>
      <c r="AU199" t="s">
        <v>2973</v>
      </c>
      <c r="AV199" t="s">
        <v>2973</v>
      </c>
    </row>
    <row r="200" spans="1:48" x14ac:dyDescent="0.45">
      <c r="A200" s="5" t="s">
        <v>404</v>
      </c>
      <c r="B200">
        <v>2042</v>
      </c>
      <c r="C200" t="s">
        <v>395</v>
      </c>
      <c r="D200">
        <v>387</v>
      </c>
      <c r="E200" t="s">
        <v>405</v>
      </c>
      <c r="F200" t="s">
        <v>2739</v>
      </c>
      <c r="G200" t="s">
        <v>2747</v>
      </c>
      <c r="H200" t="s">
        <v>2745</v>
      </c>
      <c r="I200" t="s">
        <v>2742</v>
      </c>
      <c r="J200">
        <v>273.61542827654398</v>
      </c>
      <c r="K200">
        <v>1</v>
      </c>
      <c r="L200">
        <v>1</v>
      </c>
      <c r="M200">
        <v>2</v>
      </c>
      <c r="N200" s="6">
        <v>1989964.16413446</v>
      </c>
      <c r="O200" s="6">
        <v>793677.34789780003</v>
      </c>
      <c r="P200" s="6">
        <v>688689.41038301797</v>
      </c>
      <c r="Q200" s="6">
        <v>127093.452728825</v>
      </c>
      <c r="R200" s="6">
        <v>257222.77209506399</v>
      </c>
      <c r="S200" s="6">
        <v>137890.559824789</v>
      </c>
      <c r="T200" s="6">
        <v>3004397.63</v>
      </c>
      <c r="U200" s="6">
        <v>852249.51723916805</v>
      </c>
      <c r="V200" s="6">
        <v>3294846.3381112502</v>
      </c>
      <c r="W200" s="6">
        <v>561800.809127916</v>
      </c>
      <c r="X200" s="6">
        <v>0</v>
      </c>
      <c r="Y200" s="6">
        <v>0</v>
      </c>
      <c r="Z200" s="6">
        <v>0</v>
      </c>
      <c r="AA200" s="6">
        <v>0</v>
      </c>
      <c r="AB200" s="6">
        <v>0</v>
      </c>
      <c r="AC200" s="6">
        <v>107760.133369438</v>
      </c>
      <c r="AD200" s="6">
        <v>30130.426455351</v>
      </c>
      <c r="AE200" s="6">
        <v>0</v>
      </c>
      <c r="AF200" s="6">
        <v>0</v>
      </c>
      <c r="AG200" s="6">
        <v>0</v>
      </c>
      <c r="AH200" s="6">
        <v>0</v>
      </c>
      <c r="AI200" s="6">
        <v>0</v>
      </c>
      <c r="AJ200" s="6">
        <v>3994537.7070639501</v>
      </c>
      <c r="AK200" s="6">
        <v>14599.0952784528</v>
      </c>
      <c r="AL200" s="6">
        <v>330.98244656580999</v>
      </c>
      <c r="AM200" s="6">
        <v>93035.839999999997</v>
      </c>
      <c r="AN200" s="6">
        <v>3618.72897044101</v>
      </c>
      <c r="AO200" s="6">
        <v>15792.524489508</v>
      </c>
      <c r="AP200" s="6">
        <v>3753.1860850462999</v>
      </c>
      <c r="AQ200" s="6">
        <v>20687.885194392002</v>
      </c>
      <c r="AR200" s="6">
        <v>12118.707055679701</v>
      </c>
      <c r="AS200" s="6">
        <v>14599.0952784528</v>
      </c>
      <c r="AT200" s="6">
        <v>0</v>
      </c>
      <c r="AU200" t="s">
        <v>2973</v>
      </c>
      <c r="AV200" t="s">
        <v>2973</v>
      </c>
    </row>
    <row r="201" spans="1:48" x14ac:dyDescent="0.45">
      <c r="A201" s="5" t="s">
        <v>406</v>
      </c>
      <c r="B201">
        <v>2042</v>
      </c>
      <c r="C201" t="s">
        <v>395</v>
      </c>
      <c r="D201">
        <v>383</v>
      </c>
      <c r="E201" t="s">
        <v>407</v>
      </c>
      <c r="F201" t="s">
        <v>2739</v>
      </c>
      <c r="G201" t="s">
        <v>2740</v>
      </c>
      <c r="H201" t="s">
        <v>2745</v>
      </c>
      <c r="I201" t="s">
        <v>2742</v>
      </c>
      <c r="J201">
        <v>627.52940446913897</v>
      </c>
      <c r="K201">
        <v>1</v>
      </c>
      <c r="L201">
        <v>1</v>
      </c>
      <c r="M201">
        <v>2</v>
      </c>
      <c r="N201" s="6">
        <v>3957400.5913160802</v>
      </c>
      <c r="O201" s="6">
        <v>989897.94446608599</v>
      </c>
      <c r="P201" s="6">
        <v>1201362.97963622</v>
      </c>
      <c r="Q201" s="6">
        <v>291485.31281736598</v>
      </c>
      <c r="R201" s="6">
        <v>686002.778703043</v>
      </c>
      <c r="S201" s="6">
        <v>316248.17881727498</v>
      </c>
      <c r="T201" s="6">
        <v>5171538.95</v>
      </c>
      <c r="U201" s="6">
        <v>1954610.6569387901</v>
      </c>
      <c r="V201" s="6">
        <v>5913433.7656588703</v>
      </c>
      <c r="W201" s="6">
        <v>1212715.84127992</v>
      </c>
      <c r="X201" s="6">
        <v>0</v>
      </c>
      <c r="Y201" s="6">
        <v>0</v>
      </c>
      <c r="Z201" s="6">
        <v>0</v>
      </c>
      <c r="AA201" s="6">
        <v>0</v>
      </c>
      <c r="AB201" s="6">
        <v>0</v>
      </c>
      <c r="AC201" s="6">
        <v>247144.88047980901</v>
      </c>
      <c r="AD201" s="6">
        <v>69103.298337466098</v>
      </c>
      <c r="AE201" s="6">
        <v>0</v>
      </c>
      <c r="AF201" s="6">
        <v>0</v>
      </c>
      <c r="AG201" s="6">
        <v>0</v>
      </c>
      <c r="AH201" s="6">
        <v>0</v>
      </c>
      <c r="AI201" s="6">
        <v>0</v>
      </c>
      <c r="AJ201" s="6">
        <v>7442397.7857560599</v>
      </c>
      <c r="AK201" s="6">
        <v>11859.839129055599</v>
      </c>
      <c r="AL201" s="6">
        <v>330.98244656580999</v>
      </c>
      <c r="AM201" s="6">
        <v>93035.839999999997</v>
      </c>
      <c r="AN201" s="6">
        <v>3618.72897044101</v>
      </c>
      <c r="AO201" s="6">
        <v>15792.524489508</v>
      </c>
      <c r="AP201" s="6">
        <v>330.98244656580999</v>
      </c>
      <c r="AQ201" s="6">
        <v>93035.839999999997</v>
      </c>
      <c r="AR201" s="6">
        <v>11844.200563463401</v>
      </c>
      <c r="AS201" s="6">
        <v>15792.524489508</v>
      </c>
      <c r="AT201" s="6">
        <v>0</v>
      </c>
      <c r="AU201" t="s">
        <v>2973</v>
      </c>
      <c r="AV201" t="s">
        <v>2973</v>
      </c>
    </row>
    <row r="202" spans="1:48" x14ac:dyDescent="0.45">
      <c r="A202" s="5" t="s">
        <v>408</v>
      </c>
      <c r="B202">
        <v>2042</v>
      </c>
      <c r="C202" t="s">
        <v>395</v>
      </c>
      <c r="D202">
        <v>384</v>
      </c>
      <c r="E202" t="s">
        <v>409</v>
      </c>
      <c r="F202" t="s">
        <v>2739</v>
      </c>
      <c r="G202" t="s">
        <v>2740</v>
      </c>
      <c r="H202" t="s">
        <v>2745</v>
      </c>
      <c r="I202" t="s">
        <v>2742</v>
      </c>
      <c r="J202">
        <v>258.58064424624001</v>
      </c>
      <c r="K202">
        <v>1</v>
      </c>
      <c r="L202">
        <v>1</v>
      </c>
      <c r="M202">
        <v>2</v>
      </c>
      <c r="N202" s="6">
        <v>2103574.5229819799</v>
      </c>
      <c r="O202" s="6">
        <v>523987.95129583002</v>
      </c>
      <c r="P202" s="6">
        <v>631532.05403441098</v>
      </c>
      <c r="Q202" s="6">
        <v>120109.845753591</v>
      </c>
      <c r="R202" s="6">
        <v>241638.227505474</v>
      </c>
      <c r="S202" s="6">
        <v>130313.666957885</v>
      </c>
      <c r="T202" s="6">
        <v>2815423</v>
      </c>
      <c r="U202" s="6">
        <v>805419.60157128505</v>
      </c>
      <c r="V202" s="6">
        <v>2984436.6823838502</v>
      </c>
      <c r="W202" s="6">
        <v>636405.91918743204</v>
      </c>
      <c r="X202" s="6">
        <v>0</v>
      </c>
      <c r="Y202" s="6">
        <v>0</v>
      </c>
      <c r="Z202" s="6">
        <v>0</v>
      </c>
      <c r="AA202" s="6">
        <v>0</v>
      </c>
      <c r="AB202" s="6">
        <v>0</v>
      </c>
      <c r="AC202" s="6">
        <v>101838.865177467</v>
      </c>
      <c r="AD202" s="6">
        <v>28474.801780417401</v>
      </c>
      <c r="AE202" s="6">
        <v>0</v>
      </c>
      <c r="AF202" s="6">
        <v>0</v>
      </c>
      <c r="AG202" s="6">
        <v>0</v>
      </c>
      <c r="AH202" s="6">
        <v>0</v>
      </c>
      <c r="AI202" s="6">
        <v>0</v>
      </c>
      <c r="AJ202" s="6">
        <v>3751156.2685291702</v>
      </c>
      <c r="AK202" s="6">
        <v>14506.7171576734</v>
      </c>
      <c r="AL202" s="6">
        <v>330.98244656580999</v>
      </c>
      <c r="AM202" s="6">
        <v>93035.839999999997</v>
      </c>
      <c r="AN202" s="6">
        <v>3618.72897044101</v>
      </c>
      <c r="AO202" s="6">
        <v>15792.524489508</v>
      </c>
      <c r="AP202" s="6">
        <v>330.98244656580999</v>
      </c>
      <c r="AQ202" s="6">
        <v>93035.839999999997</v>
      </c>
      <c r="AR202" s="6">
        <v>11844.200563463401</v>
      </c>
      <c r="AS202" s="6">
        <v>15792.524489508</v>
      </c>
      <c r="AT202" s="6">
        <v>0</v>
      </c>
      <c r="AU202" t="s">
        <v>2973</v>
      </c>
      <c r="AV202" t="s">
        <v>2973</v>
      </c>
    </row>
    <row r="203" spans="1:48" x14ac:dyDescent="0.45">
      <c r="A203" s="5" t="s">
        <v>410</v>
      </c>
      <c r="B203">
        <v>2042</v>
      </c>
      <c r="C203" t="s">
        <v>395</v>
      </c>
      <c r="D203">
        <v>385</v>
      </c>
      <c r="E203" t="s">
        <v>411</v>
      </c>
      <c r="F203" t="s">
        <v>2739</v>
      </c>
      <c r="G203" t="s">
        <v>2740</v>
      </c>
      <c r="H203" t="s">
        <v>2745</v>
      </c>
      <c r="I203" t="s">
        <v>2742</v>
      </c>
      <c r="J203">
        <v>606.08964527080104</v>
      </c>
      <c r="K203">
        <v>1</v>
      </c>
      <c r="L203">
        <v>1</v>
      </c>
      <c r="M203">
        <v>2</v>
      </c>
      <c r="N203" s="6">
        <v>3624030.3169998601</v>
      </c>
      <c r="O203" s="6">
        <v>894726.49615959497</v>
      </c>
      <c r="P203" s="6">
        <v>1119578.85211187</v>
      </c>
      <c r="Q203" s="6">
        <v>281526.61626521999</v>
      </c>
      <c r="R203" s="6">
        <v>953341.58610772504</v>
      </c>
      <c r="S203" s="6">
        <v>305443.450381495</v>
      </c>
      <c r="T203" s="6">
        <v>4985373.16</v>
      </c>
      <c r="U203" s="6">
        <v>1887830.70764427</v>
      </c>
      <c r="V203" s="6">
        <v>5594342.1074338499</v>
      </c>
      <c r="W203" s="6">
        <v>1278861.76021041</v>
      </c>
      <c r="X203" s="6">
        <v>0</v>
      </c>
      <c r="Y203" s="6">
        <v>0</v>
      </c>
      <c r="Z203" s="6">
        <v>0</v>
      </c>
      <c r="AA203" s="6">
        <v>0</v>
      </c>
      <c r="AB203" s="6">
        <v>0</v>
      </c>
      <c r="AC203" s="6">
        <v>238701.09013810899</v>
      </c>
      <c r="AD203" s="6">
        <v>66742.360243386604</v>
      </c>
      <c r="AE203" s="6">
        <v>0</v>
      </c>
      <c r="AF203" s="6">
        <v>0</v>
      </c>
      <c r="AG203" s="6">
        <v>0</v>
      </c>
      <c r="AH203" s="6">
        <v>0</v>
      </c>
      <c r="AI203" s="6">
        <v>0</v>
      </c>
      <c r="AJ203" s="6">
        <v>7178647.3180257501</v>
      </c>
      <c r="AK203" s="6">
        <v>11844.200563463401</v>
      </c>
      <c r="AL203" s="6">
        <v>330.98244656580999</v>
      </c>
      <c r="AM203" s="6">
        <v>93035.839999999997</v>
      </c>
      <c r="AN203" s="6">
        <v>3618.72897044101</v>
      </c>
      <c r="AO203" s="6">
        <v>15792.524489508</v>
      </c>
      <c r="AP203" s="6">
        <v>330.98244656580999</v>
      </c>
      <c r="AQ203" s="6">
        <v>93035.839999999997</v>
      </c>
      <c r="AR203" s="6">
        <v>11844.200563463401</v>
      </c>
      <c r="AS203" s="6">
        <v>15792.524489508</v>
      </c>
      <c r="AT203" s="6">
        <v>0</v>
      </c>
      <c r="AU203" t="s">
        <v>2973</v>
      </c>
      <c r="AV203" t="s">
        <v>2973</v>
      </c>
    </row>
    <row r="204" spans="1:48" x14ac:dyDescent="0.45">
      <c r="A204" s="5" t="s">
        <v>412</v>
      </c>
      <c r="B204">
        <v>2042</v>
      </c>
      <c r="C204" t="s">
        <v>395</v>
      </c>
      <c r="D204">
        <v>386</v>
      </c>
      <c r="E204" t="s">
        <v>413</v>
      </c>
      <c r="F204" t="s">
        <v>2739</v>
      </c>
      <c r="G204" t="s">
        <v>2740</v>
      </c>
      <c r="H204" t="s">
        <v>2745</v>
      </c>
      <c r="I204" t="s">
        <v>2742</v>
      </c>
      <c r="J204">
        <v>294.547948861458</v>
      </c>
      <c r="K204">
        <v>1</v>
      </c>
      <c r="L204">
        <v>1</v>
      </c>
      <c r="M204">
        <v>2</v>
      </c>
      <c r="N204" s="6">
        <v>2117688.7024559798</v>
      </c>
      <c r="O204" s="6">
        <v>546535.70987886796</v>
      </c>
      <c r="P204" s="6">
        <v>691901.26944191405</v>
      </c>
      <c r="Q204" s="6">
        <v>136816.53863889599</v>
      </c>
      <c r="R204" s="6">
        <v>1010273.81377965</v>
      </c>
      <c r="S204" s="6">
        <v>148439.66153363101</v>
      </c>
      <c r="T204" s="6">
        <v>3585766.5</v>
      </c>
      <c r="U204" s="6">
        <v>917449.53419530496</v>
      </c>
      <c r="V204" s="6">
        <v>3123104.5844687</v>
      </c>
      <c r="W204" s="6">
        <v>1380111.4497266</v>
      </c>
      <c r="X204" s="6">
        <v>0</v>
      </c>
      <c r="Y204" s="6">
        <v>0</v>
      </c>
      <c r="Z204" s="6">
        <v>0</v>
      </c>
      <c r="AA204" s="6">
        <v>0</v>
      </c>
      <c r="AB204" s="6">
        <v>0</v>
      </c>
      <c r="AC204" s="6">
        <v>116004.153906573</v>
      </c>
      <c r="AD204" s="6">
        <v>32435.507627058199</v>
      </c>
      <c r="AE204" s="6">
        <v>0</v>
      </c>
      <c r="AF204" s="6">
        <v>0</v>
      </c>
      <c r="AG204" s="6">
        <v>0</v>
      </c>
      <c r="AH204" s="6">
        <v>0</v>
      </c>
      <c r="AI204" s="6">
        <v>0</v>
      </c>
      <c r="AJ204" s="6">
        <v>4651655.69572894</v>
      </c>
      <c r="AK204" s="6">
        <v>15792.524489508</v>
      </c>
      <c r="AL204" s="6">
        <v>330.98244656580999</v>
      </c>
      <c r="AM204" s="6">
        <v>93035.839999999997</v>
      </c>
      <c r="AN204" s="6">
        <v>3618.72897044101</v>
      </c>
      <c r="AO204" s="6">
        <v>15792.524489508</v>
      </c>
      <c r="AP204" s="6">
        <v>330.98244656580999</v>
      </c>
      <c r="AQ204" s="6">
        <v>93035.839999999997</v>
      </c>
      <c r="AR204" s="6">
        <v>11844.200563463401</v>
      </c>
      <c r="AS204" s="6">
        <v>15792.524489508</v>
      </c>
      <c r="AT204" s="6">
        <v>0</v>
      </c>
      <c r="AU204" t="s">
        <v>2973</v>
      </c>
      <c r="AV204" t="s">
        <v>2973</v>
      </c>
    </row>
    <row r="205" spans="1:48" x14ac:dyDescent="0.45">
      <c r="A205" s="5" t="s">
        <v>414</v>
      </c>
      <c r="B205">
        <v>2042</v>
      </c>
      <c r="C205" t="s">
        <v>395</v>
      </c>
      <c r="D205">
        <v>388</v>
      </c>
      <c r="E205" t="s">
        <v>415</v>
      </c>
      <c r="F205" t="s">
        <v>2739</v>
      </c>
      <c r="G205" t="s">
        <v>2747</v>
      </c>
      <c r="H205" t="s">
        <v>2745</v>
      </c>
      <c r="I205" t="s">
        <v>2742</v>
      </c>
      <c r="J205">
        <v>839.81294756473596</v>
      </c>
      <c r="K205">
        <v>1</v>
      </c>
      <c r="L205">
        <v>1</v>
      </c>
      <c r="M205">
        <v>2</v>
      </c>
      <c r="N205" s="6">
        <v>5252816.5284888502</v>
      </c>
      <c r="O205" s="6">
        <v>1591600.5997244299</v>
      </c>
      <c r="P205" s="6">
        <v>1748659.12821677</v>
      </c>
      <c r="Q205" s="6">
        <v>390090.30969005299</v>
      </c>
      <c r="R205" s="6">
        <v>771050.45469873305</v>
      </c>
      <c r="S205" s="6">
        <v>423230.07228512497</v>
      </c>
      <c r="T205" s="6">
        <v>7138391.6500000004</v>
      </c>
      <c r="U205" s="6">
        <v>2615825.3708188399</v>
      </c>
      <c r="V205" s="6">
        <v>8346346.2811941598</v>
      </c>
      <c r="W205" s="6">
        <v>1407870.73962469</v>
      </c>
      <c r="X205" s="6">
        <v>0</v>
      </c>
      <c r="Y205" s="6">
        <v>0</v>
      </c>
      <c r="Z205" s="6">
        <v>0</v>
      </c>
      <c r="AA205" s="6">
        <v>0</v>
      </c>
      <c r="AB205" s="6">
        <v>0</v>
      </c>
      <c r="AC205" s="6">
        <v>330750.19126293401</v>
      </c>
      <c r="AD205" s="6">
        <v>92479.881022191505</v>
      </c>
      <c r="AE205" s="6">
        <v>0</v>
      </c>
      <c r="AF205" s="6">
        <v>0</v>
      </c>
      <c r="AG205" s="6">
        <v>0</v>
      </c>
      <c r="AH205" s="6">
        <v>0</v>
      </c>
      <c r="AI205" s="6">
        <v>0</v>
      </c>
      <c r="AJ205" s="6">
        <v>10177447.093103999</v>
      </c>
      <c r="AK205" s="6">
        <v>12118.707055679701</v>
      </c>
      <c r="AL205" s="6">
        <v>330.98244656580999</v>
      </c>
      <c r="AM205" s="6">
        <v>93035.839999999997</v>
      </c>
      <c r="AN205" s="6">
        <v>3618.72897044101</v>
      </c>
      <c r="AO205" s="6">
        <v>15792.524489508</v>
      </c>
      <c r="AP205" s="6">
        <v>3753.1860850462999</v>
      </c>
      <c r="AQ205" s="6">
        <v>20687.885194392002</v>
      </c>
      <c r="AR205" s="6">
        <v>12118.707055679701</v>
      </c>
      <c r="AS205" s="6">
        <v>14599.0952784528</v>
      </c>
      <c r="AT205" s="6">
        <v>0</v>
      </c>
      <c r="AU205" t="s">
        <v>2973</v>
      </c>
      <c r="AV205" t="s">
        <v>2973</v>
      </c>
    </row>
    <row r="206" spans="1:48" x14ac:dyDescent="0.45">
      <c r="A206" s="5" t="s">
        <v>416</v>
      </c>
      <c r="B206">
        <v>2191</v>
      </c>
      <c r="C206" t="s">
        <v>417</v>
      </c>
      <c r="D206">
        <v>3464</v>
      </c>
      <c r="E206" t="s">
        <v>418</v>
      </c>
      <c r="F206" t="s">
        <v>2739</v>
      </c>
      <c r="G206" t="s">
        <v>2740</v>
      </c>
      <c r="H206" t="s">
        <v>2741</v>
      </c>
      <c r="I206" t="s">
        <v>2742</v>
      </c>
      <c r="J206">
        <v>544.63921300216396</v>
      </c>
      <c r="K206">
        <v>2</v>
      </c>
      <c r="L206">
        <v>1</v>
      </c>
      <c r="M206">
        <v>2</v>
      </c>
      <c r="N206" s="6">
        <v>3480521.8549680002</v>
      </c>
      <c r="O206" s="6">
        <v>1016874.43248976</v>
      </c>
      <c r="P206" s="6">
        <v>1144404.7223624</v>
      </c>
      <c r="Q206" s="6">
        <v>358811.81124193303</v>
      </c>
      <c r="R206" s="6">
        <v>119319.07486340099</v>
      </c>
      <c r="S206" s="6">
        <v>282945.536108303</v>
      </c>
      <c r="T206" s="6">
        <v>4353142.08</v>
      </c>
      <c r="U206" s="6">
        <v>1766789.8159254901</v>
      </c>
      <c r="V206" s="6">
        <v>5116542.9991624504</v>
      </c>
      <c r="W206" s="6">
        <v>1003388.89676304</v>
      </c>
      <c r="X206" s="6">
        <v>0</v>
      </c>
      <c r="Y206" s="6">
        <v>0</v>
      </c>
      <c r="Z206" s="6">
        <v>0</v>
      </c>
      <c r="AA206" s="6">
        <v>0</v>
      </c>
      <c r="AB206" s="6">
        <v>0</v>
      </c>
      <c r="AC206" s="6">
        <v>164227.63981116199</v>
      </c>
      <c r="AD206" s="6">
        <v>118717.89629714099</v>
      </c>
      <c r="AE206" s="6">
        <v>0</v>
      </c>
      <c r="AF206" s="6">
        <v>0</v>
      </c>
      <c r="AG206" s="6">
        <v>0</v>
      </c>
      <c r="AH206" s="6">
        <v>0</v>
      </c>
      <c r="AI206" s="6">
        <v>0</v>
      </c>
      <c r="AJ206" s="6">
        <v>6402877.4320337996</v>
      </c>
      <c r="AK206" s="6">
        <v>11756.1814852438</v>
      </c>
      <c r="AL206" s="6">
        <v>330.98244656580999</v>
      </c>
      <c r="AM206" s="6">
        <v>93035.839999999997</v>
      </c>
      <c r="AN206" s="6">
        <v>3763.4736961652702</v>
      </c>
      <c r="AO206" s="6">
        <v>14385.9119047942</v>
      </c>
      <c r="AP206" s="6">
        <v>330.98244656580999</v>
      </c>
      <c r="AQ206" s="6">
        <v>93035.839999999997</v>
      </c>
      <c r="AR206" s="6">
        <v>11756.1814852438</v>
      </c>
      <c r="AS206" s="6">
        <v>13344.0410265191</v>
      </c>
      <c r="AT206" s="6">
        <v>0</v>
      </c>
      <c r="AU206" t="s">
        <v>2973</v>
      </c>
      <c r="AV206" t="s">
        <v>2973</v>
      </c>
    </row>
    <row r="207" spans="1:48" x14ac:dyDescent="0.45">
      <c r="A207" s="5" t="s">
        <v>419</v>
      </c>
      <c r="B207">
        <v>2191</v>
      </c>
      <c r="C207" t="s">
        <v>417</v>
      </c>
      <c r="D207">
        <v>1002</v>
      </c>
      <c r="E207" t="s">
        <v>420</v>
      </c>
      <c r="F207" t="s">
        <v>2739</v>
      </c>
      <c r="G207" t="s">
        <v>2744</v>
      </c>
      <c r="H207" t="s">
        <v>2741</v>
      </c>
      <c r="I207" t="s">
        <v>2742</v>
      </c>
      <c r="J207">
        <v>949.82606081944402</v>
      </c>
      <c r="K207">
        <v>1</v>
      </c>
      <c r="L207">
        <v>1</v>
      </c>
      <c r="M207">
        <v>2</v>
      </c>
      <c r="N207" s="6">
        <v>6629362.9563831603</v>
      </c>
      <c r="O207" s="6">
        <v>3537313.49017921</v>
      </c>
      <c r="P207" s="6">
        <v>2164979.69508754</v>
      </c>
      <c r="Q207" s="6">
        <v>625751.50872594502</v>
      </c>
      <c r="R207" s="6">
        <v>213262.21622358699</v>
      </c>
      <c r="S207" s="6">
        <v>493444.16922680801</v>
      </c>
      <c r="T207" s="6">
        <v>10089468.640000001</v>
      </c>
      <c r="U207" s="6">
        <v>3081201.2265994502</v>
      </c>
      <c r="V207" s="6">
        <v>11116521.8698158</v>
      </c>
      <c r="W207" s="6">
        <v>2054147.99678364</v>
      </c>
      <c r="X207" s="6">
        <v>0</v>
      </c>
      <c r="Y207" s="6">
        <v>0</v>
      </c>
      <c r="Z207" s="6">
        <v>0</v>
      </c>
      <c r="AA207" s="6">
        <v>0</v>
      </c>
      <c r="AB207" s="6">
        <v>0</v>
      </c>
      <c r="AC207" s="6">
        <v>286405.54788494599</v>
      </c>
      <c r="AD207" s="6">
        <v>207038.62134186301</v>
      </c>
      <c r="AE207" s="6">
        <v>0</v>
      </c>
      <c r="AF207" s="6">
        <v>0</v>
      </c>
      <c r="AG207" s="6">
        <v>0</v>
      </c>
      <c r="AH207" s="6">
        <v>0</v>
      </c>
      <c r="AI207" s="6">
        <v>0</v>
      </c>
      <c r="AJ207" s="6">
        <v>13664114.035826201</v>
      </c>
      <c r="AK207" s="6">
        <v>14385.9119047942</v>
      </c>
      <c r="AL207" s="6">
        <v>330.98244656580999</v>
      </c>
      <c r="AM207" s="6">
        <v>93035.839999999997</v>
      </c>
      <c r="AN207" s="6">
        <v>3763.4736961652702</v>
      </c>
      <c r="AO207" s="6">
        <v>14385.9119047942</v>
      </c>
      <c r="AP207" s="6">
        <v>330.98244656580999</v>
      </c>
      <c r="AQ207" s="6">
        <v>40734.411818744898</v>
      </c>
      <c r="AR207" s="6">
        <v>14385.9119047942</v>
      </c>
      <c r="AS207" s="6">
        <v>14385.9119047942</v>
      </c>
      <c r="AT207" s="6">
        <v>0</v>
      </c>
      <c r="AU207" t="s">
        <v>2973</v>
      </c>
      <c r="AV207" t="s">
        <v>2973</v>
      </c>
    </row>
    <row r="208" spans="1:48" x14ac:dyDescent="0.45">
      <c r="A208" s="5" t="s">
        <v>421</v>
      </c>
      <c r="B208">
        <v>2191</v>
      </c>
      <c r="C208" t="s">
        <v>417</v>
      </c>
      <c r="D208">
        <v>2191</v>
      </c>
      <c r="E208" t="s">
        <v>417</v>
      </c>
      <c r="F208" t="s">
        <v>1</v>
      </c>
      <c r="G208" t="s">
        <v>1</v>
      </c>
      <c r="H208" t="s">
        <v>2743</v>
      </c>
      <c r="I208" t="s">
        <v>2742</v>
      </c>
      <c r="J208">
        <v>6.997005988023</v>
      </c>
      <c r="K208">
        <v>0</v>
      </c>
      <c r="L208">
        <v>0</v>
      </c>
      <c r="M208">
        <v>2</v>
      </c>
      <c r="N208" s="6">
        <v>1774.21461759611</v>
      </c>
      <c r="O208" s="6">
        <v>5252.65862974028</v>
      </c>
      <c r="P208" s="6">
        <v>9570.1176679896707</v>
      </c>
      <c r="Q208" s="6">
        <v>4609.6724802354802</v>
      </c>
      <c r="R208" s="6">
        <v>1491.3697729749599</v>
      </c>
      <c r="S208" s="6">
        <v>3635.01481929893</v>
      </c>
      <c r="T208" s="6">
        <v>0</v>
      </c>
      <c r="U208" s="6">
        <v>22698.033168536502</v>
      </c>
      <c r="V208" s="6">
        <v>17796.045187417101</v>
      </c>
      <c r="W208" s="6">
        <v>4901.9879811193996</v>
      </c>
      <c r="X208" s="6">
        <v>0</v>
      </c>
      <c r="Y208" s="6">
        <v>0</v>
      </c>
      <c r="Z208" s="6">
        <v>0</v>
      </c>
      <c r="AA208" s="6">
        <v>0</v>
      </c>
      <c r="AB208" s="6">
        <v>0</v>
      </c>
      <c r="AC208" s="6">
        <v>2109.84033416084</v>
      </c>
      <c r="AD208" s="6">
        <v>1525.1744851380899</v>
      </c>
      <c r="AE208" s="6">
        <v>0</v>
      </c>
      <c r="AF208" s="6">
        <v>0</v>
      </c>
      <c r="AG208" s="6">
        <v>0</v>
      </c>
      <c r="AH208" s="6">
        <v>0</v>
      </c>
      <c r="AI208" s="6">
        <v>0</v>
      </c>
      <c r="AJ208" s="6">
        <v>26333.0479878355</v>
      </c>
      <c r="AK208" s="6">
        <v>3763.4736961652702</v>
      </c>
      <c r="AL208" s="6">
        <v>330.98244656580999</v>
      </c>
      <c r="AM208" s="6">
        <v>93035.839999999997</v>
      </c>
      <c r="AN208" s="6">
        <v>3763.4736961652702</v>
      </c>
      <c r="AO208" s="6">
        <v>14385.9119047942</v>
      </c>
      <c r="AP208" s="6">
        <v>634.54287297753501</v>
      </c>
      <c r="AQ208" s="6">
        <v>40331.279999999999</v>
      </c>
      <c r="AR208" s="6">
        <v>3763.4736961652702</v>
      </c>
      <c r="AS208" s="6">
        <v>3763.4736961652702</v>
      </c>
      <c r="AT208" s="6">
        <v>0</v>
      </c>
      <c r="AU208" t="s">
        <v>2973</v>
      </c>
      <c r="AV208" t="s">
        <v>2977</v>
      </c>
    </row>
    <row r="209" spans="1:48" x14ac:dyDescent="0.45">
      <c r="A209" s="5" t="s">
        <v>422</v>
      </c>
      <c r="B209">
        <v>2191</v>
      </c>
      <c r="C209" t="s">
        <v>417</v>
      </c>
      <c r="D209">
        <v>998</v>
      </c>
      <c r="E209" t="s">
        <v>423</v>
      </c>
      <c r="F209" t="s">
        <v>2739</v>
      </c>
      <c r="G209" t="s">
        <v>2740</v>
      </c>
      <c r="H209" t="s">
        <v>2741</v>
      </c>
      <c r="I209" t="s">
        <v>2742</v>
      </c>
      <c r="J209">
        <v>387.28816280475598</v>
      </c>
      <c r="K209">
        <v>3</v>
      </c>
      <c r="L209">
        <v>1</v>
      </c>
      <c r="M209">
        <v>2</v>
      </c>
      <c r="N209" s="6">
        <v>2948669.0632733698</v>
      </c>
      <c r="O209" s="6">
        <v>776837.77890230296</v>
      </c>
      <c r="P209" s="6">
        <v>901205.20164320199</v>
      </c>
      <c r="Q209" s="6">
        <v>255147.92885098999</v>
      </c>
      <c r="R209" s="6">
        <v>84929.074224357697</v>
      </c>
      <c r="S209" s="6">
        <v>201200.08665765301</v>
      </c>
      <c r="T209" s="6">
        <v>3710440.32</v>
      </c>
      <c r="U209" s="6">
        <v>1256348.7268942201</v>
      </c>
      <c r="V209" s="6">
        <v>4101172.4429165302</v>
      </c>
      <c r="W209" s="6">
        <v>865616.60397768999</v>
      </c>
      <c r="X209" s="6">
        <v>0</v>
      </c>
      <c r="Y209" s="6">
        <v>0</v>
      </c>
      <c r="Z209" s="6">
        <v>0</v>
      </c>
      <c r="AA209" s="6">
        <v>0</v>
      </c>
      <c r="AB209" s="6">
        <v>0</v>
      </c>
      <c r="AC209" s="6">
        <v>116780.83286297201</v>
      </c>
      <c r="AD209" s="6">
        <v>84419.253794681805</v>
      </c>
      <c r="AE209" s="6">
        <v>0</v>
      </c>
      <c r="AF209" s="6">
        <v>0</v>
      </c>
      <c r="AG209" s="6">
        <v>0</v>
      </c>
      <c r="AH209" s="6">
        <v>0</v>
      </c>
      <c r="AI209" s="6">
        <v>0</v>
      </c>
      <c r="AJ209" s="6">
        <v>5167989.1335518695</v>
      </c>
      <c r="AK209" s="6">
        <v>13344.0410265191</v>
      </c>
      <c r="AL209" s="6">
        <v>330.98244656580999</v>
      </c>
      <c r="AM209" s="6">
        <v>93035.839999999997</v>
      </c>
      <c r="AN209" s="6">
        <v>3763.4736961652702</v>
      </c>
      <c r="AO209" s="6">
        <v>14385.9119047942</v>
      </c>
      <c r="AP209" s="6">
        <v>330.98244656580999</v>
      </c>
      <c r="AQ209" s="6">
        <v>93035.839999999997</v>
      </c>
      <c r="AR209" s="6">
        <v>11756.1814852438</v>
      </c>
      <c r="AS209" s="6">
        <v>13344.0410265191</v>
      </c>
      <c r="AT209" s="6">
        <v>0</v>
      </c>
      <c r="AU209" t="s">
        <v>2973</v>
      </c>
      <c r="AV209" t="s">
        <v>2973</v>
      </c>
    </row>
    <row r="210" spans="1:48" x14ac:dyDescent="0.45">
      <c r="A210" s="5" t="s">
        <v>424</v>
      </c>
      <c r="B210">
        <v>2191</v>
      </c>
      <c r="C210" t="s">
        <v>417</v>
      </c>
      <c r="D210">
        <v>999</v>
      </c>
      <c r="E210" t="s">
        <v>425</v>
      </c>
      <c r="F210" t="s">
        <v>2739</v>
      </c>
      <c r="G210" t="s">
        <v>2740</v>
      </c>
      <c r="H210" t="s">
        <v>2741</v>
      </c>
      <c r="I210" t="s">
        <v>2742</v>
      </c>
      <c r="J210">
        <v>535.189206183804</v>
      </c>
      <c r="K210">
        <v>1</v>
      </c>
      <c r="L210">
        <v>1</v>
      </c>
      <c r="M210">
        <v>2</v>
      </c>
      <c r="N210" s="6">
        <v>4186349.0186060001</v>
      </c>
      <c r="O210" s="6">
        <v>899249.83395099198</v>
      </c>
      <c r="P210" s="6">
        <v>1067503.77587553</v>
      </c>
      <c r="Q210" s="6">
        <v>352586.086061307</v>
      </c>
      <c r="R210" s="6">
        <v>117330.36270645401</v>
      </c>
      <c r="S210" s="6">
        <v>278036.16274403699</v>
      </c>
      <c r="T210" s="6">
        <v>4886884.74</v>
      </c>
      <c r="U210" s="6">
        <v>1736134.33720028</v>
      </c>
      <c r="V210" s="6">
        <v>6039648.0706889601</v>
      </c>
      <c r="W210" s="6">
        <v>583371.00651132094</v>
      </c>
      <c r="X210" s="6">
        <v>0</v>
      </c>
      <c r="Y210" s="6">
        <v>0</v>
      </c>
      <c r="Z210" s="6">
        <v>0</v>
      </c>
      <c r="AA210" s="6">
        <v>0</v>
      </c>
      <c r="AB210" s="6">
        <v>0</v>
      </c>
      <c r="AC210" s="6">
        <v>161378.134525959</v>
      </c>
      <c r="AD210" s="6">
        <v>116658.02821807801</v>
      </c>
      <c r="AE210" s="6">
        <v>0</v>
      </c>
      <c r="AF210" s="6">
        <v>0</v>
      </c>
      <c r="AG210" s="6">
        <v>0</v>
      </c>
      <c r="AH210" s="6">
        <v>0</v>
      </c>
      <c r="AI210" s="6">
        <v>0</v>
      </c>
      <c r="AJ210" s="6">
        <v>6901055.2399443099</v>
      </c>
      <c r="AK210" s="6">
        <v>12894.6084117665</v>
      </c>
      <c r="AL210" s="6">
        <v>330.98244656580999</v>
      </c>
      <c r="AM210" s="6">
        <v>93035.839999999997</v>
      </c>
      <c r="AN210" s="6">
        <v>3763.4736961652702</v>
      </c>
      <c r="AO210" s="6">
        <v>14385.9119047942</v>
      </c>
      <c r="AP210" s="6">
        <v>330.98244656580999</v>
      </c>
      <c r="AQ210" s="6">
        <v>93035.839999999997</v>
      </c>
      <c r="AR210" s="6">
        <v>11756.1814852438</v>
      </c>
      <c r="AS210" s="6">
        <v>13344.0410265191</v>
      </c>
      <c r="AT210" s="6">
        <v>0</v>
      </c>
      <c r="AU210" t="s">
        <v>2973</v>
      </c>
      <c r="AV210" t="s">
        <v>2973</v>
      </c>
    </row>
    <row r="211" spans="1:48" x14ac:dyDescent="0.45">
      <c r="A211" s="5" t="s">
        <v>426</v>
      </c>
      <c r="B211">
        <v>2191</v>
      </c>
      <c r="C211" t="s">
        <v>417</v>
      </c>
      <c r="D211">
        <v>1001</v>
      </c>
      <c r="E211" t="s">
        <v>427</v>
      </c>
      <c r="F211" t="s">
        <v>2739</v>
      </c>
      <c r="G211" t="s">
        <v>2747</v>
      </c>
      <c r="H211" t="s">
        <v>2741</v>
      </c>
      <c r="I211" t="s">
        <v>2742</v>
      </c>
      <c r="J211">
        <v>788.71213944735098</v>
      </c>
      <c r="K211">
        <v>1</v>
      </c>
      <c r="L211">
        <v>1</v>
      </c>
      <c r="M211">
        <v>2</v>
      </c>
      <c r="N211" s="6">
        <v>4588291.1021518903</v>
      </c>
      <c r="O211" s="6">
        <v>2059444.7158480899</v>
      </c>
      <c r="P211" s="6">
        <v>1605328.1273634899</v>
      </c>
      <c r="Q211" s="6">
        <v>519608.62263966299</v>
      </c>
      <c r="R211" s="6">
        <v>174811.83220924999</v>
      </c>
      <c r="S211" s="6">
        <v>409743.87044395698</v>
      </c>
      <c r="T211" s="6">
        <v>6388930.8799999999</v>
      </c>
      <c r="U211" s="6">
        <v>2558553.5202123802</v>
      </c>
      <c r="V211" s="6">
        <v>7838763.1222291198</v>
      </c>
      <c r="W211" s="6">
        <v>1108721.2779832699</v>
      </c>
      <c r="X211" s="6">
        <v>0</v>
      </c>
      <c r="Y211" s="6">
        <v>0</v>
      </c>
      <c r="Z211" s="6">
        <v>0</v>
      </c>
      <c r="AA211" s="6">
        <v>0</v>
      </c>
      <c r="AB211" s="6">
        <v>0</v>
      </c>
      <c r="AC211" s="6">
        <v>237824.104580835</v>
      </c>
      <c r="AD211" s="6">
        <v>171919.76586312201</v>
      </c>
      <c r="AE211" s="6">
        <v>0</v>
      </c>
      <c r="AF211" s="6">
        <v>0</v>
      </c>
      <c r="AG211" s="6">
        <v>0</v>
      </c>
      <c r="AH211" s="6">
        <v>0</v>
      </c>
      <c r="AI211" s="6">
        <v>0</v>
      </c>
      <c r="AJ211" s="6">
        <v>9357228.2706563491</v>
      </c>
      <c r="AK211" s="6">
        <v>11863.933370181099</v>
      </c>
      <c r="AL211" s="6">
        <v>330.98244656580999</v>
      </c>
      <c r="AM211" s="6">
        <v>93035.839999999997</v>
      </c>
      <c r="AN211" s="6">
        <v>3763.4736961652702</v>
      </c>
      <c r="AO211" s="6">
        <v>14385.9119047942</v>
      </c>
      <c r="AP211" s="6">
        <v>3753.1860850462999</v>
      </c>
      <c r="AQ211" s="6">
        <v>20687.885194392002</v>
      </c>
      <c r="AR211" s="6">
        <v>11863.933370181099</v>
      </c>
      <c r="AS211" s="6">
        <v>11863.933370181099</v>
      </c>
      <c r="AT211" s="6">
        <v>0</v>
      </c>
      <c r="AU211" t="s">
        <v>2973</v>
      </c>
      <c r="AV211" t="s">
        <v>2973</v>
      </c>
    </row>
    <row r="212" spans="1:48" x14ac:dyDescent="0.45">
      <c r="A212" s="5" t="s">
        <v>430</v>
      </c>
      <c r="B212">
        <v>1945</v>
      </c>
      <c r="C212" t="s">
        <v>431</v>
      </c>
      <c r="D212">
        <v>163</v>
      </c>
      <c r="E212" t="s">
        <v>432</v>
      </c>
      <c r="F212" t="s">
        <v>2739</v>
      </c>
      <c r="G212" t="s">
        <v>2740</v>
      </c>
      <c r="H212" t="s">
        <v>2741</v>
      </c>
      <c r="I212" t="s">
        <v>2742</v>
      </c>
      <c r="J212">
        <v>379.48473865533703</v>
      </c>
      <c r="K212">
        <v>1</v>
      </c>
      <c r="L212">
        <v>2</v>
      </c>
      <c r="M212">
        <v>2</v>
      </c>
      <c r="N212" s="6">
        <v>2726086.7562008998</v>
      </c>
      <c r="O212" s="6">
        <v>513832.38431892102</v>
      </c>
      <c r="P212" s="6">
        <v>1260839.9267397099</v>
      </c>
      <c r="Q212" s="6">
        <v>335896.058330353</v>
      </c>
      <c r="R212" s="6">
        <v>91548.619590600501</v>
      </c>
      <c r="S212" s="6">
        <v>155071.41956080199</v>
      </c>
      <c r="T212" s="6">
        <v>2745873.23</v>
      </c>
      <c r="U212" s="6">
        <v>2182330.5151804802</v>
      </c>
      <c r="V212" s="6">
        <v>4142992.0249933801</v>
      </c>
      <c r="W212" s="6">
        <v>785211.72018709499</v>
      </c>
      <c r="X212" s="6">
        <v>0</v>
      </c>
      <c r="Y212" s="6">
        <v>0</v>
      </c>
      <c r="Z212" s="6">
        <v>0</v>
      </c>
      <c r="AA212" s="6">
        <v>0</v>
      </c>
      <c r="AB212" s="6">
        <v>0</v>
      </c>
      <c r="AC212" s="6">
        <v>155071.41956080199</v>
      </c>
      <c r="AD212" s="6">
        <v>0</v>
      </c>
      <c r="AE212" s="6">
        <v>0</v>
      </c>
      <c r="AF212" s="6">
        <v>0</v>
      </c>
      <c r="AG212" s="6">
        <v>0</v>
      </c>
      <c r="AH212" s="6">
        <v>0</v>
      </c>
      <c r="AI212" s="6">
        <v>0</v>
      </c>
      <c r="AJ212" s="6">
        <v>5083275.1647412796</v>
      </c>
      <c r="AK212" s="6">
        <v>13395.203145068001</v>
      </c>
      <c r="AL212" s="6">
        <v>330.98244656580999</v>
      </c>
      <c r="AM212" s="6">
        <v>93035.839999999997</v>
      </c>
      <c r="AN212" s="6">
        <v>6159.4095800100204</v>
      </c>
      <c r="AO212" s="6">
        <v>15045.917394080499</v>
      </c>
      <c r="AP212" s="6">
        <v>330.98244656580999</v>
      </c>
      <c r="AQ212" s="6">
        <v>93035.839999999997</v>
      </c>
      <c r="AR212" s="6">
        <v>13395.203145068001</v>
      </c>
      <c r="AS212" s="6">
        <v>13395.203145068001</v>
      </c>
      <c r="AT212" s="6">
        <v>0</v>
      </c>
      <c r="AU212" t="s">
        <v>2973</v>
      </c>
      <c r="AV212" t="s">
        <v>2973</v>
      </c>
    </row>
    <row r="213" spans="1:48" x14ac:dyDescent="0.45">
      <c r="A213" s="5" t="s">
        <v>433</v>
      </c>
      <c r="B213">
        <v>1945</v>
      </c>
      <c r="C213" t="s">
        <v>431</v>
      </c>
      <c r="D213">
        <v>168</v>
      </c>
      <c r="E213" t="s">
        <v>434</v>
      </c>
      <c r="F213" t="s">
        <v>2739</v>
      </c>
      <c r="G213" t="s">
        <v>2744</v>
      </c>
      <c r="H213" t="s">
        <v>2745</v>
      </c>
      <c r="I213" t="s">
        <v>2742</v>
      </c>
      <c r="J213">
        <v>331.560819125683</v>
      </c>
      <c r="K213">
        <v>1</v>
      </c>
      <c r="L213">
        <v>1</v>
      </c>
      <c r="M213">
        <v>2</v>
      </c>
      <c r="N213" s="6">
        <v>2221924.3806533702</v>
      </c>
      <c r="O213" s="6">
        <v>984546.48823752999</v>
      </c>
      <c r="P213" s="6">
        <v>1227481.0127779299</v>
      </c>
      <c r="Q213" s="6">
        <v>293476.81447145302</v>
      </c>
      <c r="R213" s="6">
        <v>125720.055873677</v>
      </c>
      <c r="S213" s="6">
        <v>135487.94366473801</v>
      </c>
      <c r="T213" s="6">
        <v>2946417.81</v>
      </c>
      <c r="U213" s="6">
        <v>1906730.9420139601</v>
      </c>
      <c r="V213" s="6">
        <v>4119563.35790896</v>
      </c>
      <c r="W213" s="6">
        <v>733585.39410499996</v>
      </c>
      <c r="X213" s="6">
        <v>0</v>
      </c>
      <c r="Y213" s="6">
        <v>0</v>
      </c>
      <c r="Z213" s="6">
        <v>0</v>
      </c>
      <c r="AA213" s="6">
        <v>0</v>
      </c>
      <c r="AB213" s="6">
        <v>0</v>
      </c>
      <c r="AC213" s="6">
        <v>135487.94366473801</v>
      </c>
      <c r="AD213" s="6">
        <v>0</v>
      </c>
      <c r="AE213" s="6">
        <v>0</v>
      </c>
      <c r="AF213" s="6">
        <v>0</v>
      </c>
      <c r="AG213" s="6">
        <v>0</v>
      </c>
      <c r="AH213" s="6">
        <v>0</v>
      </c>
      <c r="AI213" s="6">
        <v>0</v>
      </c>
      <c r="AJ213" s="6">
        <v>4988636.6956786998</v>
      </c>
      <c r="AK213" s="6">
        <v>15045.917394080499</v>
      </c>
      <c r="AL213" s="6">
        <v>330.98244656580999</v>
      </c>
      <c r="AM213" s="6">
        <v>93035.839999999997</v>
      </c>
      <c r="AN213" s="6">
        <v>6159.4095800100204</v>
      </c>
      <c r="AO213" s="6">
        <v>15045.917394080499</v>
      </c>
      <c r="AP213" s="6">
        <v>330.98244656580999</v>
      </c>
      <c r="AQ213" s="6">
        <v>40734.411818744898</v>
      </c>
      <c r="AR213" s="6">
        <v>15045.917394080499</v>
      </c>
      <c r="AS213" s="6">
        <v>15045.917394080499</v>
      </c>
      <c r="AT213" s="6">
        <v>0</v>
      </c>
      <c r="AU213" t="s">
        <v>2973</v>
      </c>
      <c r="AV213" t="s">
        <v>2973</v>
      </c>
    </row>
    <row r="214" spans="1:48" x14ac:dyDescent="0.45">
      <c r="A214" s="5" t="s">
        <v>2808</v>
      </c>
      <c r="B214">
        <v>1945</v>
      </c>
      <c r="C214" t="s">
        <v>431</v>
      </c>
      <c r="D214">
        <v>1945</v>
      </c>
      <c r="E214" t="s">
        <v>431</v>
      </c>
      <c r="F214" t="s">
        <v>1</v>
      </c>
      <c r="G214" t="s">
        <v>1</v>
      </c>
      <c r="H214" t="s">
        <v>2743</v>
      </c>
      <c r="I214" t="s">
        <v>2742</v>
      </c>
      <c r="J214">
        <v>1</v>
      </c>
      <c r="K214">
        <v>0</v>
      </c>
      <c r="L214">
        <v>0</v>
      </c>
      <c r="M214">
        <v>2</v>
      </c>
      <c r="N214" s="6">
        <v>1911.86314572678</v>
      </c>
      <c r="O214" s="6">
        <v>403.66744354915897</v>
      </c>
      <c r="P214" s="6">
        <v>2308.86048235918</v>
      </c>
      <c r="Q214" s="6">
        <v>885.13719819290895</v>
      </c>
      <c r="R214" s="6">
        <v>241.24453572228799</v>
      </c>
      <c r="S214" s="6">
        <v>408.63677445970802</v>
      </c>
      <c r="T214" s="6">
        <v>0</v>
      </c>
      <c r="U214" s="6">
        <v>5750.7728055503103</v>
      </c>
      <c r="V214" s="6">
        <v>4990.9470976475304</v>
      </c>
      <c r="W214" s="6">
        <v>759.82570790278805</v>
      </c>
      <c r="X214" s="6">
        <v>0</v>
      </c>
      <c r="Y214" s="6">
        <v>0</v>
      </c>
      <c r="Z214" s="6">
        <v>0</v>
      </c>
      <c r="AA214" s="6">
        <v>0</v>
      </c>
      <c r="AB214" s="6">
        <v>0</v>
      </c>
      <c r="AC214" s="6">
        <v>408.63677445970802</v>
      </c>
      <c r="AD214" s="6">
        <v>0</v>
      </c>
      <c r="AE214" s="6">
        <v>0</v>
      </c>
      <c r="AF214" s="6">
        <v>0</v>
      </c>
      <c r="AG214" s="6">
        <v>0</v>
      </c>
      <c r="AH214" s="6">
        <v>0</v>
      </c>
      <c r="AI214" s="6">
        <v>0</v>
      </c>
      <c r="AJ214" s="6">
        <v>6159.4095800100204</v>
      </c>
      <c r="AK214" s="6">
        <v>6159.4095800100204</v>
      </c>
      <c r="AL214" s="6">
        <v>330.98244656580999</v>
      </c>
      <c r="AM214" s="6">
        <v>93035.839999999997</v>
      </c>
      <c r="AN214" s="6">
        <v>6159.4095800100204</v>
      </c>
      <c r="AO214" s="6">
        <v>15045.917394080499</v>
      </c>
      <c r="AP214" s="6">
        <v>634.54287297753501</v>
      </c>
      <c r="AQ214" s="6">
        <v>40331.279999999999</v>
      </c>
      <c r="AR214" s="6">
        <v>6159.4095800100204</v>
      </c>
      <c r="AS214" s="6">
        <v>6159.4095800100204</v>
      </c>
      <c r="AT214" s="6">
        <v>0</v>
      </c>
      <c r="AU214" t="s">
        <v>2973</v>
      </c>
      <c r="AV214" t="s">
        <v>2977</v>
      </c>
    </row>
    <row r="215" spans="1:48" x14ac:dyDescent="0.45">
      <c r="A215" s="5" t="s">
        <v>435</v>
      </c>
      <c r="B215">
        <v>1927</v>
      </c>
      <c r="C215" t="s">
        <v>436</v>
      </c>
      <c r="D215">
        <v>103</v>
      </c>
      <c r="E215" t="s">
        <v>437</v>
      </c>
      <c r="F215" t="s">
        <v>2739</v>
      </c>
      <c r="G215" t="s">
        <v>2740</v>
      </c>
      <c r="H215" t="s">
        <v>2741</v>
      </c>
      <c r="I215" t="s">
        <v>2742</v>
      </c>
      <c r="J215">
        <v>268.25352112674301</v>
      </c>
      <c r="K215">
        <v>1</v>
      </c>
      <c r="L215">
        <v>1</v>
      </c>
      <c r="M215">
        <v>1</v>
      </c>
      <c r="N215" s="6">
        <v>1589593.3210258</v>
      </c>
      <c r="O215" s="6">
        <v>436845.41457660502</v>
      </c>
      <c r="P215" s="6">
        <v>713422.96302902105</v>
      </c>
      <c r="Q215" s="6">
        <v>150346.68504048599</v>
      </c>
      <c r="R215" s="6">
        <v>79311.790931163196</v>
      </c>
      <c r="S215" s="6">
        <v>132965.789984003</v>
      </c>
      <c r="T215" s="6">
        <v>1527412.78</v>
      </c>
      <c r="U215" s="6">
        <v>1442107.3946030701</v>
      </c>
      <c r="V215" s="6">
        <v>2586430.76136684</v>
      </c>
      <c r="W215" s="6">
        <v>383089.41323623201</v>
      </c>
      <c r="X215" s="6">
        <v>0</v>
      </c>
      <c r="Y215" s="6">
        <v>0</v>
      </c>
      <c r="Z215" s="6">
        <v>0</v>
      </c>
      <c r="AA215" s="6">
        <v>0</v>
      </c>
      <c r="AB215" s="6">
        <v>0</v>
      </c>
      <c r="AC215" s="6">
        <v>129593.253180386</v>
      </c>
      <c r="AD215" s="6">
        <v>3372.5368036168802</v>
      </c>
      <c r="AE215" s="6">
        <v>0</v>
      </c>
      <c r="AF215" s="6">
        <v>0</v>
      </c>
      <c r="AG215" s="6">
        <v>0</v>
      </c>
      <c r="AH215" s="6">
        <v>0</v>
      </c>
      <c r="AI215" s="6">
        <v>0</v>
      </c>
      <c r="AJ215" s="6">
        <v>3102485.96458707</v>
      </c>
      <c r="AK215" s="6">
        <v>11565.499500456601</v>
      </c>
      <c r="AL215" s="6">
        <v>330.98244656580999</v>
      </c>
      <c r="AM215" s="6">
        <v>93035.839999999997</v>
      </c>
      <c r="AN215" s="6">
        <v>5871.5843802210202</v>
      </c>
      <c r="AO215" s="6">
        <v>14945.6827560809</v>
      </c>
      <c r="AP215" s="6">
        <v>330.98244656580999</v>
      </c>
      <c r="AQ215" s="6">
        <v>93035.839999999997</v>
      </c>
      <c r="AR215" s="6">
        <v>11565.499500456601</v>
      </c>
      <c r="AS215" s="6">
        <v>11565.499500456601</v>
      </c>
      <c r="AT215" s="6">
        <v>0</v>
      </c>
      <c r="AU215" t="s">
        <v>2973</v>
      </c>
      <c r="AV215" t="s">
        <v>2973</v>
      </c>
    </row>
    <row r="216" spans="1:48" x14ac:dyDescent="0.45">
      <c r="A216" s="5" t="s">
        <v>438</v>
      </c>
      <c r="B216">
        <v>1927</v>
      </c>
      <c r="C216" t="s">
        <v>436</v>
      </c>
      <c r="D216">
        <v>104</v>
      </c>
      <c r="E216" t="s">
        <v>439</v>
      </c>
      <c r="F216" t="s">
        <v>2739</v>
      </c>
      <c r="G216" t="s">
        <v>2744</v>
      </c>
      <c r="H216" t="s">
        <v>2741</v>
      </c>
      <c r="I216" t="s">
        <v>2742</v>
      </c>
      <c r="J216">
        <v>188.788732394325</v>
      </c>
      <c r="K216">
        <v>1</v>
      </c>
      <c r="L216">
        <v>1</v>
      </c>
      <c r="M216">
        <v>1</v>
      </c>
      <c r="N216" s="6">
        <v>1339504.9693567799</v>
      </c>
      <c r="O216" s="6">
        <v>717619.24106606795</v>
      </c>
      <c r="P216" s="6">
        <v>509248.27732855099</v>
      </c>
      <c r="Q216" s="6">
        <v>105809.459533885</v>
      </c>
      <c r="R216" s="6">
        <v>55817.244861973697</v>
      </c>
      <c r="S216" s="6">
        <v>93577.310140990696</v>
      </c>
      <c r="T216" s="6">
        <v>1713087.53</v>
      </c>
      <c r="U216" s="6">
        <v>1014911.66214726</v>
      </c>
      <c r="V216" s="6">
        <v>2313430.34270286</v>
      </c>
      <c r="W216" s="6">
        <v>414568.849444394</v>
      </c>
      <c r="X216" s="6">
        <v>0</v>
      </c>
      <c r="Y216" s="6">
        <v>0</v>
      </c>
      <c r="Z216" s="6">
        <v>0</v>
      </c>
      <c r="AA216" s="6">
        <v>0</v>
      </c>
      <c r="AB216" s="6">
        <v>0</v>
      </c>
      <c r="AC216" s="6">
        <v>91203.820520300098</v>
      </c>
      <c r="AD216" s="6">
        <v>2373.4896206906301</v>
      </c>
      <c r="AE216" s="6">
        <v>0</v>
      </c>
      <c r="AF216" s="6">
        <v>0</v>
      </c>
      <c r="AG216" s="6">
        <v>0</v>
      </c>
      <c r="AH216" s="6">
        <v>0</v>
      </c>
      <c r="AI216" s="6">
        <v>0</v>
      </c>
      <c r="AJ216" s="6">
        <v>2821576.5022882498</v>
      </c>
      <c r="AK216" s="6">
        <v>14945.6827560809</v>
      </c>
      <c r="AL216" s="6">
        <v>330.98244656580999</v>
      </c>
      <c r="AM216" s="6">
        <v>93035.839999999997</v>
      </c>
      <c r="AN216" s="6">
        <v>5871.5843802210202</v>
      </c>
      <c r="AO216" s="6">
        <v>14945.6827560809</v>
      </c>
      <c r="AP216" s="6">
        <v>330.98244656580999</v>
      </c>
      <c r="AQ216" s="6">
        <v>40734.411818744898</v>
      </c>
      <c r="AR216" s="6">
        <v>14945.6827560809</v>
      </c>
      <c r="AS216" s="6">
        <v>14945.6827560809</v>
      </c>
      <c r="AT216" s="6">
        <v>0</v>
      </c>
      <c r="AU216" t="s">
        <v>2973</v>
      </c>
      <c r="AV216" t="s">
        <v>2973</v>
      </c>
    </row>
    <row r="217" spans="1:48" x14ac:dyDescent="0.45">
      <c r="A217" s="5" t="s">
        <v>440</v>
      </c>
      <c r="B217">
        <v>1927</v>
      </c>
      <c r="C217" t="s">
        <v>436</v>
      </c>
      <c r="D217">
        <v>1248</v>
      </c>
      <c r="E217" t="s">
        <v>441</v>
      </c>
      <c r="F217" t="s">
        <v>2739</v>
      </c>
      <c r="G217" t="s">
        <v>2747</v>
      </c>
      <c r="H217" t="s">
        <v>2741</v>
      </c>
      <c r="I217" t="s">
        <v>2742</v>
      </c>
      <c r="J217">
        <v>143.79577464787499</v>
      </c>
      <c r="K217">
        <v>1</v>
      </c>
      <c r="L217">
        <v>1</v>
      </c>
      <c r="M217">
        <v>1</v>
      </c>
      <c r="N217" s="6">
        <v>873263.49648786196</v>
      </c>
      <c r="O217" s="6">
        <v>305993.97671845998</v>
      </c>
      <c r="P217" s="6">
        <v>378950.07535858703</v>
      </c>
      <c r="Q217" s="6">
        <v>80592.485609619194</v>
      </c>
      <c r="R217" s="6">
        <v>42514.634543300097</v>
      </c>
      <c r="S217" s="6">
        <v>71275.555646416702</v>
      </c>
      <c r="T217" s="6">
        <v>908281.2</v>
      </c>
      <c r="U217" s="6">
        <v>773033.46871782804</v>
      </c>
      <c r="V217" s="6">
        <v>1517244.0325325299</v>
      </c>
      <c r="W217" s="6">
        <v>164070.63618530199</v>
      </c>
      <c r="X217" s="6">
        <v>0</v>
      </c>
      <c r="Y217" s="6">
        <v>0</v>
      </c>
      <c r="Z217" s="6">
        <v>0</v>
      </c>
      <c r="AA217" s="6">
        <v>0</v>
      </c>
      <c r="AB217" s="6">
        <v>0</v>
      </c>
      <c r="AC217" s="6">
        <v>69467.726469868998</v>
      </c>
      <c r="AD217" s="6">
        <v>1807.8291765476099</v>
      </c>
      <c r="AE217" s="6">
        <v>0</v>
      </c>
      <c r="AF217" s="6">
        <v>0</v>
      </c>
      <c r="AG217" s="6">
        <v>0</v>
      </c>
      <c r="AH217" s="6">
        <v>0</v>
      </c>
      <c r="AI217" s="6">
        <v>0</v>
      </c>
      <c r="AJ217" s="6">
        <v>1752590.22436424</v>
      </c>
      <c r="AK217" s="6">
        <v>12188.0509260857</v>
      </c>
      <c r="AL217" s="6">
        <v>330.98244656580999</v>
      </c>
      <c r="AM217" s="6">
        <v>93035.839999999997</v>
      </c>
      <c r="AN217" s="6">
        <v>5871.5843802210202</v>
      </c>
      <c r="AO217" s="6">
        <v>14945.6827560809</v>
      </c>
      <c r="AP217" s="6">
        <v>3753.1860850462999</v>
      </c>
      <c r="AQ217" s="6">
        <v>20687.885194392002</v>
      </c>
      <c r="AR217" s="6">
        <v>12188.0509260857</v>
      </c>
      <c r="AS217" s="6">
        <v>12188.0509260857</v>
      </c>
      <c r="AT217" s="6">
        <v>0</v>
      </c>
      <c r="AU217" t="s">
        <v>2973</v>
      </c>
      <c r="AV217" t="s">
        <v>2973</v>
      </c>
    </row>
    <row r="218" spans="1:48" x14ac:dyDescent="0.45">
      <c r="A218" s="5" t="s">
        <v>442</v>
      </c>
      <c r="B218">
        <v>1927</v>
      </c>
      <c r="C218" t="s">
        <v>436</v>
      </c>
      <c r="D218">
        <v>1927</v>
      </c>
      <c r="E218" t="s">
        <v>436</v>
      </c>
      <c r="F218" t="s">
        <v>1</v>
      </c>
      <c r="G218" t="s">
        <v>1</v>
      </c>
      <c r="H218" t="s">
        <v>2743</v>
      </c>
      <c r="I218" t="s">
        <v>2742</v>
      </c>
      <c r="J218">
        <v>2</v>
      </c>
      <c r="K218">
        <v>0</v>
      </c>
      <c r="L218">
        <v>0</v>
      </c>
      <c r="M218">
        <v>1</v>
      </c>
      <c r="N218" s="6">
        <v>2032.7431295634599</v>
      </c>
      <c r="O218" s="6">
        <v>1758.67763886801</v>
      </c>
      <c r="P218" s="6">
        <v>5248.1542838458199</v>
      </c>
      <c r="Q218" s="6">
        <v>1120.9298160112501</v>
      </c>
      <c r="R218" s="6">
        <v>591.31966356326302</v>
      </c>
      <c r="S218" s="6">
        <v>991.344228590238</v>
      </c>
      <c r="T218" s="6">
        <v>0</v>
      </c>
      <c r="U218" s="6">
        <v>10751.8245318518</v>
      </c>
      <c r="V218" s="6">
        <v>8822.8233977791697</v>
      </c>
      <c r="W218" s="6">
        <v>1929.0011340726301</v>
      </c>
      <c r="X218" s="6">
        <v>0</v>
      </c>
      <c r="Y218" s="6">
        <v>0</v>
      </c>
      <c r="Z218" s="6">
        <v>0</v>
      </c>
      <c r="AA218" s="6">
        <v>0</v>
      </c>
      <c r="AB218" s="6">
        <v>0</v>
      </c>
      <c r="AC218" s="6">
        <v>966.19982944534502</v>
      </c>
      <c r="AD218" s="6">
        <v>25.144399144892802</v>
      </c>
      <c r="AE218" s="6">
        <v>0</v>
      </c>
      <c r="AF218" s="6">
        <v>0</v>
      </c>
      <c r="AG218" s="6">
        <v>0</v>
      </c>
      <c r="AH218" s="6">
        <v>0</v>
      </c>
      <c r="AI218" s="6">
        <v>0</v>
      </c>
      <c r="AJ218" s="6">
        <v>11743.168760442</v>
      </c>
      <c r="AK218" s="6">
        <v>5871.5843802210202</v>
      </c>
      <c r="AL218" s="6">
        <v>330.98244656580999</v>
      </c>
      <c r="AM218" s="6">
        <v>93035.839999999997</v>
      </c>
      <c r="AN218" s="6">
        <v>5871.5843802210202</v>
      </c>
      <c r="AO218" s="6">
        <v>14945.6827560809</v>
      </c>
      <c r="AP218" s="6">
        <v>634.54287297753501</v>
      </c>
      <c r="AQ218" s="6">
        <v>40331.279999999999</v>
      </c>
      <c r="AR218" s="6">
        <v>5871.5843802210202</v>
      </c>
      <c r="AS218" s="6">
        <v>5871.5843802210202</v>
      </c>
      <c r="AT218" s="6">
        <v>0</v>
      </c>
      <c r="AU218" t="s">
        <v>2973</v>
      </c>
      <c r="AV218" t="s">
        <v>2977</v>
      </c>
    </row>
    <row r="219" spans="1:48" x14ac:dyDescent="0.45">
      <c r="A219" s="5" t="s">
        <v>445</v>
      </c>
      <c r="B219">
        <v>2006</v>
      </c>
      <c r="C219" t="s">
        <v>446</v>
      </c>
      <c r="D219">
        <v>325</v>
      </c>
      <c r="E219" t="s">
        <v>447</v>
      </c>
      <c r="F219" t="s">
        <v>2739</v>
      </c>
      <c r="G219" t="s">
        <v>2740</v>
      </c>
      <c r="H219" t="s">
        <v>2741</v>
      </c>
      <c r="I219" t="s">
        <v>2742</v>
      </c>
      <c r="J219">
        <v>104.80405405404299</v>
      </c>
      <c r="K219">
        <v>1</v>
      </c>
      <c r="L219">
        <v>1</v>
      </c>
      <c r="M219">
        <v>1</v>
      </c>
      <c r="N219" s="6">
        <v>633570.49277731602</v>
      </c>
      <c r="O219" s="6">
        <v>170726.56410704201</v>
      </c>
      <c r="P219" s="6">
        <v>518230.282060995</v>
      </c>
      <c r="Q219" s="6">
        <v>155080.97277314801</v>
      </c>
      <c r="R219" s="6">
        <v>553044.07329813996</v>
      </c>
      <c r="S219" s="6">
        <v>136384.13456604999</v>
      </c>
      <c r="T219" s="6">
        <v>701199.28</v>
      </c>
      <c r="U219" s="6">
        <v>1329453.1050166399</v>
      </c>
      <c r="V219" s="6">
        <v>1834952.10402694</v>
      </c>
      <c r="W219" s="6">
        <v>140074.05767441599</v>
      </c>
      <c r="X219" s="6">
        <v>0</v>
      </c>
      <c r="Y219" s="6">
        <v>0</v>
      </c>
      <c r="Z219" s="6">
        <v>0</v>
      </c>
      <c r="AA219" s="6">
        <v>55626.223315288298</v>
      </c>
      <c r="AB219" s="6">
        <v>0</v>
      </c>
      <c r="AC219" s="6">
        <v>136384.13456604999</v>
      </c>
      <c r="AD219" s="6">
        <v>0</v>
      </c>
      <c r="AE219" s="6">
        <v>0</v>
      </c>
      <c r="AF219" s="6">
        <v>0</v>
      </c>
      <c r="AG219" s="6">
        <v>0</v>
      </c>
      <c r="AH219" s="6">
        <v>0</v>
      </c>
      <c r="AI219" s="6">
        <v>0</v>
      </c>
      <c r="AJ219" s="6">
        <v>2167036.5195826902</v>
      </c>
      <c r="AK219" s="6">
        <v>20677.029520873701</v>
      </c>
      <c r="AL219" s="6">
        <v>330.98244656580999</v>
      </c>
      <c r="AM219" s="6">
        <v>93035.839999999997</v>
      </c>
      <c r="AN219" s="6">
        <v>20677.029520873701</v>
      </c>
      <c r="AO219" s="6">
        <v>32823.439830197298</v>
      </c>
      <c r="AP219" s="6">
        <v>330.98244656580999</v>
      </c>
      <c r="AQ219" s="6">
        <v>93035.839999999997</v>
      </c>
      <c r="AR219" s="6">
        <v>20677.029520873701</v>
      </c>
      <c r="AS219" s="6">
        <v>20677.029520873701</v>
      </c>
      <c r="AT219" s="6">
        <v>0</v>
      </c>
      <c r="AU219" t="s">
        <v>2973</v>
      </c>
      <c r="AV219" t="s">
        <v>2973</v>
      </c>
    </row>
    <row r="220" spans="1:48" x14ac:dyDescent="0.45">
      <c r="A220" s="5" t="s">
        <v>448</v>
      </c>
      <c r="B220">
        <v>2006</v>
      </c>
      <c r="C220" t="s">
        <v>446</v>
      </c>
      <c r="D220">
        <v>326</v>
      </c>
      <c r="E220" t="s">
        <v>449</v>
      </c>
      <c r="F220" t="s">
        <v>2739</v>
      </c>
      <c r="G220" t="s">
        <v>2744</v>
      </c>
      <c r="H220" t="s">
        <v>2745</v>
      </c>
      <c r="I220" t="s">
        <v>2742</v>
      </c>
      <c r="J220">
        <v>36.362404324219</v>
      </c>
      <c r="K220">
        <v>1</v>
      </c>
      <c r="L220">
        <v>1</v>
      </c>
      <c r="M220">
        <v>1</v>
      </c>
      <c r="N220" s="6">
        <v>489818.59722268401</v>
      </c>
      <c r="O220" s="6">
        <v>212654.99589295799</v>
      </c>
      <c r="P220" s="6">
        <v>181387.997939005</v>
      </c>
      <c r="Q220" s="6">
        <v>53806.287226852299</v>
      </c>
      <c r="R220" s="6">
        <v>208552.00670185999</v>
      </c>
      <c r="S220" s="6">
        <v>47319.305433949601</v>
      </c>
      <c r="T220" s="6">
        <v>684958.04</v>
      </c>
      <c r="U220" s="6">
        <v>461261.84498335898</v>
      </c>
      <c r="V220" s="6">
        <v>937233.09597306303</v>
      </c>
      <c r="W220" s="6">
        <v>189686.932325584</v>
      </c>
      <c r="X220" s="6">
        <v>0</v>
      </c>
      <c r="Y220" s="6">
        <v>0</v>
      </c>
      <c r="Z220" s="6">
        <v>0</v>
      </c>
      <c r="AA220" s="6">
        <v>19299.8566847117</v>
      </c>
      <c r="AB220" s="6">
        <v>0</v>
      </c>
      <c r="AC220" s="6">
        <v>47319.305433949601</v>
      </c>
      <c r="AD220" s="6">
        <v>0</v>
      </c>
      <c r="AE220" s="6">
        <v>0</v>
      </c>
      <c r="AF220" s="6">
        <v>0</v>
      </c>
      <c r="AG220" s="6">
        <v>0</v>
      </c>
      <c r="AH220" s="6">
        <v>0</v>
      </c>
      <c r="AI220" s="6">
        <v>0</v>
      </c>
      <c r="AJ220" s="6">
        <v>1193539.19041731</v>
      </c>
      <c r="AK220" s="6">
        <v>32823.439830197298</v>
      </c>
      <c r="AL220" s="6">
        <v>330.98244656580999</v>
      </c>
      <c r="AM220" s="6">
        <v>93035.839999999997</v>
      </c>
      <c r="AN220" s="6">
        <v>20677.029520873701</v>
      </c>
      <c r="AO220" s="6">
        <v>32823.439830197298</v>
      </c>
      <c r="AP220" s="6">
        <v>330.98244656580999</v>
      </c>
      <c r="AQ220" s="6">
        <v>40734.411818744898</v>
      </c>
      <c r="AR220" s="6">
        <v>32823.439830197298</v>
      </c>
      <c r="AS220" s="6">
        <v>32823.439830197298</v>
      </c>
      <c r="AT220" s="6">
        <v>0</v>
      </c>
      <c r="AU220" t="s">
        <v>2973</v>
      </c>
      <c r="AV220" t="s">
        <v>2973</v>
      </c>
    </row>
    <row r="221" spans="1:48" x14ac:dyDescent="0.45">
      <c r="A221" s="5" t="s">
        <v>450</v>
      </c>
      <c r="B221">
        <v>1965</v>
      </c>
      <c r="C221" t="s">
        <v>451</v>
      </c>
      <c r="D221">
        <v>192</v>
      </c>
      <c r="E221" t="s">
        <v>452</v>
      </c>
      <c r="F221" t="s">
        <v>2739</v>
      </c>
      <c r="G221" t="s">
        <v>2740</v>
      </c>
      <c r="H221" t="s">
        <v>2741</v>
      </c>
      <c r="I221" t="s">
        <v>2742</v>
      </c>
      <c r="J221">
        <v>586.359649122733</v>
      </c>
      <c r="K221">
        <v>1</v>
      </c>
      <c r="L221">
        <v>1</v>
      </c>
      <c r="M221">
        <v>3</v>
      </c>
      <c r="N221" s="6">
        <v>3463021.2607768299</v>
      </c>
      <c r="O221" s="6">
        <v>1230135.3467788401</v>
      </c>
      <c r="P221" s="6">
        <v>1326158.1760450599</v>
      </c>
      <c r="Q221" s="6">
        <v>253233.60336044</v>
      </c>
      <c r="R221" s="6">
        <v>220335.96845616901</v>
      </c>
      <c r="S221" s="6">
        <v>355372.20169261697</v>
      </c>
      <c r="T221" s="6">
        <v>3724069.74</v>
      </c>
      <c r="U221" s="6">
        <v>2768814.6154173398</v>
      </c>
      <c r="V221" s="6">
        <v>5443940.4865276702</v>
      </c>
      <c r="W221" s="6">
        <v>1048943.8688896699</v>
      </c>
      <c r="X221" s="6">
        <v>0</v>
      </c>
      <c r="Y221" s="6">
        <v>0</v>
      </c>
      <c r="Z221" s="6">
        <v>0</v>
      </c>
      <c r="AA221" s="6">
        <v>0</v>
      </c>
      <c r="AB221" s="6">
        <v>0</v>
      </c>
      <c r="AC221" s="6">
        <v>328936.72105249797</v>
      </c>
      <c r="AD221" s="6">
        <v>26435.480640118902</v>
      </c>
      <c r="AE221" s="6">
        <v>0</v>
      </c>
      <c r="AF221" s="6">
        <v>0</v>
      </c>
      <c r="AG221" s="6">
        <v>0</v>
      </c>
      <c r="AH221" s="6">
        <v>0</v>
      </c>
      <c r="AI221" s="6">
        <v>0</v>
      </c>
      <c r="AJ221" s="6">
        <v>6848256.5571099604</v>
      </c>
      <c r="AK221" s="6">
        <v>11679.276647627101</v>
      </c>
      <c r="AL221" s="6">
        <v>330.98244656580999</v>
      </c>
      <c r="AM221" s="6">
        <v>93035.839999999997</v>
      </c>
      <c r="AN221" s="6">
        <v>5328.1067716445496</v>
      </c>
      <c r="AO221" s="6">
        <v>15441.1194902675</v>
      </c>
      <c r="AP221" s="6">
        <v>330.98244656580999</v>
      </c>
      <c r="AQ221" s="6">
        <v>93035.839999999997</v>
      </c>
      <c r="AR221" s="6">
        <v>5328.1067716445496</v>
      </c>
      <c r="AS221" s="6">
        <v>12705.2546565545</v>
      </c>
      <c r="AT221" s="6">
        <v>0</v>
      </c>
      <c r="AU221" t="s">
        <v>2973</v>
      </c>
      <c r="AV221" t="s">
        <v>2973</v>
      </c>
    </row>
    <row r="222" spans="1:48" x14ac:dyDescent="0.45">
      <c r="A222" s="5" t="s">
        <v>453</v>
      </c>
      <c r="B222">
        <v>1965</v>
      </c>
      <c r="C222" t="s">
        <v>451</v>
      </c>
      <c r="D222">
        <v>1965</v>
      </c>
      <c r="E222" t="s">
        <v>451</v>
      </c>
      <c r="F222" t="s">
        <v>1</v>
      </c>
      <c r="G222" t="s">
        <v>1</v>
      </c>
      <c r="H222" t="s">
        <v>2743</v>
      </c>
      <c r="I222" t="s">
        <v>2742</v>
      </c>
      <c r="J222">
        <v>14.740200280570701</v>
      </c>
      <c r="K222">
        <v>1</v>
      </c>
      <c r="L222">
        <v>2</v>
      </c>
      <c r="M222">
        <v>3</v>
      </c>
      <c r="N222" s="6">
        <v>17183.5755027671</v>
      </c>
      <c r="O222" s="6">
        <v>13933.552861898301</v>
      </c>
      <c r="P222" s="6">
        <v>26581.882278852499</v>
      </c>
      <c r="Q222" s="6">
        <v>6365.9121784524104</v>
      </c>
      <c r="R222" s="6">
        <v>5538.9150820943296</v>
      </c>
      <c r="S222" s="6">
        <v>8933.5230262410205</v>
      </c>
      <c r="T222" s="6">
        <v>0</v>
      </c>
      <c r="U222" s="6">
        <v>69603.837904064596</v>
      </c>
      <c r="V222" s="6">
        <v>52765.051515425403</v>
      </c>
      <c r="W222" s="6">
        <v>16838.786388639299</v>
      </c>
      <c r="X222" s="6">
        <v>0</v>
      </c>
      <c r="Y222" s="6">
        <v>0</v>
      </c>
      <c r="Z222" s="6">
        <v>0</v>
      </c>
      <c r="AA222" s="6">
        <v>0</v>
      </c>
      <c r="AB222" s="6">
        <v>0</v>
      </c>
      <c r="AC222" s="6">
        <v>8268.9747754678192</v>
      </c>
      <c r="AD222" s="6">
        <v>664.54825077320299</v>
      </c>
      <c r="AE222" s="6">
        <v>0</v>
      </c>
      <c r="AF222" s="6">
        <v>0</v>
      </c>
      <c r="AG222" s="6">
        <v>0</v>
      </c>
      <c r="AH222" s="6">
        <v>0</v>
      </c>
      <c r="AI222" s="6">
        <v>0</v>
      </c>
      <c r="AJ222" s="6">
        <v>78537.3609303056</v>
      </c>
      <c r="AK222" s="6">
        <v>5328.1067716445496</v>
      </c>
      <c r="AL222" s="6">
        <v>330.98244656580999</v>
      </c>
      <c r="AM222" s="6">
        <v>93035.839999999997</v>
      </c>
      <c r="AN222" s="6">
        <v>5328.1067716445496</v>
      </c>
      <c r="AO222" s="6">
        <v>15441.1194902675</v>
      </c>
      <c r="AP222" s="6">
        <v>634.54287297753501</v>
      </c>
      <c r="AQ222" s="6">
        <v>40331.279999999999</v>
      </c>
      <c r="AR222" s="6">
        <v>5328.1067716445496</v>
      </c>
      <c r="AS222" s="6">
        <v>5328.1067716445496</v>
      </c>
      <c r="AT222" s="6">
        <v>0</v>
      </c>
      <c r="AU222" t="s">
        <v>2973</v>
      </c>
      <c r="AV222" t="s">
        <v>2977</v>
      </c>
    </row>
    <row r="223" spans="1:48" x14ac:dyDescent="0.45">
      <c r="A223" s="5" t="s">
        <v>454</v>
      </c>
      <c r="B223">
        <v>1965</v>
      </c>
      <c r="C223" t="s">
        <v>451</v>
      </c>
      <c r="D223">
        <v>3227</v>
      </c>
      <c r="E223" t="s">
        <v>455</v>
      </c>
      <c r="F223" t="s">
        <v>2750</v>
      </c>
      <c r="G223" t="s">
        <v>2744</v>
      </c>
      <c r="H223" t="s">
        <v>2745</v>
      </c>
      <c r="I223" t="s">
        <v>2742</v>
      </c>
      <c r="J223">
        <v>65.532847303611703</v>
      </c>
      <c r="K223">
        <v>1</v>
      </c>
      <c r="L223">
        <v>1</v>
      </c>
      <c r="M223">
        <v>3</v>
      </c>
      <c r="N223" s="6">
        <v>76395.748233979801</v>
      </c>
      <c r="O223" s="6">
        <v>61946.606878819701</v>
      </c>
      <c r="P223" s="6">
        <v>118179.291954314</v>
      </c>
      <c r="Q223" s="6">
        <v>28301.945889338502</v>
      </c>
      <c r="R223" s="6">
        <v>24625.2336734536</v>
      </c>
      <c r="S223" s="6">
        <v>39717.180853616199</v>
      </c>
      <c r="T223" s="6">
        <v>0</v>
      </c>
      <c r="U223" s="6">
        <v>309448.82662990497</v>
      </c>
      <c r="V223" s="6">
        <v>234585.96207036701</v>
      </c>
      <c r="W223" s="6">
        <v>74862.864559538197</v>
      </c>
      <c r="X223" s="6">
        <v>0</v>
      </c>
      <c r="Y223" s="6">
        <v>0</v>
      </c>
      <c r="Z223" s="6">
        <v>0</v>
      </c>
      <c r="AA223" s="6">
        <v>0</v>
      </c>
      <c r="AB223" s="6">
        <v>0</v>
      </c>
      <c r="AC223" s="6">
        <v>36762.693247283903</v>
      </c>
      <c r="AD223" s="6">
        <v>2954.48760633233</v>
      </c>
      <c r="AE223" s="6">
        <v>0</v>
      </c>
      <c r="AF223" s="6">
        <v>0</v>
      </c>
      <c r="AG223" s="6">
        <v>0</v>
      </c>
      <c r="AH223" s="6">
        <v>0</v>
      </c>
      <c r="AI223" s="6">
        <v>0</v>
      </c>
      <c r="AJ223" s="6">
        <v>349166.007483522</v>
      </c>
      <c r="AK223" s="6">
        <v>5328.1067716445496</v>
      </c>
      <c r="AL223" s="6">
        <v>330.98244656580999</v>
      </c>
      <c r="AM223" s="6">
        <v>93035.839999999997</v>
      </c>
      <c r="AN223" s="6">
        <v>5328.1067716445496</v>
      </c>
      <c r="AO223" s="6">
        <v>15441.1194902675</v>
      </c>
      <c r="AP223" s="6">
        <v>330.98244656580999</v>
      </c>
      <c r="AQ223" s="6">
        <v>40734.411818744898</v>
      </c>
      <c r="AR223" s="6">
        <v>5328.1067716445496</v>
      </c>
      <c r="AS223" s="6">
        <v>15441.1194902675</v>
      </c>
      <c r="AT223" s="6">
        <v>0</v>
      </c>
      <c r="AU223" t="s">
        <v>2973</v>
      </c>
      <c r="AV223" t="s">
        <v>2976</v>
      </c>
    </row>
    <row r="224" spans="1:48" x14ac:dyDescent="0.45">
      <c r="A224" s="5" t="s">
        <v>2752</v>
      </c>
      <c r="B224">
        <v>1965</v>
      </c>
      <c r="C224" t="s">
        <v>451</v>
      </c>
      <c r="D224">
        <v>3615</v>
      </c>
      <c r="E224" t="s">
        <v>1542</v>
      </c>
      <c r="F224" t="s">
        <v>3</v>
      </c>
      <c r="G224" t="s">
        <v>2740</v>
      </c>
      <c r="H224" t="s">
        <v>2741</v>
      </c>
      <c r="I224" t="s">
        <v>2742</v>
      </c>
      <c r="J224">
        <v>210.45953249343401</v>
      </c>
      <c r="K224">
        <v>1</v>
      </c>
      <c r="L224">
        <v>1</v>
      </c>
      <c r="M224">
        <v>3</v>
      </c>
      <c r="N224" s="6">
        <v>245345.87034376201</v>
      </c>
      <c r="O224" s="6">
        <v>198942.27795215001</v>
      </c>
      <c r="P224" s="6">
        <v>379534.226856936</v>
      </c>
      <c r="Q224" s="6">
        <v>90892.041863048493</v>
      </c>
      <c r="R224" s="6">
        <v>79084.236069366903</v>
      </c>
      <c r="S224" s="6">
        <v>127552.20715014701</v>
      </c>
      <c r="T224" s="6">
        <v>0</v>
      </c>
      <c r="U224" s="6">
        <v>993798.65308526403</v>
      </c>
      <c r="V224" s="6">
        <v>753375.65721993195</v>
      </c>
      <c r="W224" s="6">
        <v>240422.99586533199</v>
      </c>
      <c r="X224" s="6">
        <v>0</v>
      </c>
      <c r="Y224" s="6">
        <v>0</v>
      </c>
      <c r="Z224" s="6">
        <v>0</v>
      </c>
      <c r="AA224" s="6">
        <v>0</v>
      </c>
      <c r="AB224" s="6">
        <v>0</v>
      </c>
      <c r="AC224" s="6">
        <v>118063.83443370499</v>
      </c>
      <c r="AD224" s="6">
        <v>9488.3727164419906</v>
      </c>
      <c r="AE224" s="6">
        <v>0</v>
      </c>
      <c r="AF224" s="6">
        <v>0</v>
      </c>
      <c r="AG224" s="6">
        <v>0</v>
      </c>
      <c r="AH224" s="6">
        <v>0</v>
      </c>
      <c r="AI224" s="6">
        <v>0</v>
      </c>
      <c r="AJ224" s="6">
        <v>1121350.86023541</v>
      </c>
      <c r="AK224" s="6">
        <v>5328.1067716445496</v>
      </c>
      <c r="AL224" s="6">
        <v>330.98244656580999</v>
      </c>
      <c r="AM224" s="6">
        <v>93035.839999999997</v>
      </c>
      <c r="AN224" s="6">
        <v>5328.1067716445496</v>
      </c>
      <c r="AO224" s="6">
        <v>15441.1194902675</v>
      </c>
      <c r="AP224" s="6">
        <v>330.98244656580999</v>
      </c>
      <c r="AQ224" s="6">
        <v>93035.839999999997</v>
      </c>
      <c r="AR224" s="6">
        <v>5328.1067716445496</v>
      </c>
      <c r="AS224" s="6">
        <v>12705.2546565545</v>
      </c>
      <c r="AT224" s="6">
        <v>0</v>
      </c>
      <c r="AU224" t="s">
        <v>2973</v>
      </c>
      <c r="AV224" t="s">
        <v>2976</v>
      </c>
    </row>
    <row r="225" spans="1:48" x14ac:dyDescent="0.45">
      <c r="A225" s="5" t="s">
        <v>456</v>
      </c>
      <c r="B225">
        <v>1965</v>
      </c>
      <c r="C225" t="s">
        <v>451</v>
      </c>
      <c r="D225">
        <v>196</v>
      </c>
      <c r="E225" t="s">
        <v>457</v>
      </c>
      <c r="F225" t="s">
        <v>2739</v>
      </c>
      <c r="G225" t="s">
        <v>2740</v>
      </c>
      <c r="H225" t="s">
        <v>2741</v>
      </c>
      <c r="I225" t="s">
        <v>2742</v>
      </c>
      <c r="J225">
        <v>366.895959282109</v>
      </c>
      <c r="K225">
        <v>1</v>
      </c>
      <c r="L225">
        <v>1</v>
      </c>
      <c r="M225">
        <v>3</v>
      </c>
      <c r="N225" s="6">
        <v>2376515.4097595899</v>
      </c>
      <c r="O225" s="6">
        <v>812562.22785628703</v>
      </c>
      <c r="P225" s="6">
        <v>953744.92523150297</v>
      </c>
      <c r="Q225" s="6">
        <v>158452.89826201301</v>
      </c>
      <c r="R225" s="6">
        <v>137868.246275176</v>
      </c>
      <c r="S225" s="6">
        <v>222362.88775545801</v>
      </c>
      <c r="T225" s="6">
        <v>2706645.75</v>
      </c>
      <c r="U225" s="6">
        <v>1732497.95738457</v>
      </c>
      <c r="V225" s="6">
        <v>3709521.3581237602</v>
      </c>
      <c r="W225" s="6">
        <v>729622.34926081705</v>
      </c>
      <c r="X225" s="6">
        <v>0</v>
      </c>
      <c r="Y225" s="6">
        <v>0</v>
      </c>
      <c r="Z225" s="6">
        <v>0</v>
      </c>
      <c r="AA225" s="6">
        <v>0</v>
      </c>
      <c r="AB225" s="6">
        <v>0</v>
      </c>
      <c r="AC225" s="6">
        <v>205821.723909939</v>
      </c>
      <c r="AD225" s="6">
        <v>16541.1638455188</v>
      </c>
      <c r="AE225" s="6">
        <v>0</v>
      </c>
      <c r="AF225" s="6">
        <v>0</v>
      </c>
      <c r="AG225" s="6">
        <v>0</v>
      </c>
      <c r="AH225" s="6">
        <v>0</v>
      </c>
      <c r="AI225" s="6">
        <v>0</v>
      </c>
      <c r="AJ225" s="6">
        <v>4661506.5951400399</v>
      </c>
      <c r="AK225" s="6">
        <v>12705.2546565545</v>
      </c>
      <c r="AL225" s="6">
        <v>330.98244656580999</v>
      </c>
      <c r="AM225" s="6">
        <v>93035.839999999997</v>
      </c>
      <c r="AN225" s="6">
        <v>5328.1067716445496</v>
      </c>
      <c r="AO225" s="6">
        <v>15441.1194902675</v>
      </c>
      <c r="AP225" s="6">
        <v>330.98244656580999</v>
      </c>
      <c r="AQ225" s="6">
        <v>93035.839999999997</v>
      </c>
      <c r="AR225" s="6">
        <v>5328.1067716445496</v>
      </c>
      <c r="AS225" s="6">
        <v>12705.2546565545</v>
      </c>
      <c r="AT225" s="6">
        <v>0</v>
      </c>
      <c r="AU225" t="s">
        <v>2973</v>
      </c>
      <c r="AV225" t="s">
        <v>2973</v>
      </c>
    </row>
    <row r="226" spans="1:48" x14ac:dyDescent="0.45">
      <c r="A226" s="5" t="s">
        <v>458</v>
      </c>
      <c r="B226">
        <v>1965</v>
      </c>
      <c r="C226" t="s">
        <v>451</v>
      </c>
      <c r="D226">
        <v>201</v>
      </c>
      <c r="E226" t="s">
        <v>459</v>
      </c>
      <c r="F226" t="s">
        <v>2739</v>
      </c>
      <c r="G226" t="s">
        <v>2744</v>
      </c>
      <c r="H226" t="s">
        <v>2745</v>
      </c>
      <c r="I226" t="s">
        <v>2742</v>
      </c>
      <c r="J226">
        <v>968.06993349980803</v>
      </c>
      <c r="K226">
        <v>1</v>
      </c>
      <c r="L226">
        <v>1</v>
      </c>
      <c r="M226">
        <v>3</v>
      </c>
      <c r="N226" s="6">
        <v>6446701.0179820796</v>
      </c>
      <c r="O226" s="6">
        <v>3986987.4958814499</v>
      </c>
      <c r="P226" s="6">
        <v>3046015.60725406</v>
      </c>
      <c r="Q226" s="6">
        <v>517894.87639569299</v>
      </c>
      <c r="R226" s="6">
        <v>363770.98364477098</v>
      </c>
      <c r="S226" s="6">
        <v>586713.53694777004</v>
      </c>
      <c r="T226" s="6">
        <v>9790103.5500000007</v>
      </c>
      <c r="U226" s="6">
        <v>4571266.43115805</v>
      </c>
      <c r="V226" s="6">
        <v>11606562.338535</v>
      </c>
      <c r="W226" s="6">
        <v>2754807.6426229998</v>
      </c>
      <c r="X226" s="6">
        <v>0</v>
      </c>
      <c r="Y226" s="6">
        <v>0</v>
      </c>
      <c r="Z226" s="6">
        <v>0</v>
      </c>
      <c r="AA226" s="6">
        <v>0</v>
      </c>
      <c r="AB226" s="6">
        <v>0</v>
      </c>
      <c r="AC226" s="6">
        <v>543069.002362889</v>
      </c>
      <c r="AD226" s="6">
        <v>43644.534584880203</v>
      </c>
      <c r="AE226" s="6">
        <v>0</v>
      </c>
      <c r="AF226" s="6">
        <v>0</v>
      </c>
      <c r="AG226" s="6">
        <v>0</v>
      </c>
      <c r="AH226" s="6">
        <v>0</v>
      </c>
      <c r="AI226" s="6">
        <v>0</v>
      </c>
      <c r="AJ226" s="6">
        <v>14948083.518105799</v>
      </c>
      <c r="AK226" s="6">
        <v>15441.1194902675</v>
      </c>
      <c r="AL226" s="6">
        <v>330.98244656580999</v>
      </c>
      <c r="AM226" s="6">
        <v>93035.839999999997</v>
      </c>
      <c r="AN226" s="6">
        <v>5328.1067716445496</v>
      </c>
      <c r="AO226" s="6">
        <v>15441.1194902675</v>
      </c>
      <c r="AP226" s="6">
        <v>330.98244656580999</v>
      </c>
      <c r="AQ226" s="6">
        <v>40734.411818744898</v>
      </c>
      <c r="AR226" s="6">
        <v>5328.1067716445496</v>
      </c>
      <c r="AS226" s="6">
        <v>15441.1194902675</v>
      </c>
      <c r="AT226" s="6">
        <v>0</v>
      </c>
      <c r="AU226" t="s">
        <v>2973</v>
      </c>
      <c r="AV226" t="s">
        <v>2973</v>
      </c>
    </row>
    <row r="227" spans="1:48" x14ac:dyDescent="0.45">
      <c r="A227" s="5" t="s">
        <v>460</v>
      </c>
      <c r="B227">
        <v>1965</v>
      </c>
      <c r="C227" t="s">
        <v>451</v>
      </c>
      <c r="D227">
        <v>197</v>
      </c>
      <c r="E227" t="s">
        <v>461</v>
      </c>
      <c r="F227" t="s">
        <v>2739</v>
      </c>
      <c r="G227" t="s">
        <v>2740</v>
      </c>
      <c r="H227" t="s">
        <v>2741</v>
      </c>
      <c r="I227" t="s">
        <v>2742</v>
      </c>
      <c r="J227">
        <v>481.93567251455102</v>
      </c>
      <c r="K227">
        <v>1</v>
      </c>
      <c r="L227">
        <v>1</v>
      </c>
      <c r="M227">
        <v>3</v>
      </c>
      <c r="N227" s="6">
        <v>2963860.6651000399</v>
      </c>
      <c r="O227" s="6">
        <v>1131058.3511522701</v>
      </c>
      <c r="P227" s="6">
        <v>1216257.69112946</v>
      </c>
      <c r="Q227" s="6">
        <v>208135.58218302901</v>
      </c>
      <c r="R227" s="6">
        <v>181096.64144853599</v>
      </c>
      <c r="S227" s="6">
        <v>292084.45920851501</v>
      </c>
      <c r="T227" s="6">
        <v>3424688.67</v>
      </c>
      <c r="U227" s="6">
        <v>2275720.26101333</v>
      </c>
      <c r="V227" s="6">
        <v>4822744.2988462299</v>
      </c>
      <c r="W227" s="6">
        <v>877664.63216710999</v>
      </c>
      <c r="X227" s="6">
        <v>0</v>
      </c>
      <c r="Y227" s="6">
        <v>0</v>
      </c>
      <c r="Z227" s="6">
        <v>0</v>
      </c>
      <c r="AA227" s="6">
        <v>0</v>
      </c>
      <c r="AB227" s="6">
        <v>0</v>
      </c>
      <c r="AC227" s="6">
        <v>270356.83664853498</v>
      </c>
      <c r="AD227" s="6">
        <v>21727.622559979998</v>
      </c>
      <c r="AE227" s="6">
        <v>0</v>
      </c>
      <c r="AF227" s="6">
        <v>0</v>
      </c>
      <c r="AG227" s="6">
        <v>0</v>
      </c>
      <c r="AH227" s="6">
        <v>0</v>
      </c>
      <c r="AI227" s="6">
        <v>0</v>
      </c>
      <c r="AJ227" s="6">
        <v>5992493.39022185</v>
      </c>
      <c r="AK227" s="6">
        <v>12434.218365607499</v>
      </c>
      <c r="AL227" s="6">
        <v>330.98244656580999</v>
      </c>
      <c r="AM227" s="6">
        <v>93035.839999999997</v>
      </c>
      <c r="AN227" s="6">
        <v>5328.1067716445496</v>
      </c>
      <c r="AO227" s="6">
        <v>15441.1194902675</v>
      </c>
      <c r="AP227" s="6">
        <v>330.98244656580999</v>
      </c>
      <c r="AQ227" s="6">
        <v>93035.839999999997</v>
      </c>
      <c r="AR227" s="6">
        <v>5328.1067716445496</v>
      </c>
      <c r="AS227" s="6">
        <v>12705.2546565545</v>
      </c>
      <c r="AT227" s="6">
        <v>0</v>
      </c>
      <c r="AU227" t="s">
        <v>2973</v>
      </c>
      <c r="AV227" t="s">
        <v>2973</v>
      </c>
    </row>
    <row r="228" spans="1:48" x14ac:dyDescent="0.45">
      <c r="A228" s="5" t="s">
        <v>462</v>
      </c>
      <c r="B228">
        <v>1965</v>
      </c>
      <c r="C228" t="s">
        <v>451</v>
      </c>
      <c r="D228">
        <v>4079</v>
      </c>
      <c r="E228" t="s">
        <v>463</v>
      </c>
      <c r="F228" t="s">
        <v>3</v>
      </c>
      <c r="G228" t="s">
        <v>2748</v>
      </c>
      <c r="H228" t="s">
        <v>2745</v>
      </c>
      <c r="I228" t="s">
        <v>2742</v>
      </c>
      <c r="J228">
        <v>78.538011695874005</v>
      </c>
      <c r="K228">
        <v>1</v>
      </c>
      <c r="L228">
        <v>1</v>
      </c>
      <c r="M228">
        <v>3</v>
      </c>
      <c r="N228" s="6">
        <v>91556.683635577094</v>
      </c>
      <c r="O228" s="6">
        <v>74240.072509413498</v>
      </c>
      <c r="P228" s="6">
        <v>141632.280537374</v>
      </c>
      <c r="Q228" s="6">
        <v>33918.540834564898</v>
      </c>
      <c r="R228" s="6">
        <v>29512.175494208001</v>
      </c>
      <c r="S228" s="6">
        <v>47599.158937147899</v>
      </c>
      <c r="T228" s="6">
        <v>0</v>
      </c>
      <c r="U228" s="6">
        <v>370859.75301113701</v>
      </c>
      <c r="V228" s="6">
        <v>281140.15781144</v>
      </c>
      <c r="W228" s="6">
        <v>89719.595199697796</v>
      </c>
      <c r="X228" s="6">
        <v>0</v>
      </c>
      <c r="Y228" s="6">
        <v>0</v>
      </c>
      <c r="Z228" s="6">
        <v>0</v>
      </c>
      <c r="AA228" s="6">
        <v>0</v>
      </c>
      <c r="AB228" s="6">
        <v>0</v>
      </c>
      <c r="AC228" s="6">
        <v>44058.3455629569</v>
      </c>
      <c r="AD228" s="6">
        <v>3540.8133741909801</v>
      </c>
      <c r="AE228" s="6">
        <v>0</v>
      </c>
      <c r="AF228" s="6">
        <v>0</v>
      </c>
      <c r="AG228" s="6">
        <v>0</v>
      </c>
      <c r="AH228" s="6">
        <v>0</v>
      </c>
      <c r="AI228" s="6">
        <v>0</v>
      </c>
      <c r="AJ228" s="6">
        <v>418458.91194828501</v>
      </c>
      <c r="AK228" s="6">
        <v>5328.1067716445496</v>
      </c>
      <c r="AL228" s="6">
        <v>330.98244656580999</v>
      </c>
      <c r="AM228" s="6">
        <v>93035.839999999997</v>
      </c>
      <c r="AN228" s="6">
        <v>5328.1067716445496</v>
      </c>
      <c r="AO228" s="6">
        <v>15441.1194902675</v>
      </c>
      <c r="AP228" s="6">
        <v>330.98244656580999</v>
      </c>
      <c r="AQ228" s="6">
        <v>56162.493707719797</v>
      </c>
      <c r="AR228" s="6">
        <v>5328.1067716445496</v>
      </c>
      <c r="AS228" s="6">
        <v>5328.1067716445496</v>
      </c>
      <c r="AT228" s="6">
        <v>0</v>
      </c>
      <c r="AU228" t="s">
        <v>2973</v>
      </c>
      <c r="AV228" t="s">
        <v>2976</v>
      </c>
    </row>
    <row r="229" spans="1:48" x14ac:dyDescent="0.45">
      <c r="A229" s="5" t="s">
        <v>464</v>
      </c>
      <c r="B229">
        <v>1965</v>
      </c>
      <c r="C229" t="s">
        <v>451</v>
      </c>
      <c r="D229">
        <v>199</v>
      </c>
      <c r="E229" t="s">
        <v>465</v>
      </c>
      <c r="F229" t="s">
        <v>2739</v>
      </c>
      <c r="G229" t="s">
        <v>2740</v>
      </c>
      <c r="H229" t="s">
        <v>2741</v>
      </c>
      <c r="I229" t="s">
        <v>2742</v>
      </c>
      <c r="J229">
        <v>440.84652382065002</v>
      </c>
      <c r="K229">
        <v>1</v>
      </c>
      <c r="L229">
        <v>2</v>
      </c>
      <c r="M229">
        <v>3</v>
      </c>
      <c r="N229" s="6">
        <v>2448051.6386653502</v>
      </c>
      <c r="O229" s="6">
        <v>1030732.84812888</v>
      </c>
      <c r="P229" s="6">
        <v>1448472.0587124201</v>
      </c>
      <c r="Q229" s="6">
        <v>190390.239033416</v>
      </c>
      <c r="R229" s="6">
        <v>165656.599856221</v>
      </c>
      <c r="S229" s="6">
        <v>267181.75442848197</v>
      </c>
      <c r="T229" s="6">
        <v>3201607.79</v>
      </c>
      <c r="U229" s="6">
        <v>2081695.5943962799</v>
      </c>
      <c r="V229" s="6">
        <v>4204379.2493500998</v>
      </c>
      <c r="W229" s="6">
        <v>1078924.1350461801</v>
      </c>
      <c r="X229" s="6">
        <v>0</v>
      </c>
      <c r="Y229" s="6">
        <v>0</v>
      </c>
      <c r="Z229" s="6">
        <v>0</v>
      </c>
      <c r="AA229" s="6">
        <v>0</v>
      </c>
      <c r="AB229" s="6">
        <v>0</v>
      </c>
      <c r="AC229" s="6">
        <v>247306.598006719</v>
      </c>
      <c r="AD229" s="6">
        <v>19875.1564217632</v>
      </c>
      <c r="AE229" s="6">
        <v>0</v>
      </c>
      <c r="AF229" s="6">
        <v>0</v>
      </c>
      <c r="AG229" s="6">
        <v>0</v>
      </c>
      <c r="AH229" s="6">
        <v>0</v>
      </c>
      <c r="AI229" s="6">
        <v>0</v>
      </c>
      <c r="AJ229" s="6">
        <v>5550485.13882476</v>
      </c>
      <c r="AK229" s="6">
        <v>12590.515834673701</v>
      </c>
      <c r="AL229" s="6">
        <v>330.98244656580999</v>
      </c>
      <c r="AM229" s="6">
        <v>93035.839999999997</v>
      </c>
      <c r="AN229" s="6">
        <v>5328.1067716445496</v>
      </c>
      <c r="AO229" s="6">
        <v>15441.1194902675</v>
      </c>
      <c r="AP229" s="6">
        <v>330.98244656580999</v>
      </c>
      <c r="AQ229" s="6">
        <v>93035.839999999997</v>
      </c>
      <c r="AR229" s="6">
        <v>5328.1067716445496</v>
      </c>
      <c r="AS229" s="6">
        <v>12705.2546565545</v>
      </c>
      <c r="AT229" s="6">
        <v>0</v>
      </c>
      <c r="AU229" t="s">
        <v>2973</v>
      </c>
      <c r="AV229" t="s">
        <v>2973</v>
      </c>
    </row>
    <row r="230" spans="1:48" x14ac:dyDescent="0.45">
      <c r="A230" s="5" t="s">
        <v>466</v>
      </c>
      <c r="B230">
        <v>1964</v>
      </c>
      <c r="C230" t="s">
        <v>467</v>
      </c>
      <c r="D230">
        <v>191</v>
      </c>
      <c r="E230" t="s">
        <v>468</v>
      </c>
      <c r="F230" t="s">
        <v>2739</v>
      </c>
      <c r="G230" t="s">
        <v>2744</v>
      </c>
      <c r="H230" t="s">
        <v>2745</v>
      </c>
      <c r="I230" t="s">
        <v>2742</v>
      </c>
      <c r="J230">
        <v>347.67839064781703</v>
      </c>
      <c r="K230">
        <v>1</v>
      </c>
      <c r="L230">
        <v>1</v>
      </c>
      <c r="M230">
        <v>2</v>
      </c>
      <c r="N230" s="6">
        <v>2686955.1295216801</v>
      </c>
      <c r="O230" s="6">
        <v>1282166.0341740099</v>
      </c>
      <c r="P230" s="6">
        <v>952345.56267721602</v>
      </c>
      <c r="Q230" s="6">
        <v>221188.82084281399</v>
      </c>
      <c r="R230" s="6">
        <v>392747.67945937498</v>
      </c>
      <c r="S230" s="6">
        <v>150443.14139603599</v>
      </c>
      <c r="T230" s="6">
        <v>3819187.74</v>
      </c>
      <c r="U230" s="6">
        <v>1716215.4866750999</v>
      </c>
      <c r="V230" s="6">
        <v>4429847.0051288903</v>
      </c>
      <c r="W230" s="6">
        <v>1105556.2215462001</v>
      </c>
      <c r="X230" s="6">
        <v>0</v>
      </c>
      <c r="Y230" s="6">
        <v>0</v>
      </c>
      <c r="Z230" s="6">
        <v>0</v>
      </c>
      <c r="AA230" s="6">
        <v>0</v>
      </c>
      <c r="AB230" s="6">
        <v>0</v>
      </c>
      <c r="AC230" s="6">
        <v>123815.438413585</v>
      </c>
      <c r="AD230" s="6">
        <v>26627.702982450999</v>
      </c>
      <c r="AE230" s="6">
        <v>0</v>
      </c>
      <c r="AF230" s="6">
        <v>0</v>
      </c>
      <c r="AG230" s="6">
        <v>0</v>
      </c>
      <c r="AH230" s="6">
        <v>0</v>
      </c>
      <c r="AI230" s="6">
        <v>0</v>
      </c>
      <c r="AJ230" s="6">
        <v>5685846.3680711398</v>
      </c>
      <c r="AK230" s="6">
        <v>16353.7525512497</v>
      </c>
      <c r="AL230" s="6">
        <v>330.98244656580999</v>
      </c>
      <c r="AM230" s="6">
        <v>93035.839999999997</v>
      </c>
      <c r="AN230" s="6">
        <v>5368.9233449138201</v>
      </c>
      <c r="AO230" s="6">
        <v>18354.941598573001</v>
      </c>
      <c r="AP230" s="6">
        <v>330.98244656580999</v>
      </c>
      <c r="AQ230" s="6">
        <v>40734.411818744898</v>
      </c>
      <c r="AR230" s="6">
        <v>16353.7525512497</v>
      </c>
      <c r="AS230" s="6">
        <v>16353.7525512497</v>
      </c>
      <c r="AT230" s="6">
        <v>0</v>
      </c>
      <c r="AU230" t="s">
        <v>2973</v>
      </c>
      <c r="AV230" t="s">
        <v>2973</v>
      </c>
    </row>
    <row r="231" spans="1:48" x14ac:dyDescent="0.45">
      <c r="A231" s="5" t="s">
        <v>469</v>
      </c>
      <c r="B231">
        <v>1964</v>
      </c>
      <c r="C231" t="s">
        <v>467</v>
      </c>
      <c r="D231">
        <v>1964</v>
      </c>
      <c r="E231" t="s">
        <v>467</v>
      </c>
      <c r="F231" t="s">
        <v>1</v>
      </c>
      <c r="G231" t="s">
        <v>1</v>
      </c>
      <c r="H231" t="s">
        <v>2743</v>
      </c>
      <c r="I231" t="s">
        <v>2742</v>
      </c>
      <c r="J231">
        <v>7.0069930069910003</v>
      </c>
      <c r="K231">
        <v>0</v>
      </c>
      <c r="L231">
        <v>0</v>
      </c>
      <c r="M231">
        <v>2</v>
      </c>
      <c r="N231" s="6">
        <v>7893.1616246272897</v>
      </c>
      <c r="O231" s="6">
        <v>5287.7981843727403</v>
      </c>
      <c r="P231" s="6">
        <v>9427.7411718097901</v>
      </c>
      <c r="Q231" s="6">
        <v>4457.7648843299303</v>
      </c>
      <c r="R231" s="6">
        <v>7521.56214320251</v>
      </c>
      <c r="S231" s="6">
        <v>3031.9803245396201</v>
      </c>
      <c r="T231" s="6">
        <v>0</v>
      </c>
      <c r="U231" s="6">
        <v>34588.028008342197</v>
      </c>
      <c r="V231" s="6">
        <v>30056.6788627979</v>
      </c>
      <c r="W231" s="6">
        <v>4531.34914554438</v>
      </c>
      <c r="X231" s="6">
        <v>0</v>
      </c>
      <c r="Y231" s="6">
        <v>0</v>
      </c>
      <c r="Z231" s="6">
        <v>0</v>
      </c>
      <c r="AA231" s="6">
        <v>0</v>
      </c>
      <c r="AB231" s="6">
        <v>0</v>
      </c>
      <c r="AC231" s="6">
        <v>2495.3345806306602</v>
      </c>
      <c r="AD231" s="6">
        <v>536.64574390895905</v>
      </c>
      <c r="AE231" s="6">
        <v>0</v>
      </c>
      <c r="AF231" s="6">
        <v>0</v>
      </c>
      <c r="AG231" s="6">
        <v>0</v>
      </c>
      <c r="AH231" s="6">
        <v>0</v>
      </c>
      <c r="AI231" s="6">
        <v>0</v>
      </c>
      <c r="AJ231" s="6">
        <v>37620.008332881902</v>
      </c>
      <c r="AK231" s="6">
        <v>5368.9233449138201</v>
      </c>
      <c r="AL231" s="6">
        <v>330.98244656580999</v>
      </c>
      <c r="AM231" s="6">
        <v>93035.839999999997</v>
      </c>
      <c r="AN231" s="6">
        <v>5368.9233449138201</v>
      </c>
      <c r="AO231" s="6">
        <v>18354.941598573001</v>
      </c>
      <c r="AP231" s="6">
        <v>634.54287297753501</v>
      </c>
      <c r="AQ231" s="6">
        <v>40331.279999999999</v>
      </c>
      <c r="AR231" s="6">
        <v>5368.9233449138201</v>
      </c>
      <c r="AS231" s="6">
        <v>5368.9233449138201</v>
      </c>
      <c r="AT231" s="6">
        <v>0</v>
      </c>
      <c r="AU231" t="s">
        <v>2973</v>
      </c>
      <c r="AV231" t="s">
        <v>2977</v>
      </c>
    </row>
    <row r="232" spans="1:48" x14ac:dyDescent="0.45">
      <c r="A232" s="5" t="s">
        <v>470</v>
      </c>
      <c r="B232">
        <v>1964</v>
      </c>
      <c r="C232" t="s">
        <v>467</v>
      </c>
      <c r="D232">
        <v>4025</v>
      </c>
      <c r="E232" t="s">
        <v>471</v>
      </c>
      <c r="F232" t="s">
        <v>2739</v>
      </c>
      <c r="G232" t="s">
        <v>2740</v>
      </c>
      <c r="H232" t="s">
        <v>2741</v>
      </c>
      <c r="I232" t="s">
        <v>2742</v>
      </c>
      <c r="J232">
        <v>377.61257466839101</v>
      </c>
      <c r="K232">
        <v>1</v>
      </c>
      <c r="L232">
        <v>1</v>
      </c>
      <c r="M232">
        <v>2</v>
      </c>
      <c r="N232" s="6">
        <v>2929755.9750689198</v>
      </c>
      <c r="O232" s="6">
        <v>710274.56187840505</v>
      </c>
      <c r="P232" s="6">
        <v>965681.45991909096</v>
      </c>
      <c r="Q232" s="6">
        <v>240232.589579967</v>
      </c>
      <c r="R232" s="6">
        <v>405343.12558743003</v>
      </c>
      <c r="S232" s="6">
        <v>163395.89543631699</v>
      </c>
      <c r="T232" s="6">
        <v>3387310.64</v>
      </c>
      <c r="U232" s="6">
        <v>1863977.07203382</v>
      </c>
      <c r="V232" s="6">
        <v>4464951.4865321796</v>
      </c>
      <c r="W232" s="6">
        <v>786336.22550163802</v>
      </c>
      <c r="X232" s="6">
        <v>0</v>
      </c>
      <c r="Y232" s="6">
        <v>0</v>
      </c>
      <c r="Z232" s="6">
        <v>0</v>
      </c>
      <c r="AA232" s="6">
        <v>0</v>
      </c>
      <c r="AB232" s="6">
        <v>0</v>
      </c>
      <c r="AC232" s="6">
        <v>134475.61810192899</v>
      </c>
      <c r="AD232" s="6">
        <v>28920.277334387902</v>
      </c>
      <c r="AE232" s="6">
        <v>0</v>
      </c>
      <c r="AF232" s="6">
        <v>0</v>
      </c>
      <c r="AG232" s="6">
        <v>0</v>
      </c>
      <c r="AH232" s="6">
        <v>0</v>
      </c>
      <c r="AI232" s="6">
        <v>0</v>
      </c>
      <c r="AJ232" s="6">
        <v>5414683.6074701399</v>
      </c>
      <c r="AK232" s="6">
        <v>14339.2566103636</v>
      </c>
      <c r="AL232" s="6">
        <v>330.98244656580999</v>
      </c>
      <c r="AM232" s="6">
        <v>93035.839999999997</v>
      </c>
      <c r="AN232" s="6">
        <v>5368.9233449138201</v>
      </c>
      <c r="AO232" s="6">
        <v>18354.941598573001</v>
      </c>
      <c r="AP232" s="6">
        <v>330.98244656580999</v>
      </c>
      <c r="AQ232" s="6">
        <v>93035.839999999997</v>
      </c>
      <c r="AR232" s="6">
        <v>14339.2566103636</v>
      </c>
      <c r="AS232" s="6">
        <v>18354.941598573001</v>
      </c>
      <c r="AT232" s="6">
        <v>0</v>
      </c>
      <c r="AU232" t="s">
        <v>2973</v>
      </c>
      <c r="AV232" t="s">
        <v>2973</v>
      </c>
    </row>
    <row r="233" spans="1:48" x14ac:dyDescent="0.45">
      <c r="A233" s="5" t="s">
        <v>472</v>
      </c>
      <c r="B233">
        <v>1964</v>
      </c>
      <c r="C233" t="s">
        <v>467</v>
      </c>
      <c r="D233">
        <v>189</v>
      </c>
      <c r="E233" t="s">
        <v>473</v>
      </c>
      <c r="F233" t="s">
        <v>2739</v>
      </c>
      <c r="G233" t="s">
        <v>2740</v>
      </c>
      <c r="H233" t="s">
        <v>2741</v>
      </c>
      <c r="I233" t="s">
        <v>2742</v>
      </c>
      <c r="J233">
        <v>145.85557042985701</v>
      </c>
      <c r="K233">
        <v>1</v>
      </c>
      <c r="L233">
        <v>1</v>
      </c>
      <c r="M233">
        <v>2</v>
      </c>
      <c r="N233" s="6">
        <v>1302470.48394164</v>
      </c>
      <c r="O233" s="6">
        <v>583240.84073002101</v>
      </c>
      <c r="P233" s="6">
        <v>478988.05465729098</v>
      </c>
      <c r="Q233" s="6">
        <v>92791.563998625599</v>
      </c>
      <c r="R233" s="6">
        <v>156566.69498968599</v>
      </c>
      <c r="S233" s="6">
        <v>63112.838749319002</v>
      </c>
      <c r="T233" s="6">
        <v>1894083.1</v>
      </c>
      <c r="U233" s="6">
        <v>719974.53831726301</v>
      </c>
      <c r="V233" s="6">
        <v>2336718.7152983202</v>
      </c>
      <c r="W233" s="6">
        <v>277338.92301894102</v>
      </c>
      <c r="X233" s="6">
        <v>0</v>
      </c>
      <c r="Y233" s="6">
        <v>0</v>
      </c>
      <c r="Z233" s="6">
        <v>0</v>
      </c>
      <c r="AA233" s="6">
        <v>0</v>
      </c>
      <c r="AB233" s="6">
        <v>0</v>
      </c>
      <c r="AC233" s="6">
        <v>51942.173812376401</v>
      </c>
      <c r="AD233" s="6">
        <v>11170.6649369426</v>
      </c>
      <c r="AE233" s="6">
        <v>0</v>
      </c>
      <c r="AF233" s="6">
        <v>0</v>
      </c>
      <c r="AG233" s="6">
        <v>0</v>
      </c>
      <c r="AH233" s="6">
        <v>0</v>
      </c>
      <c r="AI233" s="6">
        <v>0</v>
      </c>
      <c r="AJ233" s="6">
        <v>2677170.4770665802</v>
      </c>
      <c r="AK233" s="6">
        <v>18354.941598573001</v>
      </c>
      <c r="AL233" s="6">
        <v>330.98244656580999</v>
      </c>
      <c r="AM233" s="6">
        <v>93035.839999999997</v>
      </c>
      <c r="AN233" s="6">
        <v>5368.9233449138201</v>
      </c>
      <c r="AO233" s="6">
        <v>18354.941598573001</v>
      </c>
      <c r="AP233" s="6">
        <v>330.98244656580999</v>
      </c>
      <c r="AQ233" s="6">
        <v>93035.839999999997</v>
      </c>
      <c r="AR233" s="6">
        <v>14339.2566103636</v>
      </c>
      <c r="AS233" s="6">
        <v>18354.941598573001</v>
      </c>
      <c r="AT233" s="6">
        <v>0</v>
      </c>
      <c r="AU233" t="s">
        <v>2973</v>
      </c>
      <c r="AV233" t="s">
        <v>2973</v>
      </c>
    </row>
    <row r="234" spans="1:48" x14ac:dyDescent="0.45">
      <c r="A234" s="5" t="s">
        <v>474</v>
      </c>
      <c r="B234">
        <v>1964</v>
      </c>
      <c r="C234" t="s">
        <v>467</v>
      </c>
      <c r="D234">
        <v>4857</v>
      </c>
      <c r="E234" t="s">
        <v>475</v>
      </c>
      <c r="F234" t="s">
        <v>2750</v>
      </c>
      <c r="G234" t="s">
        <v>2748</v>
      </c>
      <c r="H234" t="s">
        <v>2749</v>
      </c>
      <c r="I234" t="s">
        <v>2742</v>
      </c>
      <c r="J234">
        <v>347.40218275349503</v>
      </c>
      <c r="K234">
        <v>1</v>
      </c>
      <c r="L234">
        <v>1</v>
      </c>
      <c r="M234">
        <v>2</v>
      </c>
      <c r="N234" s="6">
        <v>391337.84984312201</v>
      </c>
      <c r="O234" s="6">
        <v>262165.61503319</v>
      </c>
      <c r="P234" s="6">
        <v>467421.31157459097</v>
      </c>
      <c r="Q234" s="6">
        <v>221013.100694263</v>
      </c>
      <c r="R234" s="6">
        <v>372914.18782030599</v>
      </c>
      <c r="S234" s="6">
        <v>150323.62409378801</v>
      </c>
      <c r="T234" s="6">
        <v>0</v>
      </c>
      <c r="U234" s="6">
        <v>1714852.06496547</v>
      </c>
      <c r="V234" s="6">
        <v>1490190.7041778001</v>
      </c>
      <c r="W234" s="6">
        <v>224661.36078767301</v>
      </c>
      <c r="X234" s="6">
        <v>0</v>
      </c>
      <c r="Y234" s="6">
        <v>0</v>
      </c>
      <c r="Z234" s="6">
        <v>0</v>
      </c>
      <c r="AA234" s="6">
        <v>0</v>
      </c>
      <c r="AB234" s="6">
        <v>0</v>
      </c>
      <c r="AC234" s="6">
        <v>123717.07509147799</v>
      </c>
      <c r="AD234" s="6">
        <v>26606.549002309501</v>
      </c>
      <c r="AE234" s="6">
        <v>0</v>
      </c>
      <c r="AF234" s="6">
        <v>0</v>
      </c>
      <c r="AG234" s="6">
        <v>0</v>
      </c>
      <c r="AH234" s="6">
        <v>0</v>
      </c>
      <c r="AI234" s="6">
        <v>0</v>
      </c>
      <c r="AJ234" s="6">
        <v>1865175.6890592601</v>
      </c>
      <c r="AK234" s="6">
        <v>5368.9233449138201</v>
      </c>
      <c r="AL234" s="6">
        <v>330.98244656580999</v>
      </c>
      <c r="AM234" s="6">
        <v>93035.839999999997</v>
      </c>
      <c r="AN234" s="6">
        <v>5368.9233449138201</v>
      </c>
      <c r="AO234" s="6">
        <v>18354.941598573001</v>
      </c>
      <c r="AP234" s="6">
        <v>330.98244656580999</v>
      </c>
      <c r="AQ234" s="6">
        <v>56162.493707719797</v>
      </c>
      <c r="AR234" s="6">
        <v>5368.9233449138201</v>
      </c>
      <c r="AS234" s="6">
        <v>5368.9233449138201</v>
      </c>
      <c r="AT234" s="6">
        <v>0</v>
      </c>
      <c r="AU234" t="s">
        <v>2973</v>
      </c>
      <c r="AV234" t="s">
        <v>2976</v>
      </c>
    </row>
    <row r="235" spans="1:48" x14ac:dyDescent="0.45">
      <c r="A235" s="5" t="s">
        <v>476</v>
      </c>
      <c r="B235">
        <v>2186</v>
      </c>
      <c r="C235" t="s">
        <v>477</v>
      </c>
      <c r="D235">
        <v>4592</v>
      </c>
      <c r="E235" t="s">
        <v>478</v>
      </c>
      <c r="F235" t="s">
        <v>2739</v>
      </c>
      <c r="G235" t="s">
        <v>2748</v>
      </c>
      <c r="H235" t="s">
        <v>2745</v>
      </c>
      <c r="I235" t="s">
        <v>2742</v>
      </c>
      <c r="J235">
        <v>1211.7435454220899</v>
      </c>
      <c r="K235">
        <v>1</v>
      </c>
      <c r="L235">
        <v>1</v>
      </c>
      <c r="M235">
        <v>1</v>
      </c>
      <c r="N235" s="6">
        <v>7729666.3884413503</v>
      </c>
      <c r="O235" s="6">
        <v>1768491.0956548401</v>
      </c>
      <c r="P235" s="6">
        <v>2317867.9720435902</v>
      </c>
      <c r="Q235" s="6">
        <v>982243.14026091201</v>
      </c>
      <c r="R235" s="6">
        <v>696856.56399580801</v>
      </c>
      <c r="S235" s="6">
        <v>881323.35411593702</v>
      </c>
      <c r="T235" s="6">
        <v>7301552.4400000004</v>
      </c>
      <c r="U235" s="6">
        <v>6193572.7203964898</v>
      </c>
      <c r="V235" s="6">
        <v>12423686.0326987</v>
      </c>
      <c r="W235" s="6">
        <v>1071439.1276978401</v>
      </c>
      <c r="X235" s="6">
        <v>0</v>
      </c>
      <c r="Y235" s="6">
        <v>0</v>
      </c>
      <c r="Z235" s="6">
        <v>0</v>
      </c>
      <c r="AA235" s="6">
        <v>0</v>
      </c>
      <c r="AB235" s="6">
        <v>0</v>
      </c>
      <c r="AC235" s="6">
        <v>881323.35411593702</v>
      </c>
      <c r="AD235" s="6">
        <v>0</v>
      </c>
      <c r="AE235" s="6">
        <v>0</v>
      </c>
      <c r="AF235" s="6">
        <v>0</v>
      </c>
      <c r="AG235" s="6">
        <v>0</v>
      </c>
      <c r="AH235" s="6">
        <v>0</v>
      </c>
      <c r="AI235" s="6">
        <v>0</v>
      </c>
      <c r="AJ235" s="6">
        <v>14376448.514512399</v>
      </c>
      <c r="AK235" s="6">
        <v>11864.266633666801</v>
      </c>
      <c r="AL235" s="6">
        <v>330.98244656580999</v>
      </c>
      <c r="AM235" s="6">
        <v>93035.839999999997</v>
      </c>
      <c r="AN235" s="6">
        <v>5838.6084260494299</v>
      </c>
      <c r="AO235" s="6">
        <v>11864.266633666801</v>
      </c>
      <c r="AP235" s="6">
        <v>330.98244656580999</v>
      </c>
      <c r="AQ235" s="6">
        <v>56162.493707719797</v>
      </c>
      <c r="AR235" s="6">
        <v>11864.266633666801</v>
      </c>
      <c r="AS235" s="6">
        <v>11864.266633666801</v>
      </c>
      <c r="AT235" s="6">
        <v>0</v>
      </c>
      <c r="AU235" t="s">
        <v>2973</v>
      </c>
      <c r="AV235" t="s">
        <v>2973</v>
      </c>
    </row>
    <row r="236" spans="1:48" x14ac:dyDescent="0.45">
      <c r="A236" s="5" t="s">
        <v>479</v>
      </c>
      <c r="B236">
        <v>2186</v>
      </c>
      <c r="C236" t="s">
        <v>477</v>
      </c>
      <c r="D236">
        <v>2186</v>
      </c>
      <c r="E236" t="s">
        <v>477</v>
      </c>
      <c r="F236" t="s">
        <v>1</v>
      </c>
      <c r="G236" t="s">
        <v>1</v>
      </c>
      <c r="H236" t="s">
        <v>2743</v>
      </c>
      <c r="I236" t="s">
        <v>2742</v>
      </c>
      <c r="J236">
        <v>4.2050166231450001</v>
      </c>
      <c r="K236">
        <v>0</v>
      </c>
      <c r="L236">
        <v>0</v>
      </c>
      <c r="M236">
        <v>1</v>
      </c>
      <c r="N236" s="6">
        <v>7403.8715586507396</v>
      </c>
      <c r="O236" s="6">
        <v>1412.6543451641101</v>
      </c>
      <c r="P236" s="6">
        <v>7103.7679564148302</v>
      </c>
      <c r="Q236" s="6">
        <v>3408.5997390879802</v>
      </c>
      <c r="R236" s="6">
        <v>2164.1660041916198</v>
      </c>
      <c r="S236" s="6">
        <v>3058.3858840630401</v>
      </c>
      <c r="T236" s="6">
        <v>0</v>
      </c>
      <c r="U236" s="6">
        <v>21493.0596035093</v>
      </c>
      <c r="V236" s="6">
        <v>18662.177301349901</v>
      </c>
      <c r="W236" s="6">
        <v>2830.8823021593998</v>
      </c>
      <c r="X236" s="6">
        <v>0</v>
      </c>
      <c r="Y236" s="6">
        <v>0</v>
      </c>
      <c r="Z236" s="6">
        <v>0</v>
      </c>
      <c r="AA236" s="6">
        <v>0</v>
      </c>
      <c r="AB236" s="6">
        <v>0</v>
      </c>
      <c r="AC236" s="6">
        <v>3058.3858840630401</v>
      </c>
      <c r="AD236" s="6">
        <v>0</v>
      </c>
      <c r="AE236" s="6">
        <v>0</v>
      </c>
      <c r="AF236" s="6">
        <v>0</v>
      </c>
      <c r="AG236" s="6">
        <v>0</v>
      </c>
      <c r="AH236" s="6">
        <v>0</v>
      </c>
      <c r="AI236" s="6">
        <v>0</v>
      </c>
      <c r="AJ236" s="6">
        <v>24551.445487572299</v>
      </c>
      <c r="AK236" s="6">
        <v>5838.6084260494299</v>
      </c>
      <c r="AL236" s="6">
        <v>330.98244656580999</v>
      </c>
      <c r="AM236" s="6">
        <v>93035.839999999997</v>
      </c>
      <c r="AN236" s="6">
        <v>5838.6084260494299</v>
      </c>
      <c r="AO236" s="6">
        <v>11864.266633666801</v>
      </c>
      <c r="AP236" s="6">
        <v>634.54287297753501</v>
      </c>
      <c r="AQ236" s="6">
        <v>40331.279999999999</v>
      </c>
      <c r="AR236" s="6">
        <v>5838.6084260494299</v>
      </c>
      <c r="AS236" s="6">
        <v>5838.6084260494299</v>
      </c>
      <c r="AT236" s="6">
        <v>0</v>
      </c>
      <c r="AU236" t="s">
        <v>2973</v>
      </c>
      <c r="AV236" t="s">
        <v>2977</v>
      </c>
    </row>
    <row r="237" spans="1:48" x14ac:dyDescent="0.45">
      <c r="A237" s="5" t="s">
        <v>480</v>
      </c>
      <c r="B237">
        <v>1901</v>
      </c>
      <c r="C237" t="s">
        <v>481</v>
      </c>
      <c r="D237">
        <v>27</v>
      </c>
      <c r="E237" t="s">
        <v>482</v>
      </c>
      <c r="F237" t="s">
        <v>2739</v>
      </c>
      <c r="G237" t="s">
        <v>2740</v>
      </c>
      <c r="H237" t="s">
        <v>2741</v>
      </c>
      <c r="I237" t="s">
        <v>2742</v>
      </c>
      <c r="J237">
        <v>441.86627906972899</v>
      </c>
      <c r="K237">
        <v>1</v>
      </c>
      <c r="L237">
        <v>1</v>
      </c>
      <c r="M237">
        <v>2</v>
      </c>
      <c r="N237" s="6">
        <v>3082072.1265549399</v>
      </c>
      <c r="O237" s="6">
        <v>867046.54154517897</v>
      </c>
      <c r="P237" s="6">
        <v>1109757.78784684</v>
      </c>
      <c r="Q237" s="6">
        <v>159282.567686836</v>
      </c>
      <c r="R237" s="6">
        <v>993892.75094266096</v>
      </c>
      <c r="S237" s="6">
        <v>155943.06615722401</v>
      </c>
      <c r="T237" s="6">
        <v>2608500.6</v>
      </c>
      <c r="U237" s="6">
        <v>3603551.1745764501</v>
      </c>
      <c r="V237" s="6">
        <v>4800603.7081193803</v>
      </c>
      <c r="W237" s="6">
        <v>514113.92043854302</v>
      </c>
      <c r="X237" s="6">
        <v>0</v>
      </c>
      <c r="Y237" s="6">
        <v>0</v>
      </c>
      <c r="Z237" s="6">
        <v>0</v>
      </c>
      <c r="AA237" s="6">
        <v>869022.02125687897</v>
      </c>
      <c r="AB237" s="6">
        <v>28312.1247616613</v>
      </c>
      <c r="AC237" s="6">
        <v>155188.79115746799</v>
      </c>
      <c r="AD237" s="6">
        <v>754.27499975600699</v>
      </c>
      <c r="AE237" s="6">
        <v>0</v>
      </c>
      <c r="AF237" s="6">
        <v>0</v>
      </c>
      <c r="AG237" s="6">
        <v>0</v>
      </c>
      <c r="AH237" s="6">
        <v>0</v>
      </c>
      <c r="AI237" s="6">
        <v>0</v>
      </c>
      <c r="AJ237" s="6">
        <v>6367994.8407336799</v>
      </c>
      <c r="AK237" s="6">
        <v>14411.588171291</v>
      </c>
      <c r="AL237" s="6">
        <v>330.98244656580999</v>
      </c>
      <c r="AM237" s="6">
        <v>93035.839999999997</v>
      </c>
      <c r="AN237" s="6">
        <v>8508.2171209095704</v>
      </c>
      <c r="AO237" s="6">
        <v>16106.3546475486</v>
      </c>
      <c r="AP237" s="6">
        <v>330.98244656580999</v>
      </c>
      <c r="AQ237" s="6">
        <v>93035.839999999997</v>
      </c>
      <c r="AR237" s="6">
        <v>8508.2171209095795</v>
      </c>
      <c r="AS237" s="6">
        <v>15665.001135792299</v>
      </c>
      <c r="AT237" s="6">
        <v>0</v>
      </c>
      <c r="AU237" t="s">
        <v>2973</v>
      </c>
      <c r="AV237" t="s">
        <v>2973</v>
      </c>
    </row>
    <row r="238" spans="1:48" x14ac:dyDescent="0.45">
      <c r="A238" s="5" t="s">
        <v>483</v>
      </c>
      <c r="B238">
        <v>1901</v>
      </c>
      <c r="C238" t="s">
        <v>481</v>
      </c>
      <c r="D238">
        <v>28</v>
      </c>
      <c r="E238" t="s">
        <v>484</v>
      </c>
      <c r="F238" t="s">
        <v>2739</v>
      </c>
      <c r="G238" t="s">
        <v>2747</v>
      </c>
      <c r="H238" t="s">
        <v>2741</v>
      </c>
      <c r="I238" t="s">
        <v>2742</v>
      </c>
      <c r="J238">
        <v>606.03444804724995</v>
      </c>
      <c r="K238">
        <v>1</v>
      </c>
      <c r="L238">
        <v>1</v>
      </c>
      <c r="M238">
        <v>2</v>
      </c>
      <c r="N238" s="6">
        <v>3932950.9203330898</v>
      </c>
      <c r="O238" s="6">
        <v>1465223.6142957001</v>
      </c>
      <c r="P238" s="6">
        <v>1524170.2554329201</v>
      </c>
      <c r="Q238" s="6">
        <v>218433.990089878</v>
      </c>
      <c r="R238" s="6">
        <v>1363157.3018058899</v>
      </c>
      <c r="S238" s="6">
        <v>213881.15477912599</v>
      </c>
      <c r="T238" s="6">
        <v>3561544.57</v>
      </c>
      <c r="U238" s="6">
        <v>4942391.5119574796</v>
      </c>
      <c r="V238" s="6">
        <v>6489960.8613204202</v>
      </c>
      <c r="W238" s="6">
        <v>783251.28976547206</v>
      </c>
      <c r="X238" s="6">
        <v>0</v>
      </c>
      <c r="Y238" s="6">
        <v>0</v>
      </c>
      <c r="Z238" s="6">
        <v>0</v>
      </c>
      <c r="AA238" s="6">
        <v>1191892.90049945</v>
      </c>
      <c r="AB238" s="6">
        <v>38831.030372133602</v>
      </c>
      <c r="AC238" s="6">
        <v>212846.64127401001</v>
      </c>
      <c r="AD238" s="6">
        <v>1034.51350511596</v>
      </c>
      <c r="AE238" s="6">
        <v>0</v>
      </c>
      <c r="AF238" s="6">
        <v>0</v>
      </c>
      <c r="AG238" s="6">
        <v>0</v>
      </c>
      <c r="AH238" s="6">
        <v>0</v>
      </c>
      <c r="AI238" s="6">
        <v>0</v>
      </c>
      <c r="AJ238" s="6">
        <v>8717817.2367365994</v>
      </c>
      <c r="AK238" s="6">
        <v>14385.0193084353</v>
      </c>
      <c r="AL238" s="6">
        <v>330.98244656580999</v>
      </c>
      <c r="AM238" s="6">
        <v>93035.839999999997</v>
      </c>
      <c r="AN238" s="6">
        <v>8508.2171209095704</v>
      </c>
      <c r="AO238" s="6">
        <v>16106.3546475486</v>
      </c>
      <c r="AP238" s="6">
        <v>3753.1860850462999</v>
      </c>
      <c r="AQ238" s="6">
        <v>20687.885194392002</v>
      </c>
      <c r="AR238" s="6">
        <v>14385.0193084353</v>
      </c>
      <c r="AS238" s="6">
        <v>14940.1403117512</v>
      </c>
      <c r="AT238" s="6">
        <v>0</v>
      </c>
      <c r="AU238" t="s">
        <v>2973</v>
      </c>
      <c r="AV238" t="s">
        <v>2973</v>
      </c>
    </row>
    <row r="239" spans="1:48" x14ac:dyDescent="0.45">
      <c r="A239" s="5" t="s">
        <v>485</v>
      </c>
      <c r="B239">
        <v>1901</v>
      </c>
      <c r="C239" t="s">
        <v>481</v>
      </c>
      <c r="D239">
        <v>40</v>
      </c>
      <c r="E239" t="s">
        <v>486</v>
      </c>
      <c r="F239" t="s">
        <v>2739</v>
      </c>
      <c r="G239" t="s">
        <v>2744</v>
      </c>
      <c r="H239" t="s">
        <v>2745</v>
      </c>
      <c r="I239" t="s">
        <v>2742</v>
      </c>
      <c r="J239">
        <v>1198.42103094595</v>
      </c>
      <c r="K239">
        <v>1</v>
      </c>
      <c r="L239">
        <v>1</v>
      </c>
      <c r="M239">
        <v>2</v>
      </c>
      <c r="N239" s="6">
        <v>8145187.05219974</v>
      </c>
      <c r="O239" s="6">
        <v>4156125.1982262102</v>
      </c>
      <c r="P239" s="6">
        <v>3050683.4785548602</v>
      </c>
      <c r="Q239" s="6">
        <v>431948.85775987903</v>
      </c>
      <c r="R239" s="6">
        <v>2695616.3700521798</v>
      </c>
      <c r="S239" s="6">
        <v>422945.71675952798</v>
      </c>
      <c r="T239" s="6">
        <v>8706080.3399999999</v>
      </c>
      <c r="U239" s="6">
        <v>9773480.6167928707</v>
      </c>
      <c r="V239" s="6">
        <v>13308548.3322562</v>
      </c>
      <c r="W239" s="6">
        <v>2737280.6035312</v>
      </c>
      <c r="X239" s="6">
        <v>0</v>
      </c>
      <c r="Y239" s="6">
        <v>0</v>
      </c>
      <c r="Z239" s="6">
        <v>0</v>
      </c>
      <c r="AA239" s="6">
        <v>2356944.4331031502</v>
      </c>
      <c r="AB239" s="6">
        <v>76787.5879023257</v>
      </c>
      <c r="AC239" s="6">
        <v>420899.98694115999</v>
      </c>
      <c r="AD239" s="6">
        <v>2045.7298183682001</v>
      </c>
      <c r="AE239" s="6">
        <v>0</v>
      </c>
      <c r="AF239" s="6">
        <v>0</v>
      </c>
      <c r="AG239" s="6">
        <v>0</v>
      </c>
      <c r="AH239" s="6">
        <v>0</v>
      </c>
      <c r="AI239" s="6">
        <v>0</v>
      </c>
      <c r="AJ239" s="6">
        <v>18902506.673552401</v>
      </c>
      <c r="AK239" s="6">
        <v>15772.842920348399</v>
      </c>
      <c r="AL239" s="6">
        <v>330.98244656580999</v>
      </c>
      <c r="AM239" s="6">
        <v>93035.839999999997</v>
      </c>
      <c r="AN239" s="6">
        <v>8508.2171209095704</v>
      </c>
      <c r="AO239" s="6">
        <v>16106.3546475486</v>
      </c>
      <c r="AP239" s="6">
        <v>330.98244656580999</v>
      </c>
      <c r="AQ239" s="6">
        <v>40734.411818744898</v>
      </c>
      <c r="AR239" s="6">
        <v>15772.842920348399</v>
      </c>
      <c r="AS239" s="6">
        <v>16106.3546475486</v>
      </c>
      <c r="AT239" s="6">
        <v>0</v>
      </c>
      <c r="AU239" t="s">
        <v>2973</v>
      </c>
      <c r="AV239" t="s">
        <v>2973</v>
      </c>
    </row>
    <row r="240" spans="1:48" x14ac:dyDescent="0.45">
      <c r="A240" s="5" t="s">
        <v>487</v>
      </c>
      <c r="B240">
        <v>1901</v>
      </c>
      <c r="C240" t="s">
        <v>481</v>
      </c>
      <c r="D240">
        <v>1901</v>
      </c>
      <c r="E240" t="s">
        <v>481</v>
      </c>
      <c r="F240" t="s">
        <v>1</v>
      </c>
      <c r="G240" t="s">
        <v>1</v>
      </c>
      <c r="H240" t="s">
        <v>2743</v>
      </c>
      <c r="I240" t="s">
        <v>2742</v>
      </c>
      <c r="J240">
        <v>92.210006022265503</v>
      </c>
      <c r="K240">
        <v>1</v>
      </c>
      <c r="L240">
        <v>1</v>
      </c>
      <c r="M240">
        <v>2</v>
      </c>
      <c r="N240" s="6">
        <v>190037.04174594901</v>
      </c>
      <c r="O240" s="6">
        <v>90831.066459338195</v>
      </c>
      <c r="P240" s="6">
        <v>230487.986369983</v>
      </c>
      <c r="Q240" s="6">
        <v>33235.403707752201</v>
      </c>
      <c r="R240" s="6">
        <v>207408.57786852401</v>
      </c>
      <c r="S240" s="6">
        <v>32542.6758062681</v>
      </c>
      <c r="T240" s="6">
        <v>0</v>
      </c>
      <c r="U240" s="6">
        <v>752000.07615154597</v>
      </c>
      <c r="V240" s="6">
        <v>463272.83914238401</v>
      </c>
      <c r="W240" s="6">
        <v>101468.804022253</v>
      </c>
      <c r="X240" s="6">
        <v>0</v>
      </c>
      <c r="Y240" s="6">
        <v>0</v>
      </c>
      <c r="Z240" s="6">
        <v>0</v>
      </c>
      <c r="AA240" s="6">
        <v>181350.17223374199</v>
      </c>
      <c r="AB240" s="6">
        <v>5908.2607531676904</v>
      </c>
      <c r="AC240" s="6">
        <v>32385.271393294101</v>
      </c>
      <c r="AD240" s="6">
        <v>157.40441297393099</v>
      </c>
      <c r="AE240" s="6">
        <v>0</v>
      </c>
      <c r="AF240" s="6">
        <v>0</v>
      </c>
      <c r="AG240" s="6">
        <v>0</v>
      </c>
      <c r="AH240" s="6">
        <v>0</v>
      </c>
      <c r="AI240" s="6">
        <v>0</v>
      </c>
      <c r="AJ240" s="6">
        <v>784542.75195781398</v>
      </c>
      <c r="AK240" s="6">
        <v>8508.2171209095704</v>
      </c>
      <c r="AL240" s="6">
        <v>330.98244656580999</v>
      </c>
      <c r="AM240" s="6">
        <v>93035.839999999997</v>
      </c>
      <c r="AN240" s="6">
        <v>8508.2171209095704</v>
      </c>
      <c r="AO240" s="6">
        <v>16106.3546475486</v>
      </c>
      <c r="AP240" s="6">
        <v>634.54287297753501</v>
      </c>
      <c r="AQ240" s="6">
        <v>40331.279999999999</v>
      </c>
      <c r="AR240" s="6">
        <v>8508.2171209095704</v>
      </c>
      <c r="AS240" s="6">
        <v>8508.2171209095704</v>
      </c>
      <c r="AT240" s="6">
        <v>0</v>
      </c>
      <c r="AU240" t="s">
        <v>2973</v>
      </c>
      <c r="AV240" t="s">
        <v>2977</v>
      </c>
    </row>
    <row r="241" spans="1:48" x14ac:dyDescent="0.45">
      <c r="A241" s="5" t="s">
        <v>488</v>
      </c>
      <c r="B241">
        <v>1901</v>
      </c>
      <c r="C241" t="s">
        <v>481</v>
      </c>
      <c r="D241">
        <v>41</v>
      </c>
      <c r="E241" t="s">
        <v>489</v>
      </c>
      <c r="F241" t="s">
        <v>2739</v>
      </c>
      <c r="G241" t="s">
        <v>2744</v>
      </c>
      <c r="H241" t="s">
        <v>2745</v>
      </c>
      <c r="I241" t="s">
        <v>2742</v>
      </c>
      <c r="J241">
        <v>945.51546939133505</v>
      </c>
      <c r="K241">
        <v>1</v>
      </c>
      <c r="L241">
        <v>1</v>
      </c>
      <c r="M241">
        <v>2</v>
      </c>
      <c r="N241" s="6">
        <v>6628040.4999675704</v>
      </c>
      <c r="O241" s="6">
        <v>3372055.9418276101</v>
      </c>
      <c r="P241" s="6">
        <v>2427472.62371762</v>
      </c>
      <c r="Q241" s="6">
        <v>340793.69140869501</v>
      </c>
      <c r="R241" s="6">
        <v>2126754.2137649702</v>
      </c>
      <c r="S241" s="6">
        <v>333690.50407375302</v>
      </c>
      <c r="T241" s="6">
        <v>7184156.5700000003</v>
      </c>
      <c r="U241" s="6">
        <v>7710960.4006864503</v>
      </c>
      <c r="V241" s="6">
        <v>10856745.847756</v>
      </c>
      <c r="W241" s="6">
        <v>2118235.1984154</v>
      </c>
      <c r="X241" s="6">
        <v>0</v>
      </c>
      <c r="Y241" s="6">
        <v>0</v>
      </c>
      <c r="Z241" s="6">
        <v>0</v>
      </c>
      <c r="AA241" s="6">
        <v>1859552.9988619899</v>
      </c>
      <c r="AB241" s="6">
        <v>60582.925653088503</v>
      </c>
      <c r="AC241" s="6">
        <v>332076.48934978299</v>
      </c>
      <c r="AD241" s="6">
        <v>1614.01472397016</v>
      </c>
      <c r="AE241" s="6">
        <v>0</v>
      </c>
      <c r="AF241" s="6">
        <v>0</v>
      </c>
      <c r="AG241" s="6">
        <v>0</v>
      </c>
      <c r="AH241" s="6">
        <v>0</v>
      </c>
      <c r="AI241" s="6">
        <v>0</v>
      </c>
      <c r="AJ241" s="6">
        <v>15228807.474760201</v>
      </c>
      <c r="AK241" s="6">
        <v>16106.3546475486</v>
      </c>
      <c r="AL241" s="6">
        <v>330.98244656580999</v>
      </c>
      <c r="AM241" s="6">
        <v>93035.839999999997</v>
      </c>
      <c r="AN241" s="6">
        <v>8508.2171209095704</v>
      </c>
      <c r="AO241" s="6">
        <v>16106.3546475486</v>
      </c>
      <c r="AP241" s="6">
        <v>330.98244656580999</v>
      </c>
      <c r="AQ241" s="6">
        <v>40734.411818744898</v>
      </c>
      <c r="AR241" s="6">
        <v>15772.842920348399</v>
      </c>
      <c r="AS241" s="6">
        <v>16106.3546475486</v>
      </c>
      <c r="AT241" s="6">
        <v>0</v>
      </c>
      <c r="AU241" t="s">
        <v>2973</v>
      </c>
      <c r="AV241" t="s">
        <v>2973</v>
      </c>
    </row>
    <row r="242" spans="1:48" x14ac:dyDescent="0.45">
      <c r="A242" s="5" t="s">
        <v>490</v>
      </c>
      <c r="B242">
        <v>1901</v>
      </c>
      <c r="C242" t="s">
        <v>481</v>
      </c>
      <c r="D242">
        <v>1322</v>
      </c>
      <c r="E242" t="s">
        <v>491</v>
      </c>
      <c r="F242" t="s">
        <v>2739</v>
      </c>
      <c r="G242" t="s">
        <v>2740</v>
      </c>
      <c r="H242" t="s">
        <v>2741</v>
      </c>
      <c r="I242" t="s">
        <v>2742</v>
      </c>
      <c r="J242">
        <v>330.98208823576999</v>
      </c>
      <c r="K242">
        <v>1</v>
      </c>
      <c r="L242">
        <v>1</v>
      </c>
      <c r="M242">
        <v>2</v>
      </c>
      <c r="N242" s="6">
        <v>2296208.6756368899</v>
      </c>
      <c r="O242" s="6">
        <v>864845.40033878898</v>
      </c>
      <c r="P242" s="6">
        <v>833027.38842251303</v>
      </c>
      <c r="Q242" s="6">
        <v>119296.41691916301</v>
      </c>
      <c r="R242" s="6">
        <v>744480.20537336404</v>
      </c>
      <c r="S242" s="6">
        <v>116809.913151263</v>
      </c>
      <c r="T242" s="6">
        <v>2158600.5299999998</v>
      </c>
      <c r="U242" s="6">
        <v>2699257.5566907199</v>
      </c>
      <c r="V242" s="6">
        <v>3657796.5161078102</v>
      </c>
      <c r="W242" s="6">
        <v>527909.05847051402</v>
      </c>
      <c r="X242" s="6">
        <v>0</v>
      </c>
      <c r="Y242" s="6">
        <v>0</v>
      </c>
      <c r="Z242" s="6">
        <v>0</v>
      </c>
      <c r="AA242" s="6">
        <v>650945.17717900302</v>
      </c>
      <c r="AB242" s="6">
        <v>21207.334933398601</v>
      </c>
      <c r="AC242" s="6">
        <v>116244.91978936001</v>
      </c>
      <c r="AD242" s="6">
        <v>564.99336190323299</v>
      </c>
      <c r="AE242" s="6">
        <v>0</v>
      </c>
      <c r="AF242" s="6">
        <v>0</v>
      </c>
      <c r="AG242" s="6">
        <v>0</v>
      </c>
      <c r="AH242" s="6">
        <v>0</v>
      </c>
      <c r="AI242" s="6">
        <v>0</v>
      </c>
      <c r="AJ242" s="6">
        <v>4974667.9998419797</v>
      </c>
      <c r="AK242" s="6">
        <v>15030.021794709201</v>
      </c>
      <c r="AL242" s="6">
        <v>330.98244656580999</v>
      </c>
      <c r="AM242" s="6">
        <v>93035.839999999997</v>
      </c>
      <c r="AN242" s="6">
        <v>8508.2171209095704</v>
      </c>
      <c r="AO242" s="6">
        <v>16106.3546475486</v>
      </c>
      <c r="AP242" s="6">
        <v>330.98244656580999</v>
      </c>
      <c r="AQ242" s="6">
        <v>93035.839999999997</v>
      </c>
      <c r="AR242" s="6">
        <v>8508.2171209095795</v>
      </c>
      <c r="AS242" s="6">
        <v>15665.001135792299</v>
      </c>
      <c r="AT242" s="6">
        <v>0</v>
      </c>
      <c r="AU242" t="s">
        <v>2973</v>
      </c>
      <c r="AV242" t="s">
        <v>2973</v>
      </c>
    </row>
    <row r="243" spans="1:48" x14ac:dyDescent="0.45">
      <c r="A243" s="5" t="s">
        <v>492</v>
      </c>
      <c r="B243">
        <v>1901</v>
      </c>
      <c r="C243" t="s">
        <v>481</v>
      </c>
      <c r="D243">
        <v>30</v>
      </c>
      <c r="E243" t="s">
        <v>493</v>
      </c>
      <c r="F243" t="s">
        <v>2739</v>
      </c>
      <c r="G243" t="s">
        <v>2740</v>
      </c>
      <c r="H243" t="s">
        <v>2741</v>
      </c>
      <c r="I243" t="s">
        <v>2742</v>
      </c>
      <c r="J243">
        <v>435.93023255808498</v>
      </c>
      <c r="K243">
        <v>4</v>
      </c>
      <c r="L243">
        <v>1</v>
      </c>
      <c r="M243">
        <v>2</v>
      </c>
      <c r="N243" s="6">
        <v>3374163.0955771198</v>
      </c>
      <c r="O243" s="6">
        <v>1032324.61467726</v>
      </c>
      <c r="P243" s="6">
        <v>1094801.7853003601</v>
      </c>
      <c r="Q243" s="6">
        <v>157123.04870670801</v>
      </c>
      <c r="R243" s="6">
        <v>980540.76216994401</v>
      </c>
      <c r="S243" s="6">
        <v>153848.121741401</v>
      </c>
      <c r="T243" s="6">
        <v>3083812.36</v>
      </c>
      <c r="U243" s="6">
        <v>3555140.94643139</v>
      </c>
      <c r="V243" s="6">
        <v>4966425.8815699099</v>
      </c>
      <c r="W243" s="6">
        <v>787248.09605703305</v>
      </c>
      <c r="X243" s="6">
        <v>0</v>
      </c>
      <c r="Y243" s="6">
        <v>0</v>
      </c>
      <c r="Z243" s="6">
        <v>0</v>
      </c>
      <c r="AA243" s="6">
        <v>857347.55008274002</v>
      </c>
      <c r="AB243" s="6">
        <v>27931.778721717899</v>
      </c>
      <c r="AC243" s="6">
        <v>153103.97969745801</v>
      </c>
      <c r="AD243" s="6">
        <v>744.14204394288595</v>
      </c>
      <c r="AE243" s="6">
        <v>0</v>
      </c>
      <c r="AF243" s="6">
        <v>0</v>
      </c>
      <c r="AG243" s="6">
        <v>0</v>
      </c>
      <c r="AH243" s="6">
        <v>0</v>
      </c>
      <c r="AI243" s="6">
        <v>0</v>
      </c>
      <c r="AJ243" s="6">
        <v>6792801.4281727998</v>
      </c>
      <c r="AK243" s="6">
        <v>15582.3132254717</v>
      </c>
      <c r="AL243" s="6">
        <v>330.98244656580999</v>
      </c>
      <c r="AM243" s="6">
        <v>93035.839999999997</v>
      </c>
      <c r="AN243" s="6">
        <v>8508.2171209095704</v>
      </c>
      <c r="AO243" s="6">
        <v>16106.3546475486</v>
      </c>
      <c r="AP243" s="6">
        <v>330.98244656580999</v>
      </c>
      <c r="AQ243" s="6">
        <v>93035.839999999997</v>
      </c>
      <c r="AR243" s="6">
        <v>8508.2171209095795</v>
      </c>
      <c r="AS243" s="6">
        <v>15665.001135792299</v>
      </c>
      <c r="AT243" s="6">
        <v>0</v>
      </c>
      <c r="AU243" t="s">
        <v>2973</v>
      </c>
      <c r="AV243" t="s">
        <v>2973</v>
      </c>
    </row>
    <row r="244" spans="1:48" x14ac:dyDescent="0.45">
      <c r="A244" s="5" t="s">
        <v>494</v>
      </c>
      <c r="B244">
        <v>1901</v>
      </c>
      <c r="C244" t="s">
        <v>481</v>
      </c>
      <c r="D244">
        <v>33</v>
      </c>
      <c r="E244" t="s">
        <v>495</v>
      </c>
      <c r="F244" t="s">
        <v>2739</v>
      </c>
      <c r="G244" t="s">
        <v>2740</v>
      </c>
      <c r="H244" t="s">
        <v>2741</v>
      </c>
      <c r="I244" t="s">
        <v>2742</v>
      </c>
      <c r="J244">
        <v>394.54651162787098</v>
      </c>
      <c r="K244">
        <v>1</v>
      </c>
      <c r="L244">
        <v>1</v>
      </c>
      <c r="M244">
        <v>2</v>
      </c>
      <c r="N244" s="6">
        <v>2814156.2086918699</v>
      </c>
      <c r="O244" s="6">
        <v>828512.96988222399</v>
      </c>
      <c r="P244" s="6">
        <v>992495.29139684897</v>
      </c>
      <c r="Q244" s="6">
        <v>142207.04629681201</v>
      </c>
      <c r="R244" s="6">
        <v>887456.08432087197</v>
      </c>
      <c r="S244" s="6">
        <v>139243.01463877401</v>
      </c>
      <c r="T244" s="6">
        <v>2447183.23</v>
      </c>
      <c r="U244" s="6">
        <v>3217644.37058863</v>
      </c>
      <c r="V244" s="6">
        <v>4385983.2033539796</v>
      </c>
      <c r="W244" s="6">
        <v>477606.389614877</v>
      </c>
      <c r="X244" s="6">
        <v>0</v>
      </c>
      <c r="Y244" s="6">
        <v>0</v>
      </c>
      <c r="Z244" s="6">
        <v>0</v>
      </c>
      <c r="AA244" s="6">
        <v>775957.84800902801</v>
      </c>
      <c r="AB244" s="6">
        <v>25280.15961074</v>
      </c>
      <c r="AC244" s="6">
        <v>138569.51547385001</v>
      </c>
      <c r="AD244" s="6">
        <v>673.49916492469799</v>
      </c>
      <c r="AE244" s="6">
        <v>0</v>
      </c>
      <c r="AF244" s="6">
        <v>0</v>
      </c>
      <c r="AG244" s="6">
        <v>0</v>
      </c>
      <c r="AH244" s="6">
        <v>0</v>
      </c>
      <c r="AI244" s="6">
        <v>0</v>
      </c>
      <c r="AJ244" s="6">
        <v>5804070.6152274096</v>
      </c>
      <c r="AK244" s="6">
        <v>14710.7386434117</v>
      </c>
      <c r="AL244" s="6">
        <v>330.98244656580999</v>
      </c>
      <c r="AM244" s="6">
        <v>93035.839999999997</v>
      </c>
      <c r="AN244" s="6">
        <v>8508.2171209095704</v>
      </c>
      <c r="AO244" s="6">
        <v>16106.3546475486</v>
      </c>
      <c r="AP244" s="6">
        <v>330.98244656580999</v>
      </c>
      <c r="AQ244" s="6">
        <v>93035.839999999997</v>
      </c>
      <c r="AR244" s="6">
        <v>8508.2171209095795</v>
      </c>
      <c r="AS244" s="6">
        <v>15665.001135792299</v>
      </c>
      <c r="AT244" s="6">
        <v>0</v>
      </c>
      <c r="AU244" t="s">
        <v>2973</v>
      </c>
      <c r="AV244" t="s">
        <v>2973</v>
      </c>
    </row>
    <row r="245" spans="1:48" x14ac:dyDescent="0.45">
      <c r="A245" s="5" t="s">
        <v>496</v>
      </c>
      <c r="B245">
        <v>1901</v>
      </c>
      <c r="C245" t="s">
        <v>481</v>
      </c>
      <c r="D245">
        <v>4637</v>
      </c>
      <c r="E245" t="s">
        <v>497</v>
      </c>
      <c r="F245" t="s">
        <v>3</v>
      </c>
      <c r="G245" t="s">
        <v>2740</v>
      </c>
      <c r="H245" t="s">
        <v>2741</v>
      </c>
      <c r="I245" t="s">
        <v>2742</v>
      </c>
      <c r="J245">
        <v>108.97093023254899</v>
      </c>
      <c r="K245">
        <v>1</v>
      </c>
      <c r="L245">
        <v>1</v>
      </c>
      <c r="M245">
        <v>2</v>
      </c>
      <c r="N245" s="6">
        <v>224579.89225917001</v>
      </c>
      <c r="O245" s="6">
        <v>107341.342149989</v>
      </c>
      <c r="P245" s="6">
        <v>272383.56622706802</v>
      </c>
      <c r="Q245" s="6">
        <v>39276.571111095698</v>
      </c>
      <c r="R245" s="6">
        <v>245109.03581424401</v>
      </c>
      <c r="S245" s="6">
        <v>38457.926724449098</v>
      </c>
      <c r="T245" s="6">
        <v>0</v>
      </c>
      <c r="U245" s="6">
        <v>888690.40756156703</v>
      </c>
      <c r="V245" s="6">
        <v>547481.49805596599</v>
      </c>
      <c r="W245" s="6">
        <v>119912.691050244</v>
      </c>
      <c r="X245" s="6">
        <v>0</v>
      </c>
      <c r="Y245" s="6">
        <v>0</v>
      </c>
      <c r="Z245" s="6">
        <v>0</v>
      </c>
      <c r="AA245" s="6">
        <v>214314.01882103799</v>
      </c>
      <c r="AB245" s="6">
        <v>6982.19963431823</v>
      </c>
      <c r="AC245" s="6">
        <v>38271.911062544299</v>
      </c>
      <c r="AD245" s="6">
        <v>186.01566190480199</v>
      </c>
      <c r="AE245" s="6">
        <v>0</v>
      </c>
      <c r="AF245" s="6">
        <v>0</v>
      </c>
      <c r="AG245" s="6">
        <v>0</v>
      </c>
      <c r="AH245" s="6">
        <v>0</v>
      </c>
      <c r="AI245" s="6">
        <v>0</v>
      </c>
      <c r="AJ245" s="6">
        <v>927148.33428601595</v>
      </c>
      <c r="AK245" s="6">
        <v>8508.2171209095795</v>
      </c>
      <c r="AL245" s="6">
        <v>330.98244656580999</v>
      </c>
      <c r="AM245" s="6">
        <v>93035.839999999997</v>
      </c>
      <c r="AN245" s="6">
        <v>8508.2171209095704</v>
      </c>
      <c r="AO245" s="6">
        <v>16106.3546475486</v>
      </c>
      <c r="AP245" s="6">
        <v>330.98244656580999</v>
      </c>
      <c r="AQ245" s="6">
        <v>93035.839999999997</v>
      </c>
      <c r="AR245" s="6">
        <v>8508.2171209095795</v>
      </c>
      <c r="AS245" s="6">
        <v>15665.001135792299</v>
      </c>
      <c r="AT245" s="6">
        <v>0</v>
      </c>
      <c r="AU245" t="s">
        <v>2973</v>
      </c>
      <c r="AV245" t="s">
        <v>2976</v>
      </c>
    </row>
    <row r="246" spans="1:48" x14ac:dyDescent="0.45">
      <c r="A246" s="5" t="s">
        <v>498</v>
      </c>
      <c r="B246">
        <v>1901</v>
      </c>
      <c r="C246" t="s">
        <v>481</v>
      </c>
      <c r="D246">
        <v>35</v>
      </c>
      <c r="E246" t="s">
        <v>499</v>
      </c>
      <c r="F246" t="s">
        <v>2739</v>
      </c>
      <c r="G246" t="s">
        <v>2740</v>
      </c>
      <c r="H246" t="s">
        <v>2741</v>
      </c>
      <c r="I246" t="s">
        <v>2742</v>
      </c>
      <c r="J246">
        <v>332.36627906975002</v>
      </c>
      <c r="K246">
        <v>1</v>
      </c>
      <c r="L246">
        <v>2</v>
      </c>
      <c r="M246">
        <v>2</v>
      </c>
      <c r="N246" s="6">
        <v>2563729.59614792</v>
      </c>
      <c r="O246" s="6">
        <v>783647.85151569301</v>
      </c>
      <c r="P246" s="6">
        <v>836806.07965924696</v>
      </c>
      <c r="Q246" s="6">
        <v>119795.323091718</v>
      </c>
      <c r="R246" s="6">
        <v>747593.67499297496</v>
      </c>
      <c r="S246" s="6">
        <v>117298.420586707</v>
      </c>
      <c r="T246" s="6">
        <v>2341026.48</v>
      </c>
      <c r="U246" s="6">
        <v>2710546.0454075499</v>
      </c>
      <c r="V246" s="6">
        <v>3945639.9475012701</v>
      </c>
      <c r="W246" s="6">
        <v>430969.075775465</v>
      </c>
      <c r="X246" s="6">
        <v>0</v>
      </c>
      <c r="Y246" s="6">
        <v>0</v>
      </c>
      <c r="Z246" s="6">
        <v>0</v>
      </c>
      <c r="AA246" s="6">
        <v>653667.47660154104</v>
      </c>
      <c r="AB246" s="6">
        <v>21296.0255292687</v>
      </c>
      <c r="AC246" s="6">
        <v>116731.06438203801</v>
      </c>
      <c r="AD246" s="6">
        <v>567.35620466905903</v>
      </c>
      <c r="AE246" s="6">
        <v>0</v>
      </c>
      <c r="AF246" s="6">
        <v>0</v>
      </c>
      <c r="AG246" s="6">
        <v>0</v>
      </c>
      <c r="AH246" s="6">
        <v>0</v>
      </c>
      <c r="AI246" s="6">
        <v>0</v>
      </c>
      <c r="AJ246" s="6">
        <v>5168870.9459942598</v>
      </c>
      <c r="AK246" s="6">
        <v>15551.730941120901</v>
      </c>
      <c r="AL246" s="6">
        <v>330.98244656580999</v>
      </c>
      <c r="AM246" s="6">
        <v>93035.839999999997</v>
      </c>
      <c r="AN246" s="6">
        <v>8508.2171209095704</v>
      </c>
      <c r="AO246" s="6">
        <v>16106.3546475486</v>
      </c>
      <c r="AP246" s="6">
        <v>330.98244656580999</v>
      </c>
      <c r="AQ246" s="6">
        <v>93035.839999999997</v>
      </c>
      <c r="AR246" s="6">
        <v>8508.2171209095795</v>
      </c>
      <c r="AS246" s="6">
        <v>15665.001135792299</v>
      </c>
      <c r="AT246" s="6">
        <v>0</v>
      </c>
      <c r="AU246" t="s">
        <v>2973</v>
      </c>
      <c r="AV246" t="s">
        <v>2973</v>
      </c>
    </row>
    <row r="247" spans="1:48" x14ac:dyDescent="0.45">
      <c r="A247" s="5" t="s">
        <v>500</v>
      </c>
      <c r="B247">
        <v>1901</v>
      </c>
      <c r="C247" t="s">
        <v>481</v>
      </c>
      <c r="D247">
        <v>36</v>
      </c>
      <c r="E247" t="s">
        <v>501</v>
      </c>
      <c r="F247" t="s">
        <v>2739</v>
      </c>
      <c r="G247" t="s">
        <v>2740</v>
      </c>
      <c r="H247" t="s">
        <v>2741</v>
      </c>
      <c r="I247" t="s">
        <v>2742</v>
      </c>
      <c r="J247">
        <v>362.84883720928201</v>
      </c>
      <c r="K247">
        <v>2</v>
      </c>
      <c r="L247">
        <v>1</v>
      </c>
      <c r="M247">
        <v>2</v>
      </c>
      <c r="N247" s="6">
        <v>2758934.1263599899</v>
      </c>
      <c r="O247" s="6">
        <v>885718.01318897703</v>
      </c>
      <c r="P247" s="6">
        <v>912901.64415577997</v>
      </c>
      <c r="Q247" s="6">
        <v>130782.20151755599</v>
      </c>
      <c r="R247" s="6">
        <v>816158.29510576697</v>
      </c>
      <c r="S247" s="6">
        <v>128056.298718078</v>
      </c>
      <c r="T247" s="6">
        <v>2545353.89</v>
      </c>
      <c r="U247" s="6">
        <v>2959140.3903280701</v>
      </c>
      <c r="V247" s="6">
        <v>4188220.2189688901</v>
      </c>
      <c r="W247" s="6">
        <v>579407.12470020598</v>
      </c>
      <c r="X247" s="6">
        <v>0</v>
      </c>
      <c r="Y247" s="6">
        <v>0</v>
      </c>
      <c r="Z247" s="6">
        <v>0</v>
      </c>
      <c r="AA247" s="6">
        <v>713617.77274829999</v>
      </c>
      <c r="AB247" s="6">
        <v>23249.1639106767</v>
      </c>
      <c r="AC247" s="6">
        <v>127436.90814776</v>
      </c>
      <c r="AD247" s="6">
        <v>619.39057031846801</v>
      </c>
      <c r="AE247" s="6">
        <v>0</v>
      </c>
      <c r="AF247" s="6">
        <v>0</v>
      </c>
      <c r="AG247" s="6">
        <v>0</v>
      </c>
      <c r="AH247" s="6">
        <v>0</v>
      </c>
      <c r="AI247" s="6">
        <v>0</v>
      </c>
      <c r="AJ247" s="6">
        <v>5632550.57904616</v>
      </c>
      <c r="AK247" s="6">
        <v>15523.1325043421</v>
      </c>
      <c r="AL247" s="6">
        <v>330.98244656580999</v>
      </c>
      <c r="AM247" s="6">
        <v>93035.839999999997</v>
      </c>
      <c r="AN247" s="6">
        <v>8508.2171209095704</v>
      </c>
      <c r="AO247" s="6">
        <v>16106.3546475486</v>
      </c>
      <c r="AP247" s="6">
        <v>330.98244656580999</v>
      </c>
      <c r="AQ247" s="6">
        <v>93035.839999999997</v>
      </c>
      <c r="AR247" s="6">
        <v>8508.2171209095795</v>
      </c>
      <c r="AS247" s="6">
        <v>15665.001135792299</v>
      </c>
      <c r="AT247" s="6">
        <v>0</v>
      </c>
      <c r="AU247" t="s">
        <v>2973</v>
      </c>
      <c r="AV247" t="s">
        <v>2973</v>
      </c>
    </row>
    <row r="248" spans="1:48" x14ac:dyDescent="0.45">
      <c r="A248" s="5" t="s">
        <v>502</v>
      </c>
      <c r="B248">
        <v>1901</v>
      </c>
      <c r="C248" t="s">
        <v>481</v>
      </c>
      <c r="D248">
        <v>38</v>
      </c>
      <c r="E248" t="s">
        <v>503</v>
      </c>
      <c r="F248" t="s">
        <v>2739</v>
      </c>
      <c r="G248" t="s">
        <v>2747</v>
      </c>
      <c r="H248" t="s">
        <v>2741</v>
      </c>
      <c r="I248" t="s">
        <v>2742</v>
      </c>
      <c r="J248">
        <v>740.68337550787896</v>
      </c>
      <c r="K248">
        <v>1</v>
      </c>
      <c r="L248">
        <v>1</v>
      </c>
      <c r="M248">
        <v>2</v>
      </c>
      <c r="N248" s="6">
        <v>4998989.6381739303</v>
      </c>
      <c r="O248" s="6">
        <v>2011614.6962335601</v>
      </c>
      <c r="P248" s="6">
        <v>1860918.13324091</v>
      </c>
      <c r="Q248" s="6">
        <v>266965.72385735298</v>
      </c>
      <c r="R248" s="6">
        <v>1666024.0270221001</v>
      </c>
      <c r="S248" s="6">
        <v>261401.33814138299</v>
      </c>
      <c r="T248" s="6">
        <v>4764018.58</v>
      </c>
      <c r="U248" s="6">
        <v>6040493.6385278599</v>
      </c>
      <c r="V248" s="6">
        <v>8311196.4778214097</v>
      </c>
      <c r="W248" s="6">
        <v>989149.17332144198</v>
      </c>
      <c r="X248" s="6">
        <v>0</v>
      </c>
      <c r="Y248" s="6">
        <v>0</v>
      </c>
      <c r="Z248" s="6">
        <v>0</v>
      </c>
      <c r="AA248" s="6">
        <v>1456708.0462676601</v>
      </c>
      <c r="AB248" s="6">
        <v>47458.5211173317</v>
      </c>
      <c r="AC248" s="6">
        <v>260136.976094891</v>
      </c>
      <c r="AD248" s="6">
        <v>1264.3620464921701</v>
      </c>
      <c r="AE248" s="6">
        <v>0</v>
      </c>
      <c r="AF248" s="6">
        <v>0</v>
      </c>
      <c r="AG248" s="6">
        <v>0</v>
      </c>
      <c r="AH248" s="6">
        <v>0</v>
      </c>
      <c r="AI248" s="6">
        <v>0</v>
      </c>
      <c r="AJ248" s="6">
        <v>11065913.5566692</v>
      </c>
      <c r="AK248" s="6">
        <v>14940.1403117512</v>
      </c>
      <c r="AL248" s="6">
        <v>330.98244656580999</v>
      </c>
      <c r="AM248" s="6">
        <v>93035.839999999997</v>
      </c>
      <c r="AN248" s="6">
        <v>8508.2171209095704</v>
      </c>
      <c r="AO248" s="6">
        <v>16106.3546475486</v>
      </c>
      <c r="AP248" s="6">
        <v>3753.1860850462999</v>
      </c>
      <c r="AQ248" s="6">
        <v>20687.885194392002</v>
      </c>
      <c r="AR248" s="6">
        <v>14385.0193084353</v>
      </c>
      <c r="AS248" s="6">
        <v>14940.1403117512</v>
      </c>
      <c r="AT248" s="6">
        <v>0</v>
      </c>
      <c r="AU248" t="s">
        <v>2973</v>
      </c>
      <c r="AV248" t="s">
        <v>2973</v>
      </c>
    </row>
    <row r="249" spans="1:48" x14ac:dyDescent="0.45">
      <c r="A249" s="5" t="s">
        <v>504</v>
      </c>
      <c r="B249">
        <v>1901</v>
      </c>
      <c r="C249" t="s">
        <v>481</v>
      </c>
      <c r="D249">
        <v>37</v>
      </c>
      <c r="E249" t="s">
        <v>505</v>
      </c>
      <c r="F249" t="s">
        <v>2739</v>
      </c>
      <c r="G249" t="s">
        <v>2740</v>
      </c>
      <c r="H249" t="s">
        <v>2741</v>
      </c>
      <c r="I249" t="s">
        <v>2742</v>
      </c>
      <c r="J249">
        <v>318.784883720903</v>
      </c>
      <c r="K249">
        <v>1</v>
      </c>
      <c r="L249">
        <v>1</v>
      </c>
      <c r="M249">
        <v>2</v>
      </c>
      <c r="N249" s="6">
        <v>2471808.00632997</v>
      </c>
      <c r="O249" s="6">
        <v>774943.22693838004</v>
      </c>
      <c r="P249" s="6">
        <v>802563.93515532895</v>
      </c>
      <c r="Q249" s="6">
        <v>114900.158490769</v>
      </c>
      <c r="R249" s="6">
        <v>717044.952394536</v>
      </c>
      <c r="S249" s="6">
        <v>112505.28625237499</v>
      </c>
      <c r="T249" s="6">
        <v>2281474.56</v>
      </c>
      <c r="U249" s="6">
        <v>2599785.7193089798</v>
      </c>
      <c r="V249" s="6">
        <v>3755930.5784323001</v>
      </c>
      <c r="W249" s="6">
        <v>477947.05380173598</v>
      </c>
      <c r="X249" s="6">
        <v>0</v>
      </c>
      <c r="Y249" s="6">
        <v>0</v>
      </c>
      <c r="Z249" s="6">
        <v>0</v>
      </c>
      <c r="AA249" s="6">
        <v>626956.83540395496</v>
      </c>
      <c r="AB249" s="6">
        <v>20425.811670986601</v>
      </c>
      <c r="AC249" s="6">
        <v>111961.113774228</v>
      </c>
      <c r="AD249" s="6">
        <v>544.17247814662596</v>
      </c>
      <c r="AE249" s="6">
        <v>0</v>
      </c>
      <c r="AF249" s="6">
        <v>0</v>
      </c>
      <c r="AG249" s="6">
        <v>0</v>
      </c>
      <c r="AH249" s="6">
        <v>0</v>
      </c>
      <c r="AI249" s="6">
        <v>0</v>
      </c>
      <c r="AJ249" s="6">
        <v>4993765.5655613597</v>
      </c>
      <c r="AK249" s="6">
        <v>15665.001135792299</v>
      </c>
      <c r="AL249" s="6">
        <v>330.98244656580999</v>
      </c>
      <c r="AM249" s="6">
        <v>93035.839999999997</v>
      </c>
      <c r="AN249" s="6">
        <v>8508.2171209095704</v>
      </c>
      <c r="AO249" s="6">
        <v>16106.3546475486</v>
      </c>
      <c r="AP249" s="6">
        <v>330.98244656580999</v>
      </c>
      <c r="AQ249" s="6">
        <v>93035.839999999997</v>
      </c>
      <c r="AR249" s="6">
        <v>8508.2171209095795</v>
      </c>
      <c r="AS249" s="6">
        <v>15665.001135792299</v>
      </c>
      <c r="AT249" s="6">
        <v>0</v>
      </c>
      <c r="AU249" t="s">
        <v>2973</v>
      </c>
      <c r="AV249" t="s">
        <v>2973</v>
      </c>
    </row>
    <row r="250" spans="1:48" x14ac:dyDescent="0.45">
      <c r="A250" s="5" t="s">
        <v>506</v>
      </c>
      <c r="B250">
        <v>1901</v>
      </c>
      <c r="C250" t="s">
        <v>481</v>
      </c>
      <c r="D250">
        <v>39</v>
      </c>
      <c r="E250" t="s">
        <v>507</v>
      </c>
      <c r="F250" t="s">
        <v>2739</v>
      </c>
      <c r="G250" t="s">
        <v>2740</v>
      </c>
      <c r="H250" t="s">
        <v>2741</v>
      </c>
      <c r="I250" t="s">
        <v>2742</v>
      </c>
      <c r="J250">
        <v>427.534883720876</v>
      </c>
      <c r="K250">
        <v>2</v>
      </c>
      <c r="L250">
        <v>1</v>
      </c>
      <c r="M250">
        <v>2</v>
      </c>
      <c r="N250" s="6">
        <v>3208606.76002185</v>
      </c>
      <c r="O250" s="6">
        <v>953113.69272108399</v>
      </c>
      <c r="P250" s="6">
        <v>1080391.0345197001</v>
      </c>
      <c r="Q250" s="6">
        <v>154097.09935578101</v>
      </c>
      <c r="R250" s="6">
        <v>961657.04837195098</v>
      </c>
      <c r="S250" s="6">
        <v>150885.24246966699</v>
      </c>
      <c r="T250" s="6">
        <v>2871191.26</v>
      </c>
      <c r="U250" s="6">
        <v>3486674.3749903799</v>
      </c>
      <c r="V250" s="6">
        <v>4813664.2095940895</v>
      </c>
      <c r="W250" s="6">
        <v>675971.22103560902</v>
      </c>
      <c r="X250" s="6">
        <v>0</v>
      </c>
      <c r="Y250" s="6">
        <v>0</v>
      </c>
      <c r="Z250" s="6">
        <v>0</v>
      </c>
      <c r="AA250" s="6">
        <v>840836.34893150604</v>
      </c>
      <c r="AB250" s="6">
        <v>27393.855429184401</v>
      </c>
      <c r="AC250" s="6">
        <v>150155.43146215301</v>
      </c>
      <c r="AD250" s="6">
        <v>729.81100751378995</v>
      </c>
      <c r="AE250" s="6">
        <v>0</v>
      </c>
      <c r="AF250" s="6">
        <v>0</v>
      </c>
      <c r="AG250" s="6">
        <v>0</v>
      </c>
      <c r="AH250" s="6">
        <v>0</v>
      </c>
      <c r="AI250" s="6">
        <v>0</v>
      </c>
      <c r="AJ250" s="6">
        <v>6508750.8774600504</v>
      </c>
      <c r="AK250" s="6">
        <v>15223.9059905797</v>
      </c>
      <c r="AL250" s="6">
        <v>330.98244656580999</v>
      </c>
      <c r="AM250" s="6">
        <v>93035.839999999997</v>
      </c>
      <c r="AN250" s="6">
        <v>8508.2171209095704</v>
      </c>
      <c r="AO250" s="6">
        <v>16106.3546475486</v>
      </c>
      <c r="AP250" s="6">
        <v>330.98244656580999</v>
      </c>
      <c r="AQ250" s="6">
        <v>93035.839999999997</v>
      </c>
      <c r="AR250" s="6">
        <v>8508.2171209095795</v>
      </c>
      <c r="AS250" s="6">
        <v>15665.001135792299</v>
      </c>
      <c r="AT250" s="6">
        <v>0</v>
      </c>
      <c r="AU250" t="s">
        <v>2973</v>
      </c>
      <c r="AV250" t="s">
        <v>2973</v>
      </c>
    </row>
    <row r="251" spans="1:48" x14ac:dyDescent="0.45">
      <c r="A251" s="5" t="s">
        <v>508</v>
      </c>
      <c r="B251">
        <v>2216</v>
      </c>
      <c r="C251" t="s">
        <v>509</v>
      </c>
      <c r="D251">
        <v>3434</v>
      </c>
      <c r="E251" t="s">
        <v>510</v>
      </c>
      <c r="F251" t="s">
        <v>3</v>
      </c>
      <c r="G251" t="s">
        <v>2748</v>
      </c>
      <c r="H251" t="s">
        <v>2741</v>
      </c>
      <c r="I251" t="s">
        <v>2742</v>
      </c>
      <c r="J251">
        <v>292.33108108105603</v>
      </c>
      <c r="K251">
        <v>1</v>
      </c>
      <c r="L251">
        <v>1</v>
      </c>
      <c r="M251">
        <v>2</v>
      </c>
      <c r="N251" s="6">
        <v>2397105.16</v>
      </c>
      <c r="O251" s="6">
        <v>372515.41</v>
      </c>
      <c r="P251" s="6">
        <v>968450.2</v>
      </c>
      <c r="Q251" s="6">
        <v>347204.15</v>
      </c>
      <c r="R251" s="6">
        <v>328588.78000000003</v>
      </c>
      <c r="S251" s="6">
        <v>141906.26999999999</v>
      </c>
      <c r="T251" s="6">
        <v>2452147.98</v>
      </c>
      <c r="U251" s="6">
        <v>1961715.72</v>
      </c>
      <c r="V251" s="6">
        <v>3819911.62</v>
      </c>
      <c r="W251" s="6">
        <v>593952.07999999996</v>
      </c>
      <c r="X251" s="6">
        <v>0</v>
      </c>
      <c r="Y251" s="6">
        <v>0</v>
      </c>
      <c r="Z251" s="6">
        <v>0</v>
      </c>
      <c r="AA251" s="6">
        <v>0</v>
      </c>
      <c r="AB251" s="6">
        <v>0</v>
      </c>
      <c r="AC251" s="6">
        <v>141434.98000000001</v>
      </c>
      <c r="AD251" s="6">
        <v>471.29</v>
      </c>
      <c r="AE251" s="6">
        <v>0</v>
      </c>
      <c r="AF251" s="6">
        <v>0</v>
      </c>
      <c r="AG251" s="6">
        <v>0</v>
      </c>
      <c r="AH251" s="6">
        <v>0</v>
      </c>
      <c r="AI251" s="6">
        <v>0</v>
      </c>
      <c r="AJ251" s="6">
        <v>4555769.97</v>
      </c>
      <c r="AK251" s="6">
        <v>15584.281880505199</v>
      </c>
      <c r="AL251" s="6">
        <v>330.98244656580999</v>
      </c>
      <c r="AM251" s="6">
        <v>93035.839999999997</v>
      </c>
      <c r="AN251" s="6">
        <v>15584.281880505199</v>
      </c>
      <c r="AO251" s="6">
        <v>15584.281880505199</v>
      </c>
      <c r="AP251" s="6">
        <v>330.98244656580999</v>
      </c>
      <c r="AQ251" s="6">
        <v>56162.493707719797</v>
      </c>
      <c r="AR251" s="6">
        <v>15584.281880505199</v>
      </c>
      <c r="AS251" s="6">
        <v>15584.281880505199</v>
      </c>
      <c r="AT251" s="6">
        <v>0</v>
      </c>
      <c r="AU251" t="s">
        <v>2973</v>
      </c>
      <c r="AV251" t="s">
        <v>2973</v>
      </c>
    </row>
    <row r="252" spans="1:48" x14ac:dyDescent="0.45">
      <c r="A252" s="5" t="s">
        <v>511</v>
      </c>
      <c r="B252">
        <v>2086</v>
      </c>
      <c r="C252" t="s">
        <v>512</v>
      </c>
      <c r="D252">
        <v>570</v>
      </c>
      <c r="E252" t="s">
        <v>513</v>
      </c>
      <c r="F252" t="s">
        <v>2739</v>
      </c>
      <c r="G252" t="s">
        <v>2740</v>
      </c>
      <c r="H252" t="s">
        <v>2741</v>
      </c>
      <c r="I252" t="s">
        <v>2742</v>
      </c>
      <c r="J252">
        <v>621.98559389153604</v>
      </c>
      <c r="K252">
        <v>1</v>
      </c>
      <c r="L252">
        <v>1</v>
      </c>
      <c r="M252">
        <v>2</v>
      </c>
      <c r="N252" s="6">
        <v>3717968.5733639901</v>
      </c>
      <c r="O252" s="6">
        <v>838400.29497769603</v>
      </c>
      <c r="P252" s="6">
        <v>1550783.0822577099</v>
      </c>
      <c r="Q252" s="6">
        <v>374051.35830854002</v>
      </c>
      <c r="R252" s="6">
        <v>623082.17376114696</v>
      </c>
      <c r="S252" s="6">
        <v>357365.00220837299</v>
      </c>
      <c r="T252" s="6">
        <v>3294910.86</v>
      </c>
      <c r="U252" s="6">
        <v>3809374.6226690901</v>
      </c>
      <c r="V252" s="6">
        <v>6188769.44920999</v>
      </c>
      <c r="W252" s="6">
        <v>915516.03345909796</v>
      </c>
      <c r="X252" s="6">
        <v>0</v>
      </c>
      <c r="Y252" s="6">
        <v>0</v>
      </c>
      <c r="Z252" s="6">
        <v>0</v>
      </c>
      <c r="AA252" s="6">
        <v>0</v>
      </c>
      <c r="AB252" s="6">
        <v>0</v>
      </c>
      <c r="AC252" s="6">
        <v>255753.46905178999</v>
      </c>
      <c r="AD252" s="6">
        <v>101611.53315658199</v>
      </c>
      <c r="AE252" s="6">
        <v>0</v>
      </c>
      <c r="AF252" s="6">
        <v>0</v>
      </c>
      <c r="AG252" s="6">
        <v>0</v>
      </c>
      <c r="AH252" s="6">
        <v>0</v>
      </c>
      <c r="AI252" s="6">
        <v>0</v>
      </c>
      <c r="AJ252" s="6">
        <v>7461650.4848774597</v>
      </c>
      <c r="AK252" s="6">
        <v>11996.5004947987</v>
      </c>
      <c r="AL252" s="6">
        <v>330.98244656580999</v>
      </c>
      <c r="AM252" s="6">
        <v>93035.839999999997</v>
      </c>
      <c r="AN252" s="6">
        <v>6699.0934610039703</v>
      </c>
      <c r="AO252" s="6">
        <v>14448.290357760399</v>
      </c>
      <c r="AP252" s="6">
        <v>330.98244656580999</v>
      </c>
      <c r="AQ252" s="6">
        <v>93035.839999999997</v>
      </c>
      <c r="AR252" s="6">
        <v>11996.5004947987</v>
      </c>
      <c r="AS252" s="6">
        <v>11996.5004947987</v>
      </c>
      <c r="AT252" s="6">
        <v>0</v>
      </c>
      <c r="AU252" t="s">
        <v>2973</v>
      </c>
      <c r="AV252" t="s">
        <v>2973</v>
      </c>
    </row>
    <row r="253" spans="1:48" x14ac:dyDescent="0.45">
      <c r="A253" s="5" t="s">
        <v>514</v>
      </c>
      <c r="B253">
        <v>2086</v>
      </c>
      <c r="C253" t="s">
        <v>512</v>
      </c>
      <c r="D253">
        <v>572</v>
      </c>
      <c r="E253" t="s">
        <v>515</v>
      </c>
      <c r="F253" t="s">
        <v>2739</v>
      </c>
      <c r="G253" t="s">
        <v>2744</v>
      </c>
      <c r="H253" t="s">
        <v>2745</v>
      </c>
      <c r="I253" t="s">
        <v>2742</v>
      </c>
      <c r="J253">
        <v>354.43278530574099</v>
      </c>
      <c r="K253">
        <v>1</v>
      </c>
      <c r="L253">
        <v>1</v>
      </c>
      <c r="M253">
        <v>2</v>
      </c>
      <c r="N253" s="6">
        <v>2297660.1456122501</v>
      </c>
      <c r="O253" s="6">
        <v>1156769.56929077</v>
      </c>
      <c r="P253" s="6">
        <v>883699.51434192399</v>
      </c>
      <c r="Q253" s="6">
        <v>213149.73541945199</v>
      </c>
      <c r="R253" s="6">
        <v>366027.66128568898</v>
      </c>
      <c r="S253" s="6">
        <v>203641.16845701999</v>
      </c>
      <c r="T253" s="6">
        <v>2746569.44</v>
      </c>
      <c r="U253" s="6">
        <v>2170737.1859500902</v>
      </c>
      <c r="V253" s="6">
        <v>3928500.8045443101</v>
      </c>
      <c r="W253" s="6">
        <v>988805.82140577806</v>
      </c>
      <c r="X253" s="6">
        <v>0</v>
      </c>
      <c r="Y253" s="6">
        <v>0</v>
      </c>
      <c r="Z253" s="6">
        <v>0</v>
      </c>
      <c r="AA253" s="6">
        <v>0</v>
      </c>
      <c r="AB253" s="6">
        <v>0</v>
      </c>
      <c r="AC253" s="6">
        <v>145738.76835391601</v>
      </c>
      <c r="AD253" s="6">
        <v>57902.4001031035</v>
      </c>
      <c r="AE253" s="6">
        <v>0</v>
      </c>
      <c r="AF253" s="6">
        <v>0</v>
      </c>
      <c r="AG253" s="6">
        <v>0</v>
      </c>
      <c r="AH253" s="6">
        <v>0</v>
      </c>
      <c r="AI253" s="6">
        <v>0</v>
      </c>
      <c r="AJ253" s="6">
        <v>5120947.7944071097</v>
      </c>
      <c r="AK253" s="6">
        <v>14448.290357760399</v>
      </c>
      <c r="AL253" s="6">
        <v>330.98244656580999</v>
      </c>
      <c r="AM253" s="6">
        <v>93035.839999999997</v>
      </c>
      <c r="AN253" s="6">
        <v>6699.0934610039703</v>
      </c>
      <c r="AO253" s="6">
        <v>14448.290357760399</v>
      </c>
      <c r="AP253" s="6">
        <v>330.98244656580999</v>
      </c>
      <c r="AQ253" s="6">
        <v>40734.411818744898</v>
      </c>
      <c r="AR253" s="6">
        <v>14448.290357760399</v>
      </c>
      <c r="AS253" s="6">
        <v>14448.290357760399</v>
      </c>
      <c r="AT253" s="6">
        <v>0</v>
      </c>
      <c r="AU253" t="s">
        <v>2973</v>
      </c>
      <c r="AV253" t="s">
        <v>2973</v>
      </c>
    </row>
    <row r="254" spans="1:48" x14ac:dyDescent="0.45">
      <c r="A254" s="5" t="s">
        <v>516</v>
      </c>
      <c r="B254">
        <v>2086</v>
      </c>
      <c r="C254" t="s">
        <v>512</v>
      </c>
      <c r="D254">
        <v>571</v>
      </c>
      <c r="E254" t="s">
        <v>517</v>
      </c>
      <c r="F254" t="s">
        <v>2739</v>
      </c>
      <c r="G254" t="s">
        <v>2747</v>
      </c>
      <c r="H254" t="s">
        <v>2741</v>
      </c>
      <c r="I254" t="s">
        <v>2742</v>
      </c>
      <c r="J254">
        <v>289.08579881654401</v>
      </c>
      <c r="K254">
        <v>1</v>
      </c>
      <c r="L254">
        <v>1</v>
      </c>
      <c r="M254">
        <v>2</v>
      </c>
      <c r="N254" s="6">
        <v>1812622.8800580399</v>
      </c>
      <c r="O254" s="6">
        <v>714562.27332373103</v>
      </c>
      <c r="P254" s="6">
        <v>720771.301664314</v>
      </c>
      <c r="Q254" s="6">
        <v>173851.19008703899</v>
      </c>
      <c r="R254" s="6">
        <v>289595.46603502298</v>
      </c>
      <c r="S254" s="6">
        <v>166095.72335287699</v>
      </c>
      <c r="T254" s="6">
        <v>1940886.05</v>
      </c>
      <c r="U254" s="6">
        <v>1770517.06116814</v>
      </c>
      <c r="V254" s="6">
        <v>3167302.3708387101</v>
      </c>
      <c r="W254" s="6">
        <v>544100.74032942497</v>
      </c>
      <c r="X254" s="6">
        <v>0</v>
      </c>
      <c r="Y254" s="6">
        <v>0</v>
      </c>
      <c r="Z254" s="6">
        <v>0</v>
      </c>
      <c r="AA254" s="6">
        <v>0</v>
      </c>
      <c r="AB254" s="6">
        <v>0</v>
      </c>
      <c r="AC254" s="6">
        <v>118868.823694704</v>
      </c>
      <c r="AD254" s="6">
        <v>47226.8996581725</v>
      </c>
      <c r="AE254" s="6">
        <v>0</v>
      </c>
      <c r="AF254" s="6">
        <v>0</v>
      </c>
      <c r="AG254" s="6">
        <v>0</v>
      </c>
      <c r="AH254" s="6">
        <v>0</v>
      </c>
      <c r="AI254" s="6">
        <v>0</v>
      </c>
      <c r="AJ254" s="6">
        <v>3877498.8345210101</v>
      </c>
      <c r="AK254" s="6">
        <v>13412.9689192436</v>
      </c>
      <c r="AL254" s="6">
        <v>330.98244656580999</v>
      </c>
      <c r="AM254" s="6">
        <v>93035.839999999997</v>
      </c>
      <c r="AN254" s="6">
        <v>6699.0934610039703</v>
      </c>
      <c r="AO254" s="6">
        <v>14448.290357760399</v>
      </c>
      <c r="AP254" s="6">
        <v>3753.1860850462999</v>
      </c>
      <c r="AQ254" s="6">
        <v>20687.885194392002</v>
      </c>
      <c r="AR254" s="6">
        <v>13412.9689192436</v>
      </c>
      <c r="AS254" s="6">
        <v>13412.9689192436</v>
      </c>
      <c r="AT254" s="6">
        <v>0</v>
      </c>
      <c r="AU254" t="s">
        <v>2973</v>
      </c>
      <c r="AV254" t="s">
        <v>2973</v>
      </c>
    </row>
    <row r="255" spans="1:48" x14ac:dyDescent="0.45">
      <c r="A255" s="5" t="s">
        <v>518</v>
      </c>
      <c r="B255">
        <v>2086</v>
      </c>
      <c r="C255" t="s">
        <v>512</v>
      </c>
      <c r="D255">
        <v>2086</v>
      </c>
      <c r="E255" t="s">
        <v>512</v>
      </c>
      <c r="F255" t="s">
        <v>1</v>
      </c>
      <c r="G255" t="s">
        <v>1</v>
      </c>
      <c r="H255" t="s">
        <v>2743</v>
      </c>
      <c r="I255" t="s">
        <v>2742</v>
      </c>
      <c r="J255">
        <v>15.695806724662001</v>
      </c>
      <c r="K255">
        <v>1</v>
      </c>
      <c r="L255">
        <v>5</v>
      </c>
      <c r="M255">
        <v>2</v>
      </c>
      <c r="N255" s="6">
        <v>24249.060965714201</v>
      </c>
      <c r="O255" s="6">
        <v>7583.8324077951202</v>
      </c>
      <c r="P255" s="6">
        <v>39134.011736029599</v>
      </c>
      <c r="Q255" s="6">
        <v>9439.1861849648303</v>
      </c>
      <c r="R255" s="6">
        <v>15723.478918135001</v>
      </c>
      <c r="S255" s="6">
        <v>9018.1059817265905</v>
      </c>
      <c r="T255" s="6">
        <v>0</v>
      </c>
      <c r="U255" s="6">
        <v>96129.570212638704</v>
      </c>
      <c r="V255" s="6">
        <v>79203.925406947004</v>
      </c>
      <c r="W255" s="6">
        <v>16925.6448056917</v>
      </c>
      <c r="X255" s="6">
        <v>0</v>
      </c>
      <c r="Y255" s="6">
        <v>0</v>
      </c>
      <c r="Z255" s="6">
        <v>0</v>
      </c>
      <c r="AA255" s="6">
        <v>0</v>
      </c>
      <c r="AB255" s="6">
        <v>0</v>
      </c>
      <c r="AC255" s="6">
        <v>6453.93889958606</v>
      </c>
      <c r="AD255" s="6">
        <v>2564.1670821405301</v>
      </c>
      <c r="AE255" s="6">
        <v>0</v>
      </c>
      <c r="AF255" s="6">
        <v>0</v>
      </c>
      <c r="AG255" s="6">
        <v>0</v>
      </c>
      <c r="AH255" s="6">
        <v>0</v>
      </c>
      <c r="AI255" s="6">
        <v>0</v>
      </c>
      <c r="AJ255" s="6">
        <v>105147.67619436501</v>
      </c>
      <c r="AK255" s="6">
        <v>6699.0934610039703</v>
      </c>
      <c r="AL255" s="6">
        <v>330.98244656580999</v>
      </c>
      <c r="AM255" s="6">
        <v>93035.839999999997</v>
      </c>
      <c r="AN255" s="6">
        <v>6699.0934610039703</v>
      </c>
      <c r="AO255" s="6">
        <v>14448.290357760399</v>
      </c>
      <c r="AP255" s="6">
        <v>634.54287297753501</v>
      </c>
      <c r="AQ255" s="6">
        <v>40331.279999999999</v>
      </c>
      <c r="AR255" s="6">
        <v>6699.0934610039703</v>
      </c>
      <c r="AS255" s="6">
        <v>6699.0934610039703</v>
      </c>
      <c r="AT255" s="6">
        <v>0</v>
      </c>
      <c r="AU255" t="s">
        <v>2973</v>
      </c>
      <c r="AV255" t="s">
        <v>2977</v>
      </c>
    </row>
    <row r="256" spans="1:48" x14ac:dyDescent="0.45">
      <c r="A256" s="5" t="s">
        <v>519</v>
      </c>
      <c r="B256">
        <v>1970</v>
      </c>
      <c r="C256" t="s">
        <v>520</v>
      </c>
      <c r="D256">
        <v>5302</v>
      </c>
      <c r="E256" t="s">
        <v>521</v>
      </c>
      <c r="F256" t="s">
        <v>2739</v>
      </c>
      <c r="G256" t="s">
        <v>2740</v>
      </c>
      <c r="H256" t="s">
        <v>2741</v>
      </c>
      <c r="I256" t="s">
        <v>2742</v>
      </c>
      <c r="J256">
        <v>631.58155732727005</v>
      </c>
      <c r="K256">
        <v>1</v>
      </c>
      <c r="L256">
        <v>1</v>
      </c>
      <c r="M256">
        <v>2</v>
      </c>
      <c r="N256" s="6">
        <v>1653262.0355078401</v>
      </c>
      <c r="O256" s="6">
        <v>666786.178452992</v>
      </c>
      <c r="P256" s="6">
        <v>1142020.7936120899</v>
      </c>
      <c r="Q256" s="6">
        <v>270000.26837936102</v>
      </c>
      <c r="R256" s="6">
        <v>734821.79622630705</v>
      </c>
      <c r="S256" s="6">
        <v>247462.149081618</v>
      </c>
      <c r="T256" s="6">
        <v>0</v>
      </c>
      <c r="U256" s="6">
        <v>4466891.0721785901</v>
      </c>
      <c r="V256" s="6">
        <v>3659133.0138475099</v>
      </c>
      <c r="W256" s="6">
        <v>807758.05833108095</v>
      </c>
      <c r="X256" s="6">
        <v>0</v>
      </c>
      <c r="Y256" s="6">
        <v>0</v>
      </c>
      <c r="Z256" s="6">
        <v>0</v>
      </c>
      <c r="AA256" s="6">
        <v>0</v>
      </c>
      <c r="AB256" s="6">
        <v>0</v>
      </c>
      <c r="AC256" s="6">
        <v>247462.149081618</v>
      </c>
      <c r="AD256" s="6">
        <v>0</v>
      </c>
      <c r="AE256" s="6">
        <v>0</v>
      </c>
      <c r="AF256" s="6">
        <v>0</v>
      </c>
      <c r="AG256" s="6">
        <v>0</v>
      </c>
      <c r="AH256" s="6">
        <v>0</v>
      </c>
      <c r="AI256" s="6">
        <v>0</v>
      </c>
      <c r="AJ256" s="6">
        <v>4714353.2212602096</v>
      </c>
      <c r="AK256" s="6">
        <v>7464.3617543400596</v>
      </c>
      <c r="AL256" s="6">
        <v>330.98244656580999</v>
      </c>
      <c r="AM256" s="6">
        <v>93035.839999999997</v>
      </c>
      <c r="AN256" s="6">
        <v>7464.3617543400496</v>
      </c>
      <c r="AO256" s="6">
        <v>33768.942723767403</v>
      </c>
      <c r="AP256" s="6">
        <v>330.98244656580999</v>
      </c>
      <c r="AQ256" s="6">
        <v>93035.839999999997</v>
      </c>
      <c r="AR256" s="6">
        <v>7464.3617543400496</v>
      </c>
      <c r="AS256" s="6">
        <v>33768.942723767403</v>
      </c>
      <c r="AT256" s="6">
        <v>0</v>
      </c>
      <c r="AU256" t="s">
        <v>2973</v>
      </c>
      <c r="AV256" t="s">
        <v>2976</v>
      </c>
    </row>
    <row r="257" spans="1:48" x14ac:dyDescent="0.45">
      <c r="A257" s="5" t="s">
        <v>522</v>
      </c>
      <c r="B257">
        <v>1970</v>
      </c>
      <c r="C257" t="s">
        <v>520</v>
      </c>
      <c r="D257">
        <v>265</v>
      </c>
      <c r="E257" t="s">
        <v>523</v>
      </c>
      <c r="F257" t="s">
        <v>2739</v>
      </c>
      <c r="G257" t="s">
        <v>2740</v>
      </c>
      <c r="H257" t="s">
        <v>2741</v>
      </c>
      <c r="I257" t="s">
        <v>2742</v>
      </c>
      <c r="J257">
        <v>11.644444444444</v>
      </c>
      <c r="K257">
        <v>1</v>
      </c>
      <c r="L257">
        <v>1</v>
      </c>
      <c r="M257">
        <v>2</v>
      </c>
      <c r="N257" s="6">
        <v>30481.1274193112</v>
      </c>
      <c r="O257" s="6">
        <v>12293.5106657899</v>
      </c>
      <c r="P257" s="6">
        <v>21055.392658853401</v>
      </c>
      <c r="Q257" s="6">
        <v>4977.9843769239396</v>
      </c>
      <c r="R257" s="6">
        <v>13547.8806869118</v>
      </c>
      <c r="S257" s="6">
        <v>4562.44995385523</v>
      </c>
      <c r="T257" s="6">
        <v>0</v>
      </c>
      <c r="U257" s="6">
        <v>82355.895807790206</v>
      </c>
      <c r="V257" s="6">
        <v>67463.292112089999</v>
      </c>
      <c r="W257" s="6">
        <v>14892.6036957003</v>
      </c>
      <c r="X257" s="6">
        <v>0</v>
      </c>
      <c r="Y257" s="6">
        <v>0</v>
      </c>
      <c r="Z257" s="6">
        <v>0</v>
      </c>
      <c r="AA257" s="6">
        <v>0</v>
      </c>
      <c r="AB257" s="6">
        <v>0</v>
      </c>
      <c r="AC257" s="6">
        <v>4562.44995385523</v>
      </c>
      <c r="AD257" s="6">
        <v>0</v>
      </c>
      <c r="AE257" s="6">
        <v>0</v>
      </c>
      <c r="AF257" s="6">
        <v>0</v>
      </c>
      <c r="AG257" s="6">
        <v>0</v>
      </c>
      <c r="AH257" s="6">
        <v>0</v>
      </c>
      <c r="AI257" s="6">
        <v>0</v>
      </c>
      <c r="AJ257" s="6">
        <v>86918.345761645396</v>
      </c>
      <c r="AK257" s="6">
        <v>7464.3617543400496</v>
      </c>
      <c r="AL257" s="6">
        <v>330.98244656580999</v>
      </c>
      <c r="AM257" s="6">
        <v>93035.839999999997</v>
      </c>
      <c r="AN257" s="6">
        <v>7464.3617543400496</v>
      </c>
      <c r="AO257" s="6">
        <v>33768.942723767403</v>
      </c>
      <c r="AP257" s="6">
        <v>330.98244656580999</v>
      </c>
      <c r="AQ257" s="6">
        <v>93035.839999999997</v>
      </c>
      <c r="AR257" s="6">
        <v>7464.3617543400496</v>
      </c>
      <c r="AS257" s="6">
        <v>33768.942723767403</v>
      </c>
      <c r="AT257" s="6">
        <v>0</v>
      </c>
      <c r="AU257" t="s">
        <v>2973</v>
      </c>
      <c r="AV257" t="s">
        <v>2976</v>
      </c>
    </row>
    <row r="258" spans="1:48" x14ac:dyDescent="0.45">
      <c r="A258" s="5" t="s">
        <v>524</v>
      </c>
      <c r="B258">
        <v>1970</v>
      </c>
      <c r="C258" t="s">
        <v>520</v>
      </c>
      <c r="D258">
        <v>225</v>
      </c>
      <c r="E258" t="s">
        <v>525</v>
      </c>
      <c r="F258" t="s">
        <v>2739</v>
      </c>
      <c r="G258" t="s">
        <v>2744</v>
      </c>
      <c r="H258" t="s">
        <v>2745</v>
      </c>
      <c r="I258" t="s">
        <v>2742</v>
      </c>
      <c r="J258">
        <v>720.31690327854199</v>
      </c>
      <c r="K258">
        <v>1</v>
      </c>
      <c r="L258">
        <v>1</v>
      </c>
      <c r="M258">
        <v>2</v>
      </c>
      <c r="N258" s="6">
        <v>5368119.6051914003</v>
      </c>
      <c r="O258" s="6">
        <v>3013429.7298362101</v>
      </c>
      <c r="P258" s="6">
        <v>2192601.6167180901</v>
      </c>
      <c r="Q258" s="6">
        <v>308977.35971941397</v>
      </c>
      <c r="R258" s="6">
        <v>1471502.31123525</v>
      </c>
      <c r="S258" s="6">
        <v>282229.85113664198</v>
      </c>
      <c r="T258" s="6">
        <v>7260154.5300000003</v>
      </c>
      <c r="U258" s="6">
        <v>5094476.0927003697</v>
      </c>
      <c r="V258" s="6">
        <v>9487269.8196605407</v>
      </c>
      <c r="W258" s="6">
        <v>2867360.8030398502</v>
      </c>
      <c r="X258" s="6">
        <v>0</v>
      </c>
      <c r="Y258" s="6">
        <v>0</v>
      </c>
      <c r="Z258" s="6">
        <v>0</v>
      </c>
      <c r="AA258" s="6">
        <v>0</v>
      </c>
      <c r="AB258" s="6">
        <v>0</v>
      </c>
      <c r="AC258" s="6">
        <v>282229.85113664198</v>
      </c>
      <c r="AD258" s="6">
        <v>0</v>
      </c>
      <c r="AE258" s="6">
        <v>0</v>
      </c>
      <c r="AF258" s="6">
        <v>0</v>
      </c>
      <c r="AG258" s="6">
        <v>0</v>
      </c>
      <c r="AH258" s="6">
        <v>0</v>
      </c>
      <c r="AI258" s="6">
        <v>0</v>
      </c>
      <c r="AJ258" s="6">
        <v>12636860.473836999</v>
      </c>
      <c r="AK258" s="6">
        <v>17543.473457751701</v>
      </c>
      <c r="AL258" s="6">
        <v>330.98244656580999</v>
      </c>
      <c r="AM258" s="6">
        <v>93035.839999999997</v>
      </c>
      <c r="AN258" s="6">
        <v>7464.3617543400496</v>
      </c>
      <c r="AO258" s="6">
        <v>33768.942723767403</v>
      </c>
      <c r="AP258" s="6">
        <v>330.98244656580999</v>
      </c>
      <c r="AQ258" s="6">
        <v>40734.411818744898</v>
      </c>
      <c r="AR258" s="6">
        <v>17543.473457751701</v>
      </c>
      <c r="AS258" s="6">
        <v>22437.529934647599</v>
      </c>
      <c r="AT258" s="6">
        <v>0</v>
      </c>
      <c r="AU258" t="s">
        <v>2973</v>
      </c>
      <c r="AV258" t="s">
        <v>2973</v>
      </c>
    </row>
    <row r="259" spans="1:48" x14ac:dyDescent="0.45">
      <c r="A259" s="5" t="s">
        <v>526</v>
      </c>
      <c r="B259">
        <v>1970</v>
      </c>
      <c r="C259" t="s">
        <v>520</v>
      </c>
      <c r="D259">
        <v>224</v>
      </c>
      <c r="E259" t="s">
        <v>527</v>
      </c>
      <c r="F259" t="s">
        <v>2739</v>
      </c>
      <c r="G259" t="s">
        <v>2747</v>
      </c>
      <c r="H259" t="s">
        <v>2741</v>
      </c>
      <c r="I259" t="s">
        <v>2742</v>
      </c>
      <c r="J259">
        <v>608.27035939598204</v>
      </c>
      <c r="K259">
        <v>1</v>
      </c>
      <c r="L259">
        <v>1</v>
      </c>
      <c r="M259">
        <v>2</v>
      </c>
      <c r="N259" s="6">
        <v>4649429.9633135302</v>
      </c>
      <c r="O259" s="6">
        <v>1522665.2245636201</v>
      </c>
      <c r="P259" s="6">
        <v>1674492.6792597601</v>
      </c>
      <c r="Q259" s="6">
        <v>260034.762539819</v>
      </c>
      <c r="R259" s="6">
        <v>718126.08910628001</v>
      </c>
      <c r="S259" s="6">
        <v>238328.508191033</v>
      </c>
      <c r="T259" s="6">
        <v>4522727.22</v>
      </c>
      <c r="U259" s="6">
        <v>4302021.4987830101</v>
      </c>
      <c r="V259" s="6">
        <v>7610631.7998809796</v>
      </c>
      <c r="W259" s="6">
        <v>1214116.91890203</v>
      </c>
      <c r="X259" s="6">
        <v>0</v>
      </c>
      <c r="Y259" s="6">
        <v>0</v>
      </c>
      <c r="Z259" s="6">
        <v>0</v>
      </c>
      <c r="AA259" s="6">
        <v>0</v>
      </c>
      <c r="AB259" s="6">
        <v>0</v>
      </c>
      <c r="AC259" s="6">
        <v>238328.508191033</v>
      </c>
      <c r="AD259" s="6">
        <v>0</v>
      </c>
      <c r="AE259" s="6">
        <v>0</v>
      </c>
      <c r="AF259" s="6">
        <v>0</v>
      </c>
      <c r="AG259" s="6">
        <v>0</v>
      </c>
      <c r="AH259" s="6">
        <v>0</v>
      </c>
      <c r="AI259" s="6">
        <v>0</v>
      </c>
      <c r="AJ259" s="6">
        <v>9063077.2269740608</v>
      </c>
      <c r="AK259" s="6">
        <v>14899.751544648299</v>
      </c>
      <c r="AL259" s="6">
        <v>330.98244656580999</v>
      </c>
      <c r="AM259" s="6">
        <v>93035.839999999997</v>
      </c>
      <c r="AN259" s="6">
        <v>7464.3617543400496</v>
      </c>
      <c r="AO259" s="6">
        <v>33768.942723767403</v>
      </c>
      <c r="AP259" s="6">
        <v>3753.1860850462999</v>
      </c>
      <c r="AQ259" s="6">
        <v>20687.885194392002</v>
      </c>
      <c r="AR259" s="6">
        <v>14899.751544648299</v>
      </c>
      <c r="AS259" s="6">
        <v>14899.751544648299</v>
      </c>
      <c r="AT259" s="6">
        <v>0</v>
      </c>
      <c r="AU259" t="s">
        <v>2973</v>
      </c>
      <c r="AV259" t="s">
        <v>2973</v>
      </c>
    </row>
    <row r="260" spans="1:48" x14ac:dyDescent="0.45">
      <c r="A260" s="5" t="s">
        <v>528</v>
      </c>
      <c r="B260">
        <v>1970</v>
      </c>
      <c r="C260" t="s">
        <v>520</v>
      </c>
      <c r="D260">
        <v>1970</v>
      </c>
      <c r="E260" t="s">
        <v>520</v>
      </c>
      <c r="F260" t="s">
        <v>1</v>
      </c>
      <c r="G260" t="s">
        <v>1</v>
      </c>
      <c r="H260" t="s">
        <v>2743</v>
      </c>
      <c r="I260" t="s">
        <v>2742</v>
      </c>
      <c r="J260">
        <v>46.4511118172449</v>
      </c>
      <c r="K260">
        <v>1</v>
      </c>
      <c r="L260">
        <v>1</v>
      </c>
      <c r="M260">
        <v>2</v>
      </c>
      <c r="N260" s="6">
        <v>121592.94200984199</v>
      </c>
      <c r="O260" s="6">
        <v>49040.316288817703</v>
      </c>
      <c r="P260" s="6">
        <v>83992.5342440065</v>
      </c>
      <c r="Q260" s="6">
        <v>19857.787979513399</v>
      </c>
      <c r="R260" s="6">
        <v>54044.151584638297</v>
      </c>
      <c r="S260" s="6">
        <v>18200.170388397801</v>
      </c>
      <c r="T260" s="6">
        <v>0</v>
      </c>
      <c r="U260" s="6">
        <v>328527.732106818</v>
      </c>
      <c r="V260" s="6">
        <v>269119.31611759902</v>
      </c>
      <c r="W260" s="6">
        <v>59408.415989219699</v>
      </c>
      <c r="X260" s="6">
        <v>0</v>
      </c>
      <c r="Y260" s="6">
        <v>0</v>
      </c>
      <c r="Z260" s="6">
        <v>0</v>
      </c>
      <c r="AA260" s="6">
        <v>0</v>
      </c>
      <c r="AB260" s="6">
        <v>0</v>
      </c>
      <c r="AC260" s="6">
        <v>18200.170388397801</v>
      </c>
      <c r="AD260" s="6">
        <v>0</v>
      </c>
      <c r="AE260" s="6">
        <v>0</v>
      </c>
      <c r="AF260" s="6">
        <v>0</v>
      </c>
      <c r="AG260" s="6">
        <v>0</v>
      </c>
      <c r="AH260" s="6">
        <v>0</v>
      </c>
      <c r="AI260" s="6">
        <v>0</v>
      </c>
      <c r="AJ260" s="6">
        <v>346727.902495216</v>
      </c>
      <c r="AK260" s="6">
        <v>7464.3617543400596</v>
      </c>
      <c r="AL260" s="6">
        <v>330.98244656580999</v>
      </c>
      <c r="AM260" s="6">
        <v>93035.839999999997</v>
      </c>
      <c r="AN260" s="6">
        <v>7464.3617543400496</v>
      </c>
      <c r="AO260" s="6">
        <v>33768.942723767403</v>
      </c>
      <c r="AP260" s="6">
        <v>634.54287297753501</v>
      </c>
      <c r="AQ260" s="6">
        <v>40331.279999999999</v>
      </c>
      <c r="AR260" s="6">
        <v>7464.3617543400596</v>
      </c>
      <c r="AS260" s="6">
        <v>7464.3617543400596</v>
      </c>
      <c r="AT260" s="6">
        <v>0</v>
      </c>
      <c r="AU260" t="s">
        <v>2973</v>
      </c>
      <c r="AV260" t="s">
        <v>2977</v>
      </c>
    </row>
    <row r="261" spans="1:48" x14ac:dyDescent="0.45">
      <c r="A261" s="5" t="s">
        <v>529</v>
      </c>
      <c r="B261">
        <v>1970</v>
      </c>
      <c r="C261" t="s">
        <v>520</v>
      </c>
      <c r="D261">
        <v>219</v>
      </c>
      <c r="E261" t="s">
        <v>530</v>
      </c>
      <c r="F261" t="s">
        <v>2739</v>
      </c>
      <c r="G261" t="s">
        <v>2740</v>
      </c>
      <c r="H261" t="s">
        <v>2745</v>
      </c>
      <c r="I261" t="s">
        <v>2742</v>
      </c>
      <c r="J261">
        <v>600.83373763147199</v>
      </c>
      <c r="K261">
        <v>1</v>
      </c>
      <c r="L261">
        <v>1</v>
      </c>
      <c r="M261">
        <v>2</v>
      </c>
      <c r="N261" s="6">
        <v>4168281.5000677402</v>
      </c>
      <c r="O261" s="6">
        <v>1327613.0823802799</v>
      </c>
      <c r="P261" s="6">
        <v>1527774.50840323</v>
      </c>
      <c r="Q261" s="6">
        <v>256855.61671303099</v>
      </c>
      <c r="R261" s="6">
        <v>714408.93456989306</v>
      </c>
      <c r="S261" s="6">
        <v>235414.739759383</v>
      </c>
      <c r="T261" s="6">
        <v>3745508.01</v>
      </c>
      <c r="U261" s="6">
        <v>4249425.6321341703</v>
      </c>
      <c r="V261" s="6">
        <v>6838193.4132604096</v>
      </c>
      <c r="W261" s="6">
        <v>1156740.22887376</v>
      </c>
      <c r="X261" s="6">
        <v>0</v>
      </c>
      <c r="Y261" s="6">
        <v>0</v>
      </c>
      <c r="Z261" s="6">
        <v>0</v>
      </c>
      <c r="AA261" s="6">
        <v>0</v>
      </c>
      <c r="AB261" s="6">
        <v>0</v>
      </c>
      <c r="AC261" s="6">
        <v>235414.739759383</v>
      </c>
      <c r="AD261" s="6">
        <v>0</v>
      </c>
      <c r="AE261" s="6">
        <v>0</v>
      </c>
      <c r="AF261" s="6">
        <v>0</v>
      </c>
      <c r="AG261" s="6">
        <v>0</v>
      </c>
      <c r="AH261" s="6">
        <v>0</v>
      </c>
      <c r="AI261" s="6">
        <v>0</v>
      </c>
      <c r="AJ261" s="6">
        <v>8230348.38189355</v>
      </c>
      <c r="AK261" s="6">
        <v>13698.212777361899</v>
      </c>
      <c r="AL261" s="6">
        <v>330.98244656580999</v>
      </c>
      <c r="AM261" s="6">
        <v>93035.839999999997</v>
      </c>
      <c r="AN261" s="6">
        <v>7464.3617543400496</v>
      </c>
      <c r="AO261" s="6">
        <v>33768.942723767403</v>
      </c>
      <c r="AP261" s="6">
        <v>330.98244656580999</v>
      </c>
      <c r="AQ261" s="6">
        <v>93035.839999999997</v>
      </c>
      <c r="AR261" s="6">
        <v>7464.3617543400496</v>
      </c>
      <c r="AS261" s="6">
        <v>33768.942723767403</v>
      </c>
      <c r="AT261" s="6">
        <v>0</v>
      </c>
      <c r="AU261" t="s">
        <v>2973</v>
      </c>
      <c r="AV261" t="s">
        <v>2973</v>
      </c>
    </row>
    <row r="262" spans="1:48" x14ac:dyDescent="0.45">
      <c r="A262" s="5" t="s">
        <v>532</v>
      </c>
      <c r="B262">
        <v>1970</v>
      </c>
      <c r="C262" t="s">
        <v>520</v>
      </c>
      <c r="D262">
        <v>222</v>
      </c>
      <c r="E262" t="s">
        <v>533</v>
      </c>
      <c r="F262" t="s">
        <v>2739</v>
      </c>
      <c r="G262" t="s">
        <v>2740</v>
      </c>
      <c r="H262" t="s">
        <v>2745</v>
      </c>
      <c r="I262" t="s">
        <v>2742</v>
      </c>
      <c r="J262">
        <v>19.720588235293</v>
      </c>
      <c r="K262">
        <v>1</v>
      </c>
      <c r="L262">
        <v>1</v>
      </c>
      <c r="M262">
        <v>2</v>
      </c>
      <c r="N262" s="6">
        <v>264650.89810165903</v>
      </c>
      <c r="O262" s="6">
        <v>145987.102101681</v>
      </c>
      <c r="P262" s="6">
        <v>193835.372202472</v>
      </c>
      <c r="Q262" s="6">
        <v>8430.5250119406592</v>
      </c>
      <c r="R262" s="6">
        <v>45312.725461710703</v>
      </c>
      <c r="S262" s="6">
        <v>7726.79171714719</v>
      </c>
      <c r="T262" s="6">
        <v>518741.81</v>
      </c>
      <c r="U262" s="6">
        <v>139474.81287946299</v>
      </c>
      <c r="V262" s="6">
        <v>558424.73567422503</v>
      </c>
      <c r="W262" s="6">
        <v>99791.887205237304</v>
      </c>
      <c r="X262" s="6">
        <v>0</v>
      </c>
      <c r="Y262" s="6">
        <v>0</v>
      </c>
      <c r="Z262" s="6">
        <v>0</v>
      </c>
      <c r="AA262" s="6">
        <v>0</v>
      </c>
      <c r="AB262" s="6">
        <v>0</v>
      </c>
      <c r="AC262" s="6">
        <v>7726.79171714719</v>
      </c>
      <c r="AD262" s="6">
        <v>0</v>
      </c>
      <c r="AE262" s="6">
        <v>0</v>
      </c>
      <c r="AF262" s="6">
        <v>0</v>
      </c>
      <c r="AG262" s="6">
        <v>0</v>
      </c>
      <c r="AH262" s="6">
        <v>0</v>
      </c>
      <c r="AI262" s="6">
        <v>0</v>
      </c>
      <c r="AJ262" s="6">
        <v>665943.41459661</v>
      </c>
      <c r="AK262" s="6">
        <v>33768.942723767403</v>
      </c>
      <c r="AL262" s="6">
        <v>330.98244656580999</v>
      </c>
      <c r="AM262" s="6">
        <v>93035.839999999997</v>
      </c>
      <c r="AN262" s="6">
        <v>7464.3617543400496</v>
      </c>
      <c r="AO262" s="6">
        <v>33768.942723767403</v>
      </c>
      <c r="AP262" s="6">
        <v>330.98244656580999</v>
      </c>
      <c r="AQ262" s="6">
        <v>93035.839999999997</v>
      </c>
      <c r="AR262" s="6">
        <v>7464.3617543400496</v>
      </c>
      <c r="AS262" s="6">
        <v>33768.942723767403</v>
      </c>
      <c r="AT262" s="6">
        <v>0</v>
      </c>
      <c r="AU262" t="s">
        <v>2973</v>
      </c>
      <c r="AV262" t="s">
        <v>2973</v>
      </c>
    </row>
    <row r="263" spans="1:48" x14ac:dyDescent="0.45">
      <c r="A263" s="5" t="s">
        <v>534</v>
      </c>
      <c r="B263">
        <v>1970</v>
      </c>
      <c r="C263" t="s">
        <v>520</v>
      </c>
      <c r="D263">
        <v>4392</v>
      </c>
      <c r="E263" t="s">
        <v>535</v>
      </c>
      <c r="F263" t="s">
        <v>2750</v>
      </c>
      <c r="G263" t="s">
        <v>2744</v>
      </c>
      <c r="H263" t="s">
        <v>2749</v>
      </c>
      <c r="I263" t="s">
        <v>2742</v>
      </c>
      <c r="J263">
        <v>53.749524503335103</v>
      </c>
      <c r="K263">
        <v>1</v>
      </c>
      <c r="L263">
        <v>2</v>
      </c>
      <c r="M263">
        <v>2</v>
      </c>
      <c r="N263" s="6">
        <v>440079.88169868803</v>
      </c>
      <c r="O263" s="6">
        <v>263967.7155617</v>
      </c>
      <c r="P263" s="6">
        <v>160888.69653434999</v>
      </c>
      <c r="Q263" s="6">
        <v>22977.8496107092</v>
      </c>
      <c r="R263" s="6">
        <v>297032.63496703299</v>
      </c>
      <c r="S263" s="6">
        <v>21059.786644178599</v>
      </c>
      <c r="T263" s="6">
        <v>804800.67</v>
      </c>
      <c r="U263" s="6">
        <v>380146.10837247898</v>
      </c>
      <c r="V263" s="6">
        <v>971483.43416117504</v>
      </c>
      <c r="W263" s="6">
        <v>213463.344211305</v>
      </c>
      <c r="X263" s="6">
        <v>0</v>
      </c>
      <c r="Y263" s="6">
        <v>0</v>
      </c>
      <c r="Z263" s="6">
        <v>0</v>
      </c>
      <c r="AA263" s="6">
        <v>0</v>
      </c>
      <c r="AB263" s="6">
        <v>0</v>
      </c>
      <c r="AC263" s="6">
        <v>21059.786644178599</v>
      </c>
      <c r="AD263" s="6">
        <v>0</v>
      </c>
      <c r="AE263" s="6">
        <v>0</v>
      </c>
      <c r="AF263" s="6">
        <v>0</v>
      </c>
      <c r="AG263" s="6">
        <v>0</v>
      </c>
      <c r="AH263" s="6">
        <v>0</v>
      </c>
      <c r="AI263" s="6">
        <v>0</v>
      </c>
      <c r="AJ263" s="6">
        <v>1206006.5650166599</v>
      </c>
      <c r="AK263" s="6">
        <v>22437.529934647599</v>
      </c>
      <c r="AL263" s="6">
        <v>330.98244656580999</v>
      </c>
      <c r="AM263" s="6">
        <v>93035.839999999997</v>
      </c>
      <c r="AN263" s="6">
        <v>7464.3617543400496</v>
      </c>
      <c r="AO263" s="6">
        <v>33768.942723767403</v>
      </c>
      <c r="AP263" s="6">
        <v>330.98244656580999</v>
      </c>
      <c r="AQ263" s="6">
        <v>40734.411818744898</v>
      </c>
      <c r="AR263" s="6">
        <v>17543.473457751701</v>
      </c>
      <c r="AS263" s="6">
        <v>22437.529934647599</v>
      </c>
      <c r="AT263" s="6">
        <v>0</v>
      </c>
      <c r="AU263" t="s">
        <v>2973</v>
      </c>
      <c r="AV263" t="s">
        <v>2973</v>
      </c>
    </row>
    <row r="264" spans="1:48" x14ac:dyDescent="0.45">
      <c r="A264" s="5" t="s">
        <v>536</v>
      </c>
      <c r="B264">
        <v>1970</v>
      </c>
      <c r="C264" t="s">
        <v>520</v>
      </c>
      <c r="D264">
        <v>223</v>
      </c>
      <c r="E264" t="s">
        <v>537</v>
      </c>
      <c r="F264" t="s">
        <v>3</v>
      </c>
      <c r="G264" t="s">
        <v>2740</v>
      </c>
      <c r="H264" t="s">
        <v>2741</v>
      </c>
      <c r="I264" t="s">
        <v>2742</v>
      </c>
      <c r="J264">
        <v>206.28190042769299</v>
      </c>
      <c r="K264">
        <v>1</v>
      </c>
      <c r="L264">
        <v>1</v>
      </c>
      <c r="M264">
        <v>2</v>
      </c>
      <c r="N264" s="6">
        <v>540354.65668997797</v>
      </c>
      <c r="O264" s="6">
        <v>218000.100148914</v>
      </c>
      <c r="P264" s="6">
        <v>385835.64636715298</v>
      </c>
      <c r="Q264" s="6">
        <v>88185.235669288901</v>
      </c>
      <c r="R264" s="6">
        <v>261430.836161977</v>
      </c>
      <c r="S264" s="6">
        <v>80824.023127746201</v>
      </c>
      <c r="T264" s="6">
        <v>34867.769999999997</v>
      </c>
      <c r="U264" s="6">
        <v>1458938.70503731</v>
      </c>
      <c r="V264" s="6">
        <v>1203578.9952854901</v>
      </c>
      <c r="W264" s="6">
        <v>290227.47975182103</v>
      </c>
      <c r="X264" s="6">
        <v>0</v>
      </c>
      <c r="Y264" s="6">
        <v>0</v>
      </c>
      <c r="Z264" s="6">
        <v>0</v>
      </c>
      <c r="AA264" s="6">
        <v>0</v>
      </c>
      <c r="AB264" s="6">
        <v>0</v>
      </c>
      <c r="AC264" s="6">
        <v>80824.023127746201</v>
      </c>
      <c r="AD264" s="6">
        <v>0</v>
      </c>
      <c r="AE264" s="6">
        <v>0</v>
      </c>
      <c r="AF264" s="6">
        <v>0</v>
      </c>
      <c r="AG264" s="6">
        <v>0</v>
      </c>
      <c r="AH264" s="6">
        <v>0</v>
      </c>
      <c r="AI264" s="6">
        <v>0</v>
      </c>
      <c r="AJ264" s="6">
        <v>1574630.4981650501</v>
      </c>
      <c r="AK264" s="6">
        <v>7633.39146527305</v>
      </c>
      <c r="AL264" s="6">
        <v>330.98244656580999</v>
      </c>
      <c r="AM264" s="6">
        <v>93035.839999999997</v>
      </c>
      <c r="AN264" s="6">
        <v>7464.3617543400496</v>
      </c>
      <c r="AO264" s="6">
        <v>33768.942723767403</v>
      </c>
      <c r="AP264" s="6">
        <v>330.98244656580999</v>
      </c>
      <c r="AQ264" s="6">
        <v>93035.839999999997</v>
      </c>
      <c r="AR264" s="6">
        <v>7464.3617543400496</v>
      </c>
      <c r="AS264" s="6">
        <v>33768.942723767403</v>
      </c>
      <c r="AT264" s="6">
        <v>0</v>
      </c>
      <c r="AU264" t="s">
        <v>2973</v>
      </c>
      <c r="AV264" t="s">
        <v>2973</v>
      </c>
    </row>
    <row r="265" spans="1:48" x14ac:dyDescent="0.45">
      <c r="A265" s="5" t="s">
        <v>538</v>
      </c>
      <c r="B265">
        <v>2089</v>
      </c>
      <c r="C265" t="s">
        <v>539</v>
      </c>
      <c r="D265">
        <v>589</v>
      </c>
      <c r="E265" t="s">
        <v>540</v>
      </c>
      <c r="F265" t="s">
        <v>2739</v>
      </c>
      <c r="G265" t="s">
        <v>2740</v>
      </c>
      <c r="H265" t="s">
        <v>2741</v>
      </c>
      <c r="I265" t="s">
        <v>2742</v>
      </c>
      <c r="J265">
        <v>120.068578224094</v>
      </c>
      <c r="K265">
        <v>1</v>
      </c>
      <c r="L265">
        <v>1</v>
      </c>
      <c r="M265">
        <v>2</v>
      </c>
      <c r="N265" s="6">
        <v>976282.46819753502</v>
      </c>
      <c r="O265" s="6">
        <v>130710.058412413</v>
      </c>
      <c r="P265" s="6">
        <v>644775.92612744099</v>
      </c>
      <c r="Q265" s="6">
        <v>168528.59724390201</v>
      </c>
      <c r="R265" s="6">
        <v>79653.290519329603</v>
      </c>
      <c r="S265" s="6">
        <v>117256.767648532</v>
      </c>
      <c r="T265" s="6">
        <v>1192270.52</v>
      </c>
      <c r="U265" s="6">
        <v>807679.82050062099</v>
      </c>
      <c r="V265" s="6">
        <v>1691230.45073144</v>
      </c>
      <c r="W265" s="6">
        <v>308719.88976918103</v>
      </c>
      <c r="X265" s="6">
        <v>0</v>
      </c>
      <c r="Y265" s="6">
        <v>0</v>
      </c>
      <c r="Z265" s="6">
        <v>0</v>
      </c>
      <c r="AA265" s="6">
        <v>0</v>
      </c>
      <c r="AB265" s="6">
        <v>0</v>
      </c>
      <c r="AC265" s="6">
        <v>82188.028190643206</v>
      </c>
      <c r="AD265" s="6">
        <v>35068.739457889198</v>
      </c>
      <c r="AE265" s="6">
        <v>0</v>
      </c>
      <c r="AF265" s="6">
        <v>0</v>
      </c>
      <c r="AG265" s="6">
        <v>0</v>
      </c>
      <c r="AH265" s="6">
        <v>0</v>
      </c>
      <c r="AI265" s="6">
        <v>0</v>
      </c>
      <c r="AJ265" s="6">
        <v>2117207.1081491499</v>
      </c>
      <c r="AK265" s="6">
        <v>17633.315389124</v>
      </c>
      <c r="AL265" s="6">
        <v>330.98244656580999</v>
      </c>
      <c r="AM265" s="6">
        <v>93035.839999999997</v>
      </c>
      <c r="AN265" s="6">
        <v>7703.4025207066898</v>
      </c>
      <c r="AO265" s="6">
        <v>21954.7279736419</v>
      </c>
      <c r="AP265" s="6">
        <v>330.98244656580999</v>
      </c>
      <c r="AQ265" s="6">
        <v>93035.839999999997</v>
      </c>
      <c r="AR265" s="6">
        <v>17633.315389124</v>
      </c>
      <c r="AS265" s="6">
        <v>17633.315389124</v>
      </c>
      <c r="AT265" s="6">
        <v>0</v>
      </c>
      <c r="AU265" t="s">
        <v>2973</v>
      </c>
      <c r="AV265" t="s">
        <v>2973</v>
      </c>
    </row>
    <row r="266" spans="1:48" x14ac:dyDescent="0.45">
      <c r="A266" s="5" t="s">
        <v>541</v>
      </c>
      <c r="B266">
        <v>2089</v>
      </c>
      <c r="C266" t="s">
        <v>539</v>
      </c>
      <c r="D266">
        <v>592</v>
      </c>
      <c r="E266" t="s">
        <v>542</v>
      </c>
      <c r="F266" t="s">
        <v>2739</v>
      </c>
      <c r="G266" t="s">
        <v>2744</v>
      </c>
      <c r="H266" t="s">
        <v>2745</v>
      </c>
      <c r="I266" t="s">
        <v>2742</v>
      </c>
      <c r="J266">
        <v>121.33125692135999</v>
      </c>
      <c r="K266">
        <v>1</v>
      </c>
      <c r="L266">
        <v>1</v>
      </c>
      <c r="M266">
        <v>2</v>
      </c>
      <c r="N266" s="6">
        <v>1205736.4032232901</v>
      </c>
      <c r="O266" s="6">
        <v>478851.24389804498</v>
      </c>
      <c r="P266" s="6">
        <v>609925.37075351505</v>
      </c>
      <c r="Q266" s="6">
        <v>170300.896647855</v>
      </c>
      <c r="R266" s="6">
        <v>80490.949418881093</v>
      </c>
      <c r="S266" s="6">
        <v>118489.876466926</v>
      </c>
      <c r="T266" s="6">
        <v>1729131.23</v>
      </c>
      <c r="U266" s="6">
        <v>816173.63394158997</v>
      </c>
      <c r="V266" s="6">
        <v>2144634.8002719898</v>
      </c>
      <c r="W266" s="6">
        <v>400670.06366960198</v>
      </c>
      <c r="X266" s="6">
        <v>0</v>
      </c>
      <c r="Y266" s="6">
        <v>0</v>
      </c>
      <c r="Z266" s="6">
        <v>0</v>
      </c>
      <c r="AA266" s="6">
        <v>0</v>
      </c>
      <c r="AB266" s="6">
        <v>0</v>
      </c>
      <c r="AC266" s="6">
        <v>83052.343183804303</v>
      </c>
      <c r="AD266" s="6">
        <v>35437.533283121396</v>
      </c>
      <c r="AE266" s="6">
        <v>0</v>
      </c>
      <c r="AF266" s="6">
        <v>0</v>
      </c>
      <c r="AG266" s="6">
        <v>0</v>
      </c>
      <c r="AH266" s="6">
        <v>0</v>
      </c>
      <c r="AI266" s="6">
        <v>0</v>
      </c>
      <c r="AJ266" s="6">
        <v>2663794.7404085202</v>
      </c>
      <c r="AK266" s="6">
        <v>21954.7279736419</v>
      </c>
      <c r="AL266" s="6">
        <v>330.98244656580999</v>
      </c>
      <c r="AM266" s="6">
        <v>93035.839999999997</v>
      </c>
      <c r="AN266" s="6">
        <v>7703.4025207066898</v>
      </c>
      <c r="AO266" s="6">
        <v>21954.7279736419</v>
      </c>
      <c r="AP266" s="6">
        <v>330.98244656580999</v>
      </c>
      <c r="AQ266" s="6">
        <v>40734.411818744898</v>
      </c>
      <c r="AR266" s="6">
        <v>21954.7279736419</v>
      </c>
      <c r="AS266" s="6">
        <v>21954.7279736419</v>
      </c>
      <c r="AT266" s="6">
        <v>0</v>
      </c>
      <c r="AU266" t="s">
        <v>2973</v>
      </c>
      <c r="AV266" t="s">
        <v>2973</v>
      </c>
    </row>
    <row r="267" spans="1:48" x14ac:dyDescent="0.45">
      <c r="A267" s="5" t="s">
        <v>543</v>
      </c>
      <c r="B267">
        <v>2089</v>
      </c>
      <c r="C267" t="s">
        <v>539</v>
      </c>
      <c r="D267">
        <v>2089</v>
      </c>
      <c r="E267" t="s">
        <v>539</v>
      </c>
      <c r="F267" t="s">
        <v>1</v>
      </c>
      <c r="G267" t="s">
        <v>1</v>
      </c>
      <c r="H267" t="s">
        <v>2743</v>
      </c>
      <c r="I267" t="s">
        <v>2742</v>
      </c>
      <c r="J267">
        <v>2.970930232558</v>
      </c>
      <c r="K267">
        <v>0</v>
      </c>
      <c r="L267">
        <v>0</v>
      </c>
      <c r="M267">
        <v>2</v>
      </c>
      <c r="N267" s="6">
        <v>3686.4085791719899</v>
      </c>
      <c r="O267" s="6">
        <v>776.62768954131298</v>
      </c>
      <c r="P267" s="6">
        <v>9380.9631190437103</v>
      </c>
      <c r="Q267" s="6">
        <v>4170.0061082428001</v>
      </c>
      <c r="R267" s="6">
        <v>1970.9100617893</v>
      </c>
      <c r="S267" s="6">
        <v>2901.3558845418902</v>
      </c>
      <c r="T267" s="6">
        <v>0</v>
      </c>
      <c r="U267" s="6">
        <v>19984.9155577891</v>
      </c>
      <c r="V267" s="6">
        <v>15765.558996571899</v>
      </c>
      <c r="W267" s="6">
        <v>4219.3565612172397</v>
      </c>
      <c r="X267" s="6">
        <v>0</v>
      </c>
      <c r="Y267" s="6">
        <v>0</v>
      </c>
      <c r="Z267" s="6">
        <v>0</v>
      </c>
      <c r="AA267" s="6">
        <v>0</v>
      </c>
      <c r="AB267" s="6">
        <v>0</v>
      </c>
      <c r="AC267" s="6">
        <v>2033.6286255525299</v>
      </c>
      <c r="AD267" s="6">
        <v>867.72725898936096</v>
      </c>
      <c r="AE267" s="6">
        <v>0</v>
      </c>
      <c r="AF267" s="6">
        <v>0</v>
      </c>
      <c r="AG267" s="6">
        <v>0</v>
      </c>
      <c r="AH267" s="6">
        <v>0</v>
      </c>
      <c r="AI267" s="6">
        <v>0</v>
      </c>
      <c r="AJ267" s="6">
        <v>22886.271442330999</v>
      </c>
      <c r="AK267" s="6">
        <v>7703.4025207066898</v>
      </c>
      <c r="AL267" s="6">
        <v>330.98244656580999</v>
      </c>
      <c r="AM267" s="6">
        <v>93035.839999999997</v>
      </c>
      <c r="AN267" s="6">
        <v>7703.4025207066898</v>
      </c>
      <c r="AO267" s="6">
        <v>21954.7279736419</v>
      </c>
      <c r="AP267" s="6">
        <v>634.54287297753501</v>
      </c>
      <c r="AQ267" s="6">
        <v>40331.279999999999</v>
      </c>
      <c r="AR267" s="6">
        <v>7703.4025207066898</v>
      </c>
      <c r="AS267" s="6">
        <v>7703.4025207066898</v>
      </c>
      <c r="AT267" s="6">
        <v>0</v>
      </c>
      <c r="AU267" t="s">
        <v>2973</v>
      </c>
      <c r="AV267" t="s">
        <v>2977</v>
      </c>
    </row>
    <row r="268" spans="1:48" x14ac:dyDescent="0.45">
      <c r="A268" s="5" t="s">
        <v>544</v>
      </c>
      <c r="B268">
        <v>2050</v>
      </c>
      <c r="C268" t="s">
        <v>545</v>
      </c>
      <c r="D268">
        <v>425</v>
      </c>
      <c r="E268" t="s">
        <v>546</v>
      </c>
      <c r="F268" t="s">
        <v>2739</v>
      </c>
      <c r="G268" t="s">
        <v>2740</v>
      </c>
      <c r="H268" t="s">
        <v>2741</v>
      </c>
      <c r="I268" t="s">
        <v>2742</v>
      </c>
      <c r="J268">
        <v>302.64442957011801</v>
      </c>
      <c r="K268">
        <v>2</v>
      </c>
      <c r="L268">
        <v>1</v>
      </c>
      <c r="M268">
        <v>3</v>
      </c>
      <c r="N268" s="6">
        <v>2013569.1033888401</v>
      </c>
      <c r="O268" s="6">
        <v>419178.74819540401</v>
      </c>
      <c r="P268" s="6">
        <v>739211.30253103597</v>
      </c>
      <c r="Q268" s="6">
        <v>252417.16664050499</v>
      </c>
      <c r="R268" s="6">
        <v>147174.937919032</v>
      </c>
      <c r="S268" s="6">
        <v>148792.38405580501</v>
      </c>
      <c r="T268" s="6">
        <v>3002606.02</v>
      </c>
      <c r="U268" s="6">
        <v>568945.23867481702</v>
      </c>
      <c r="V268" s="6">
        <v>3041294.1437358102</v>
      </c>
      <c r="W268" s="6">
        <v>530257.11493901396</v>
      </c>
      <c r="X268" s="6">
        <v>0</v>
      </c>
      <c r="Y268" s="6">
        <v>0</v>
      </c>
      <c r="Z268" s="6">
        <v>0</v>
      </c>
      <c r="AA268" s="6">
        <v>0</v>
      </c>
      <c r="AB268" s="6">
        <v>0</v>
      </c>
      <c r="AC268" s="6">
        <v>148557.90697272401</v>
      </c>
      <c r="AD268" s="6">
        <v>234.47708308109401</v>
      </c>
      <c r="AE268" s="6">
        <v>0</v>
      </c>
      <c r="AF268" s="6">
        <v>0</v>
      </c>
      <c r="AG268" s="6">
        <v>0</v>
      </c>
      <c r="AH268" s="6">
        <v>0</v>
      </c>
      <c r="AI268" s="6">
        <v>0</v>
      </c>
      <c r="AJ268" s="6">
        <v>3720343.6427306202</v>
      </c>
      <c r="AK268" s="6">
        <v>12292.7874404134</v>
      </c>
      <c r="AL268" s="6">
        <v>330.98244656580999</v>
      </c>
      <c r="AM268" s="6">
        <v>93035.839999999997</v>
      </c>
      <c r="AN268" s="6">
        <v>11679.2462418536</v>
      </c>
      <c r="AO268" s="6">
        <v>16261.4508752084</v>
      </c>
      <c r="AP268" s="6">
        <v>330.98244656580999</v>
      </c>
      <c r="AQ268" s="6">
        <v>93035.839999999997</v>
      </c>
      <c r="AR268" s="6">
        <v>12292.7874404134</v>
      </c>
      <c r="AS268" s="6">
        <v>12292.7874404134</v>
      </c>
      <c r="AT268" s="6">
        <v>0</v>
      </c>
      <c r="AU268" t="s">
        <v>2973</v>
      </c>
      <c r="AV268" t="s">
        <v>2973</v>
      </c>
    </row>
    <row r="269" spans="1:48" x14ac:dyDescent="0.45">
      <c r="A269" s="5" t="s">
        <v>547</v>
      </c>
      <c r="B269">
        <v>2050</v>
      </c>
      <c r="C269" t="s">
        <v>545</v>
      </c>
      <c r="D269">
        <v>426</v>
      </c>
      <c r="E269" t="s">
        <v>548</v>
      </c>
      <c r="F269" t="s">
        <v>2739</v>
      </c>
      <c r="G269" t="s">
        <v>2744</v>
      </c>
      <c r="H269" t="s">
        <v>2741</v>
      </c>
      <c r="I269" t="s">
        <v>2742</v>
      </c>
      <c r="J269">
        <v>201.48404810105899</v>
      </c>
      <c r="K269">
        <v>1</v>
      </c>
      <c r="L269">
        <v>1</v>
      </c>
      <c r="M269">
        <v>3</v>
      </c>
      <c r="N269" s="6">
        <v>1691738.59451777</v>
      </c>
      <c r="O269" s="6">
        <v>726923.998522482</v>
      </c>
      <c r="P269" s="6">
        <v>492676.06732633902</v>
      </c>
      <c r="Q269" s="6">
        <v>168045.49357531001</v>
      </c>
      <c r="R269" s="6">
        <v>97980.994770229096</v>
      </c>
      <c r="S269" s="6">
        <v>99057.801621375605</v>
      </c>
      <c r="T269" s="6">
        <v>2798592.64</v>
      </c>
      <c r="U269" s="6">
        <v>378772.50871213101</v>
      </c>
      <c r="V269" s="6">
        <v>2648398.2461087699</v>
      </c>
      <c r="W269" s="6">
        <v>528966.90260336304</v>
      </c>
      <c r="X269" s="6">
        <v>0</v>
      </c>
      <c r="Y269" s="6">
        <v>0</v>
      </c>
      <c r="Z269" s="6">
        <v>0</v>
      </c>
      <c r="AA269" s="6">
        <v>0</v>
      </c>
      <c r="AB269" s="6">
        <v>0</v>
      </c>
      <c r="AC269" s="6">
        <v>98901.699650646493</v>
      </c>
      <c r="AD269" s="6">
        <v>156.10197072919101</v>
      </c>
      <c r="AE269" s="6">
        <v>0</v>
      </c>
      <c r="AF269" s="6">
        <v>0</v>
      </c>
      <c r="AG269" s="6">
        <v>0</v>
      </c>
      <c r="AH269" s="6">
        <v>0</v>
      </c>
      <c r="AI269" s="6">
        <v>0</v>
      </c>
      <c r="AJ269" s="6">
        <v>3276422.9503335101</v>
      </c>
      <c r="AK269" s="6">
        <v>16261.4508752084</v>
      </c>
      <c r="AL269" s="6">
        <v>330.98244656580999</v>
      </c>
      <c r="AM269" s="6">
        <v>93035.839999999997</v>
      </c>
      <c r="AN269" s="6">
        <v>11679.2462418536</v>
      </c>
      <c r="AO269" s="6">
        <v>16261.4508752084</v>
      </c>
      <c r="AP269" s="6">
        <v>330.98244656580999</v>
      </c>
      <c r="AQ269" s="6">
        <v>40734.411818744898</v>
      </c>
      <c r="AR269" s="6">
        <v>16261.4508752084</v>
      </c>
      <c r="AS269" s="6">
        <v>16261.4508752084</v>
      </c>
      <c r="AT269" s="6">
        <v>0</v>
      </c>
      <c r="AU269" t="s">
        <v>2973</v>
      </c>
      <c r="AV269" t="s">
        <v>2973</v>
      </c>
    </row>
    <row r="270" spans="1:48" x14ac:dyDescent="0.45">
      <c r="A270" s="5" t="s">
        <v>549</v>
      </c>
      <c r="B270">
        <v>2050</v>
      </c>
      <c r="C270" t="s">
        <v>545</v>
      </c>
      <c r="D270">
        <v>1295</v>
      </c>
      <c r="E270" t="s">
        <v>550</v>
      </c>
      <c r="F270" t="s">
        <v>2739</v>
      </c>
      <c r="G270" t="s">
        <v>2747</v>
      </c>
      <c r="H270" t="s">
        <v>2741</v>
      </c>
      <c r="I270" t="s">
        <v>2742</v>
      </c>
      <c r="J270">
        <v>172.13173652692899</v>
      </c>
      <c r="K270">
        <v>1</v>
      </c>
      <c r="L270">
        <v>1</v>
      </c>
      <c r="M270">
        <v>3</v>
      </c>
      <c r="N270" s="6">
        <v>912019.57209338795</v>
      </c>
      <c r="O270" s="6">
        <v>373893.54328211403</v>
      </c>
      <c r="P270" s="6">
        <v>412557.22014262603</v>
      </c>
      <c r="Q270" s="6">
        <v>143564.52978418599</v>
      </c>
      <c r="R270" s="6">
        <v>83707.067310738799</v>
      </c>
      <c r="S270" s="6">
        <v>84627.004322819193</v>
      </c>
      <c r="T270" s="6">
        <v>1602149.22</v>
      </c>
      <c r="U270" s="6">
        <v>323592.71261305199</v>
      </c>
      <c r="V270" s="6">
        <v>1656296.69015543</v>
      </c>
      <c r="W270" s="6">
        <v>269445.242457624</v>
      </c>
      <c r="X270" s="6">
        <v>0</v>
      </c>
      <c r="Y270" s="6">
        <v>0</v>
      </c>
      <c r="Z270" s="6">
        <v>0</v>
      </c>
      <c r="AA270" s="6">
        <v>0</v>
      </c>
      <c r="AB270" s="6">
        <v>0</v>
      </c>
      <c r="AC270" s="6">
        <v>84493.643376629494</v>
      </c>
      <c r="AD270" s="6">
        <v>133.360946189716</v>
      </c>
      <c r="AE270" s="6">
        <v>0</v>
      </c>
      <c r="AF270" s="6">
        <v>0</v>
      </c>
      <c r="AG270" s="6">
        <v>0</v>
      </c>
      <c r="AH270" s="6">
        <v>0</v>
      </c>
      <c r="AI270" s="6">
        <v>0</v>
      </c>
      <c r="AJ270" s="6">
        <v>2010368.93693587</v>
      </c>
      <c r="AK270" s="6">
        <v>11679.2462418536</v>
      </c>
      <c r="AL270" s="6">
        <v>330.98244656580999</v>
      </c>
      <c r="AM270" s="6">
        <v>93035.839999999997</v>
      </c>
      <c r="AN270" s="6">
        <v>11679.2462418536</v>
      </c>
      <c r="AO270" s="6">
        <v>16261.4508752084</v>
      </c>
      <c r="AP270" s="6">
        <v>3753.1860850462999</v>
      </c>
      <c r="AQ270" s="6">
        <v>20687.885194392002</v>
      </c>
      <c r="AR270" s="6">
        <v>11679.2462418536</v>
      </c>
      <c r="AS270" s="6">
        <v>11679.2462418536</v>
      </c>
      <c r="AT270" s="6">
        <v>0</v>
      </c>
      <c r="AU270" t="s">
        <v>2973</v>
      </c>
      <c r="AV270" t="s">
        <v>2973</v>
      </c>
    </row>
    <row r="271" spans="1:48" x14ac:dyDescent="0.45">
      <c r="A271" s="5" t="s">
        <v>551</v>
      </c>
      <c r="B271">
        <v>2190</v>
      </c>
      <c r="C271" t="s">
        <v>552</v>
      </c>
      <c r="D271">
        <v>5298</v>
      </c>
      <c r="E271" t="s">
        <v>553</v>
      </c>
      <c r="F271" t="s">
        <v>3</v>
      </c>
      <c r="G271" t="s">
        <v>2740</v>
      </c>
      <c r="H271" t="s">
        <v>2741</v>
      </c>
      <c r="I271" t="s">
        <v>2742</v>
      </c>
      <c r="J271">
        <v>193.08484848482701</v>
      </c>
      <c r="K271">
        <v>1</v>
      </c>
      <c r="L271">
        <v>1</v>
      </c>
      <c r="M271">
        <v>2</v>
      </c>
      <c r="N271" s="6">
        <v>84621.957897054395</v>
      </c>
      <c r="O271" s="6">
        <v>52079.0430692386</v>
      </c>
      <c r="P271" s="6">
        <v>249084.15661753601</v>
      </c>
      <c r="Q271" s="6">
        <v>113099.553174967</v>
      </c>
      <c r="R271" s="6">
        <v>4330.9664251130398</v>
      </c>
      <c r="S271" s="6">
        <v>99517.401460024295</v>
      </c>
      <c r="T271" s="6">
        <v>11207.97</v>
      </c>
      <c r="U271" s="6">
        <v>492007.70718390902</v>
      </c>
      <c r="V271" s="6">
        <v>420396.281064571</v>
      </c>
      <c r="W271" s="6">
        <v>82819.396119337602</v>
      </c>
      <c r="X271" s="6">
        <v>0</v>
      </c>
      <c r="Y271" s="6">
        <v>0</v>
      </c>
      <c r="Z271" s="6">
        <v>0</v>
      </c>
      <c r="AA271" s="6">
        <v>0</v>
      </c>
      <c r="AB271" s="6">
        <v>0</v>
      </c>
      <c r="AC271" s="6">
        <v>64218.723222129403</v>
      </c>
      <c r="AD271" s="6">
        <v>35298.678237895001</v>
      </c>
      <c r="AE271" s="6">
        <v>0</v>
      </c>
      <c r="AF271" s="6">
        <v>0</v>
      </c>
      <c r="AG271" s="6">
        <v>0</v>
      </c>
      <c r="AH271" s="6">
        <v>0</v>
      </c>
      <c r="AI271" s="6">
        <v>0</v>
      </c>
      <c r="AJ271" s="6">
        <v>602733.07864393399</v>
      </c>
      <c r="AK271" s="6">
        <v>3121.5969734222699</v>
      </c>
      <c r="AL271" s="6">
        <v>330.98244656580999</v>
      </c>
      <c r="AM271" s="6">
        <v>93035.839999999997</v>
      </c>
      <c r="AN271" s="6">
        <v>3063.5501091138999</v>
      </c>
      <c r="AO271" s="6">
        <v>13553.3592968543</v>
      </c>
      <c r="AP271" s="6">
        <v>330.98244656580999</v>
      </c>
      <c r="AQ271" s="6">
        <v>93035.839999999997</v>
      </c>
      <c r="AR271" s="6">
        <v>3121.5969734222699</v>
      </c>
      <c r="AS271" s="6">
        <v>12029.9916171639</v>
      </c>
      <c r="AT271" s="6">
        <v>0</v>
      </c>
      <c r="AU271" t="s">
        <v>2973</v>
      </c>
      <c r="AV271" t="s">
        <v>2973</v>
      </c>
    </row>
    <row r="272" spans="1:48" x14ac:dyDescent="0.45">
      <c r="A272" s="5" t="s">
        <v>554</v>
      </c>
      <c r="B272">
        <v>2190</v>
      </c>
      <c r="C272" t="s">
        <v>552</v>
      </c>
      <c r="D272">
        <v>995</v>
      </c>
      <c r="E272" t="s">
        <v>555</v>
      </c>
      <c r="F272" t="s">
        <v>2739</v>
      </c>
      <c r="G272" t="s">
        <v>2744</v>
      </c>
      <c r="H272" t="s">
        <v>2745</v>
      </c>
      <c r="I272" t="s">
        <v>2742</v>
      </c>
      <c r="J272">
        <v>850.32864281504101</v>
      </c>
      <c r="K272">
        <v>1</v>
      </c>
      <c r="L272">
        <v>1</v>
      </c>
      <c r="M272">
        <v>2</v>
      </c>
      <c r="N272" s="6">
        <v>5319505.4008039404</v>
      </c>
      <c r="O272" s="6">
        <v>3253272.6423515901</v>
      </c>
      <c r="P272" s="6">
        <v>1914736.7335884101</v>
      </c>
      <c r="Q272" s="6">
        <v>498080.45690242102</v>
      </c>
      <c r="R272" s="6">
        <v>100948.524148806</v>
      </c>
      <c r="S272" s="6">
        <v>438265.858683531</v>
      </c>
      <c r="T272" s="6">
        <v>8919785.2100000009</v>
      </c>
      <c r="U272" s="6">
        <v>2166758.54779517</v>
      </c>
      <c r="V272" s="6">
        <v>9316183.8845333103</v>
      </c>
      <c r="W272" s="6">
        <v>1770359.8732618601</v>
      </c>
      <c r="X272" s="6">
        <v>0</v>
      </c>
      <c r="Y272" s="6">
        <v>0</v>
      </c>
      <c r="Z272" s="6">
        <v>0</v>
      </c>
      <c r="AA272" s="6">
        <v>0</v>
      </c>
      <c r="AB272" s="6">
        <v>0</v>
      </c>
      <c r="AC272" s="6">
        <v>282813.593035909</v>
      </c>
      <c r="AD272" s="6">
        <v>155452.265647622</v>
      </c>
      <c r="AE272" s="6">
        <v>0</v>
      </c>
      <c r="AF272" s="6">
        <v>0</v>
      </c>
      <c r="AG272" s="6">
        <v>0</v>
      </c>
      <c r="AH272" s="6">
        <v>0</v>
      </c>
      <c r="AI272" s="6">
        <v>0</v>
      </c>
      <c r="AJ272" s="6">
        <v>11524809.6164787</v>
      </c>
      <c r="AK272" s="6">
        <v>13553.3592968543</v>
      </c>
      <c r="AL272" s="6">
        <v>330.98244656580999</v>
      </c>
      <c r="AM272" s="6">
        <v>93035.839999999997</v>
      </c>
      <c r="AN272" s="6">
        <v>3063.5501091138999</v>
      </c>
      <c r="AO272" s="6">
        <v>13553.3592968543</v>
      </c>
      <c r="AP272" s="6">
        <v>330.98244656580999</v>
      </c>
      <c r="AQ272" s="6">
        <v>40734.411818744898</v>
      </c>
      <c r="AR272" s="6">
        <v>13553.3592968543</v>
      </c>
      <c r="AS272" s="6">
        <v>13553.3592968543</v>
      </c>
      <c r="AT272" s="6">
        <v>0</v>
      </c>
      <c r="AU272" t="s">
        <v>2973</v>
      </c>
      <c r="AV272" t="s">
        <v>2973</v>
      </c>
    </row>
    <row r="273" spans="1:48" x14ac:dyDescent="0.45">
      <c r="A273" s="5" t="s">
        <v>556</v>
      </c>
      <c r="B273">
        <v>2190</v>
      </c>
      <c r="C273" t="s">
        <v>552</v>
      </c>
      <c r="D273">
        <v>2190</v>
      </c>
      <c r="E273" t="s">
        <v>552</v>
      </c>
      <c r="F273" t="s">
        <v>1</v>
      </c>
      <c r="G273" t="s">
        <v>1</v>
      </c>
      <c r="H273" t="s">
        <v>2743</v>
      </c>
      <c r="I273" t="s">
        <v>2742</v>
      </c>
      <c r="J273">
        <v>63.890239427261101</v>
      </c>
      <c r="K273">
        <v>1</v>
      </c>
      <c r="L273">
        <v>1</v>
      </c>
      <c r="M273">
        <v>2</v>
      </c>
      <c r="N273" s="6">
        <v>24779.091278120199</v>
      </c>
      <c r="O273" s="6">
        <v>17232.540807559901</v>
      </c>
      <c r="P273" s="6">
        <v>81932.977688305007</v>
      </c>
      <c r="Q273" s="6">
        <v>37423.741884297699</v>
      </c>
      <c r="R273" s="6">
        <v>1433.0823160039199</v>
      </c>
      <c r="S273" s="6">
        <v>32929.515994412497</v>
      </c>
      <c r="T273" s="6">
        <v>0</v>
      </c>
      <c r="U273" s="6">
        <v>162801.43397428701</v>
      </c>
      <c r="V273" s="6">
        <v>136036.69654989199</v>
      </c>
      <c r="W273" s="6">
        <v>26764.7374243948</v>
      </c>
      <c r="X273" s="6">
        <v>0</v>
      </c>
      <c r="Y273" s="6">
        <v>0</v>
      </c>
      <c r="Z273" s="6">
        <v>0</v>
      </c>
      <c r="AA273" s="6">
        <v>0</v>
      </c>
      <c r="AB273" s="6">
        <v>0</v>
      </c>
      <c r="AC273" s="6">
        <v>21249.464339493599</v>
      </c>
      <c r="AD273" s="6">
        <v>11680.0516549189</v>
      </c>
      <c r="AE273" s="6">
        <v>0</v>
      </c>
      <c r="AF273" s="6">
        <v>0</v>
      </c>
      <c r="AG273" s="6">
        <v>0</v>
      </c>
      <c r="AH273" s="6">
        <v>0</v>
      </c>
      <c r="AI273" s="6">
        <v>0</v>
      </c>
      <c r="AJ273" s="6">
        <v>195730.94996869899</v>
      </c>
      <c r="AK273" s="6">
        <v>3063.5501091138999</v>
      </c>
      <c r="AL273" s="6">
        <v>330.98244656580999</v>
      </c>
      <c r="AM273" s="6">
        <v>93035.839999999997</v>
      </c>
      <c r="AN273" s="6">
        <v>3063.5501091138999</v>
      </c>
      <c r="AO273" s="6">
        <v>13553.3592968543</v>
      </c>
      <c r="AP273" s="6">
        <v>634.54287297753501</v>
      </c>
      <c r="AQ273" s="6">
        <v>40331.279999999999</v>
      </c>
      <c r="AR273" s="6">
        <v>3063.5501091138999</v>
      </c>
      <c r="AS273" s="6">
        <v>3063.5501091138999</v>
      </c>
      <c r="AT273" s="6">
        <v>0</v>
      </c>
      <c r="AU273" t="s">
        <v>2973</v>
      </c>
      <c r="AV273" t="s">
        <v>2977</v>
      </c>
    </row>
    <row r="274" spans="1:48" x14ac:dyDescent="0.45">
      <c r="A274" s="5" t="s">
        <v>557</v>
      </c>
      <c r="B274">
        <v>2190</v>
      </c>
      <c r="C274" t="s">
        <v>552</v>
      </c>
      <c r="D274">
        <v>994</v>
      </c>
      <c r="E274" t="s">
        <v>558</v>
      </c>
      <c r="F274" t="s">
        <v>2739</v>
      </c>
      <c r="G274" t="s">
        <v>2747</v>
      </c>
      <c r="H274" t="s">
        <v>2745</v>
      </c>
      <c r="I274" t="s">
        <v>2742</v>
      </c>
      <c r="J274">
        <v>685.82512480080197</v>
      </c>
      <c r="K274">
        <v>1</v>
      </c>
      <c r="L274">
        <v>2</v>
      </c>
      <c r="M274">
        <v>2</v>
      </c>
      <c r="N274" s="6">
        <v>4170664.4117477699</v>
      </c>
      <c r="O274" s="6">
        <v>1171874.5850066801</v>
      </c>
      <c r="P274" s="6">
        <v>1406074.78540067</v>
      </c>
      <c r="Q274" s="6">
        <v>401722.433323048</v>
      </c>
      <c r="R274" s="6">
        <v>15505.817812452</v>
      </c>
      <c r="S274" s="6">
        <v>353479.49262593797</v>
      </c>
      <c r="T274" s="6">
        <v>5418261.8899999997</v>
      </c>
      <c r="U274" s="6">
        <v>1747580.1432906201</v>
      </c>
      <c r="V274" s="6">
        <v>6075469.7475134097</v>
      </c>
      <c r="W274" s="6">
        <v>1090372.28577722</v>
      </c>
      <c r="X274" s="6">
        <v>0</v>
      </c>
      <c r="Y274" s="6">
        <v>0</v>
      </c>
      <c r="Z274" s="6">
        <v>0</v>
      </c>
      <c r="AA274" s="6">
        <v>0</v>
      </c>
      <c r="AB274" s="6">
        <v>0</v>
      </c>
      <c r="AC274" s="6">
        <v>228100.82828340601</v>
      </c>
      <c r="AD274" s="6">
        <v>125378.66434253201</v>
      </c>
      <c r="AE274" s="6">
        <v>0</v>
      </c>
      <c r="AF274" s="6">
        <v>0</v>
      </c>
      <c r="AG274" s="6">
        <v>0</v>
      </c>
      <c r="AH274" s="6">
        <v>0</v>
      </c>
      <c r="AI274" s="6">
        <v>0</v>
      </c>
      <c r="AJ274" s="6">
        <v>7519321.5259165596</v>
      </c>
      <c r="AK274" s="6">
        <v>10963.905016020701</v>
      </c>
      <c r="AL274" s="6">
        <v>330.98244656580999</v>
      </c>
      <c r="AM274" s="6">
        <v>93035.839999999997</v>
      </c>
      <c r="AN274" s="6">
        <v>3063.5501091138999</v>
      </c>
      <c r="AO274" s="6">
        <v>13553.3592968543</v>
      </c>
      <c r="AP274" s="6">
        <v>3753.1860850462999</v>
      </c>
      <c r="AQ274" s="6">
        <v>20687.885194392002</v>
      </c>
      <c r="AR274" s="6">
        <v>10963.905016020701</v>
      </c>
      <c r="AS274" s="6">
        <v>10963.905016020701</v>
      </c>
      <c r="AT274" s="6">
        <v>0</v>
      </c>
      <c r="AU274" t="s">
        <v>2973</v>
      </c>
      <c r="AV274" t="s">
        <v>2973</v>
      </c>
    </row>
    <row r="275" spans="1:48" x14ac:dyDescent="0.45">
      <c r="A275" s="5" t="s">
        <v>559</v>
      </c>
      <c r="B275">
        <v>2190</v>
      </c>
      <c r="C275" t="s">
        <v>552</v>
      </c>
      <c r="D275">
        <v>3461</v>
      </c>
      <c r="E275" t="s">
        <v>560</v>
      </c>
      <c r="F275" t="s">
        <v>3</v>
      </c>
      <c r="G275" t="s">
        <v>2740</v>
      </c>
      <c r="H275" t="s">
        <v>2741</v>
      </c>
      <c r="I275" t="s">
        <v>2742</v>
      </c>
      <c r="J275">
        <v>186.345652110662</v>
      </c>
      <c r="K275">
        <v>1</v>
      </c>
      <c r="L275">
        <v>1</v>
      </c>
      <c r="M275">
        <v>2</v>
      </c>
      <c r="N275" s="6">
        <v>235188.278437031</v>
      </c>
      <c r="O275" s="6">
        <v>73919.850121667507</v>
      </c>
      <c r="P275" s="6">
        <v>398059.16698465002</v>
      </c>
      <c r="Q275" s="6">
        <v>109152.065297707</v>
      </c>
      <c r="R275" s="6">
        <v>4179.8036929888503</v>
      </c>
      <c r="S275" s="6">
        <v>96043.968322475906</v>
      </c>
      <c r="T275" s="6">
        <v>345663.89</v>
      </c>
      <c r="U275" s="6">
        <v>474835.27453404397</v>
      </c>
      <c r="V275" s="6">
        <v>664330.42550600099</v>
      </c>
      <c r="W275" s="6">
        <v>156168.739028043</v>
      </c>
      <c r="X275" s="6">
        <v>0</v>
      </c>
      <c r="Y275" s="6">
        <v>0</v>
      </c>
      <c r="Z275" s="6">
        <v>0</v>
      </c>
      <c r="AA275" s="6">
        <v>0</v>
      </c>
      <c r="AB275" s="6">
        <v>0</v>
      </c>
      <c r="AC275" s="6">
        <v>61977.311790376902</v>
      </c>
      <c r="AD275" s="6">
        <v>34066.656532098998</v>
      </c>
      <c r="AE275" s="6">
        <v>0</v>
      </c>
      <c r="AF275" s="6">
        <v>0</v>
      </c>
      <c r="AG275" s="6">
        <v>0</v>
      </c>
      <c r="AH275" s="6">
        <v>0</v>
      </c>
      <c r="AI275" s="6">
        <v>0</v>
      </c>
      <c r="AJ275" s="6">
        <v>916543.13285652001</v>
      </c>
      <c r="AK275" s="6">
        <v>4918.51096322992</v>
      </c>
      <c r="AL275" s="6">
        <v>330.98244656580999</v>
      </c>
      <c r="AM275" s="6">
        <v>93035.839999999997</v>
      </c>
      <c r="AN275" s="6">
        <v>3063.5501091138999</v>
      </c>
      <c r="AO275" s="6">
        <v>13553.3592968543</v>
      </c>
      <c r="AP275" s="6">
        <v>330.98244656580999</v>
      </c>
      <c r="AQ275" s="6">
        <v>93035.839999999997</v>
      </c>
      <c r="AR275" s="6">
        <v>3121.5969734222699</v>
      </c>
      <c r="AS275" s="6">
        <v>12029.9916171639</v>
      </c>
      <c r="AT275" s="6">
        <v>0</v>
      </c>
      <c r="AU275" t="s">
        <v>2973</v>
      </c>
      <c r="AV275" t="s">
        <v>2973</v>
      </c>
    </row>
    <row r="276" spans="1:48" x14ac:dyDescent="0.45">
      <c r="A276" s="5" t="s">
        <v>561</v>
      </c>
      <c r="B276">
        <v>2190</v>
      </c>
      <c r="C276" t="s">
        <v>552</v>
      </c>
      <c r="D276">
        <v>989</v>
      </c>
      <c r="E276" t="s">
        <v>562</v>
      </c>
      <c r="F276" t="s">
        <v>2739</v>
      </c>
      <c r="G276" t="s">
        <v>2740</v>
      </c>
      <c r="H276" t="s">
        <v>2741</v>
      </c>
      <c r="I276" t="s">
        <v>2742</v>
      </c>
      <c r="J276">
        <v>411.48044256883799</v>
      </c>
      <c r="K276">
        <v>1</v>
      </c>
      <c r="L276">
        <v>1</v>
      </c>
      <c r="M276">
        <v>2</v>
      </c>
      <c r="N276" s="6">
        <v>3105969.1260756301</v>
      </c>
      <c r="O276" s="6">
        <v>545279.06636192498</v>
      </c>
      <c r="P276" s="6">
        <v>835471.62673311098</v>
      </c>
      <c r="Q276" s="6">
        <v>241024.889109465</v>
      </c>
      <c r="R276" s="6">
        <v>10281.412479168201</v>
      </c>
      <c r="S276" s="6">
        <v>212080.15397070101</v>
      </c>
      <c r="T276" s="6">
        <v>3689515.32</v>
      </c>
      <c r="U276" s="6">
        <v>1048510.8007593</v>
      </c>
      <c r="V276" s="6">
        <v>4188865.75502394</v>
      </c>
      <c r="W276" s="6">
        <v>549160.36573536298</v>
      </c>
      <c r="X276" s="6">
        <v>0</v>
      </c>
      <c r="Y276" s="6">
        <v>0</v>
      </c>
      <c r="Z276" s="6">
        <v>0</v>
      </c>
      <c r="AA276" s="6">
        <v>0</v>
      </c>
      <c r="AB276" s="6">
        <v>0</v>
      </c>
      <c r="AC276" s="6">
        <v>136855.63036150899</v>
      </c>
      <c r="AD276" s="6">
        <v>75224.523609191499</v>
      </c>
      <c r="AE276" s="6">
        <v>0</v>
      </c>
      <c r="AF276" s="6">
        <v>0</v>
      </c>
      <c r="AG276" s="6">
        <v>0</v>
      </c>
      <c r="AH276" s="6">
        <v>0</v>
      </c>
      <c r="AI276" s="6">
        <v>0</v>
      </c>
      <c r="AJ276" s="6">
        <v>4950106.2747299997</v>
      </c>
      <c r="AK276" s="6">
        <v>12029.9916171639</v>
      </c>
      <c r="AL276" s="6">
        <v>330.98244656580999</v>
      </c>
      <c r="AM276" s="6">
        <v>93035.839999999997</v>
      </c>
      <c r="AN276" s="6">
        <v>3063.5501091138999</v>
      </c>
      <c r="AO276" s="6">
        <v>13553.3592968543</v>
      </c>
      <c r="AP276" s="6">
        <v>330.98244656580999</v>
      </c>
      <c r="AQ276" s="6">
        <v>93035.839999999997</v>
      </c>
      <c r="AR276" s="6">
        <v>3121.5969734222699</v>
      </c>
      <c r="AS276" s="6">
        <v>12029.9916171639</v>
      </c>
      <c r="AT276" s="6">
        <v>0</v>
      </c>
      <c r="AU276" t="s">
        <v>2973</v>
      </c>
      <c r="AV276" t="s">
        <v>2973</v>
      </c>
    </row>
    <row r="277" spans="1:48" x14ac:dyDescent="0.45">
      <c r="A277" s="5" t="s">
        <v>563</v>
      </c>
      <c r="B277">
        <v>2190</v>
      </c>
      <c r="C277" t="s">
        <v>552</v>
      </c>
      <c r="D277">
        <v>990</v>
      </c>
      <c r="E277" t="s">
        <v>564</v>
      </c>
      <c r="F277" t="s">
        <v>2739</v>
      </c>
      <c r="G277" t="s">
        <v>2740</v>
      </c>
      <c r="H277" t="s">
        <v>2741</v>
      </c>
      <c r="I277" t="s">
        <v>2742</v>
      </c>
      <c r="J277">
        <v>393.21391816308</v>
      </c>
      <c r="K277">
        <v>1</v>
      </c>
      <c r="L277">
        <v>1</v>
      </c>
      <c r="M277">
        <v>2</v>
      </c>
      <c r="N277" s="6">
        <v>2941412.1156065199</v>
      </c>
      <c r="O277" s="6">
        <v>508148.61069267202</v>
      </c>
      <c r="P277" s="6">
        <v>818756.80733900901</v>
      </c>
      <c r="Q277" s="6">
        <v>230325.262678067</v>
      </c>
      <c r="R277" s="6">
        <v>10419.437404799901</v>
      </c>
      <c r="S277" s="6">
        <v>202665.44817254</v>
      </c>
      <c r="T277" s="6">
        <v>3507097.14</v>
      </c>
      <c r="U277" s="6">
        <v>1001965.09372107</v>
      </c>
      <c r="V277" s="6">
        <v>4037844.7841656902</v>
      </c>
      <c r="W277" s="6">
        <v>471217.449555378</v>
      </c>
      <c r="X277" s="6">
        <v>0</v>
      </c>
      <c r="Y277" s="6">
        <v>0</v>
      </c>
      <c r="Z277" s="6">
        <v>0</v>
      </c>
      <c r="AA277" s="6">
        <v>0</v>
      </c>
      <c r="AB277" s="6">
        <v>0</v>
      </c>
      <c r="AC277" s="6">
        <v>130780.307081362</v>
      </c>
      <c r="AD277" s="6">
        <v>71885.141091178099</v>
      </c>
      <c r="AE277" s="6">
        <v>0</v>
      </c>
      <c r="AF277" s="6">
        <v>0</v>
      </c>
      <c r="AG277" s="6">
        <v>0</v>
      </c>
      <c r="AH277" s="6">
        <v>0</v>
      </c>
      <c r="AI277" s="6">
        <v>0</v>
      </c>
      <c r="AJ277" s="6">
        <v>4711727.6818936104</v>
      </c>
      <c r="AK277" s="6">
        <v>11982.6065768595</v>
      </c>
      <c r="AL277" s="6">
        <v>330.98244656580999</v>
      </c>
      <c r="AM277" s="6">
        <v>93035.839999999997</v>
      </c>
      <c r="AN277" s="6">
        <v>3063.5501091138999</v>
      </c>
      <c r="AO277" s="6">
        <v>13553.3592968543</v>
      </c>
      <c r="AP277" s="6">
        <v>330.98244656580999</v>
      </c>
      <c r="AQ277" s="6">
        <v>93035.839999999997</v>
      </c>
      <c r="AR277" s="6">
        <v>3121.5969734222699</v>
      </c>
      <c r="AS277" s="6">
        <v>12029.9916171639</v>
      </c>
      <c r="AT277" s="6">
        <v>0</v>
      </c>
      <c r="AU277" t="s">
        <v>2973</v>
      </c>
      <c r="AV277" t="s">
        <v>2973</v>
      </c>
    </row>
    <row r="278" spans="1:48" x14ac:dyDescent="0.45">
      <c r="A278" s="5" t="s">
        <v>565</v>
      </c>
      <c r="B278">
        <v>2190</v>
      </c>
      <c r="C278" t="s">
        <v>552</v>
      </c>
      <c r="D278">
        <v>993</v>
      </c>
      <c r="E278" t="s">
        <v>566</v>
      </c>
      <c r="F278" t="s">
        <v>2739</v>
      </c>
      <c r="G278" t="s">
        <v>2740</v>
      </c>
      <c r="H278" t="s">
        <v>2741</v>
      </c>
      <c r="I278" t="s">
        <v>2742</v>
      </c>
      <c r="J278">
        <v>425.99393939390598</v>
      </c>
      <c r="K278">
        <v>1</v>
      </c>
      <c r="L278">
        <v>2</v>
      </c>
      <c r="M278">
        <v>2</v>
      </c>
      <c r="N278" s="6">
        <v>3088866.8981539402</v>
      </c>
      <c r="O278" s="6">
        <v>691080.16158868303</v>
      </c>
      <c r="P278" s="6">
        <v>842079.01564834197</v>
      </c>
      <c r="Q278" s="6">
        <v>249526.17763004199</v>
      </c>
      <c r="R278" s="6">
        <v>10290.2057206686</v>
      </c>
      <c r="S278" s="6">
        <v>219560.52077039101</v>
      </c>
      <c r="T278" s="6">
        <v>3796349.2</v>
      </c>
      <c r="U278" s="6">
        <v>1085493.2587416701</v>
      </c>
      <c r="V278" s="6">
        <v>4287132.2356432602</v>
      </c>
      <c r="W278" s="6">
        <v>594710.22309841204</v>
      </c>
      <c r="X278" s="6">
        <v>0</v>
      </c>
      <c r="Y278" s="6">
        <v>0</v>
      </c>
      <c r="Z278" s="6">
        <v>0</v>
      </c>
      <c r="AA278" s="6">
        <v>0</v>
      </c>
      <c r="AB278" s="6">
        <v>0</v>
      </c>
      <c r="AC278" s="6">
        <v>141682.72188582199</v>
      </c>
      <c r="AD278" s="6">
        <v>77877.798884568896</v>
      </c>
      <c r="AE278" s="6">
        <v>0</v>
      </c>
      <c r="AF278" s="6">
        <v>0</v>
      </c>
      <c r="AG278" s="6">
        <v>0</v>
      </c>
      <c r="AH278" s="6">
        <v>0</v>
      </c>
      <c r="AI278" s="6">
        <v>0</v>
      </c>
      <c r="AJ278" s="6">
        <v>5101402.9795120703</v>
      </c>
      <c r="AK278" s="6">
        <v>11975.294734874</v>
      </c>
      <c r="AL278" s="6">
        <v>330.98244656580999</v>
      </c>
      <c r="AM278" s="6">
        <v>93035.839999999997</v>
      </c>
      <c r="AN278" s="6">
        <v>3063.5501091138999</v>
      </c>
      <c r="AO278" s="6">
        <v>13553.3592968543</v>
      </c>
      <c r="AP278" s="6">
        <v>330.98244656580999</v>
      </c>
      <c r="AQ278" s="6">
        <v>93035.839999999997</v>
      </c>
      <c r="AR278" s="6">
        <v>3121.5969734222699</v>
      </c>
      <c r="AS278" s="6">
        <v>12029.9916171639</v>
      </c>
      <c r="AT278" s="6">
        <v>0</v>
      </c>
      <c r="AU278" t="s">
        <v>2973</v>
      </c>
      <c r="AV278" t="s">
        <v>2973</v>
      </c>
    </row>
    <row r="279" spans="1:48" x14ac:dyDescent="0.45">
      <c r="A279" s="5" t="s">
        <v>567</v>
      </c>
      <c r="B279">
        <v>2187</v>
      </c>
      <c r="C279" t="s">
        <v>568</v>
      </c>
      <c r="D279">
        <v>980</v>
      </c>
      <c r="E279" t="s">
        <v>569</v>
      </c>
      <c r="F279" t="s">
        <v>2739</v>
      </c>
      <c r="G279" t="s">
        <v>2747</v>
      </c>
      <c r="H279" t="s">
        <v>2741</v>
      </c>
      <c r="I279" t="s">
        <v>2742</v>
      </c>
      <c r="J279">
        <v>745.88593091247901</v>
      </c>
      <c r="K279">
        <v>2</v>
      </c>
      <c r="L279">
        <v>1</v>
      </c>
      <c r="M279">
        <v>3</v>
      </c>
      <c r="N279" s="6">
        <v>5832925.35723079</v>
      </c>
      <c r="O279" s="6">
        <v>2898146.7654645201</v>
      </c>
      <c r="P279" s="6">
        <v>1933707.43519367</v>
      </c>
      <c r="Q279" s="6">
        <v>542415.49458211404</v>
      </c>
      <c r="R279" s="6">
        <v>1710496.8480801999</v>
      </c>
      <c r="S279" s="6">
        <v>304553.93524387799</v>
      </c>
      <c r="T279" s="6">
        <v>8223532.1299999999</v>
      </c>
      <c r="U279" s="6">
        <v>4694159.7705512904</v>
      </c>
      <c r="V279" s="6">
        <v>8718512.4086120091</v>
      </c>
      <c r="W279" s="6">
        <v>4166076.1273496398</v>
      </c>
      <c r="X279" s="6">
        <v>0</v>
      </c>
      <c r="Y279" s="6">
        <v>0</v>
      </c>
      <c r="Z279" s="6">
        <v>0</v>
      </c>
      <c r="AA279" s="6">
        <v>33103.3645896534</v>
      </c>
      <c r="AB279" s="6">
        <v>0</v>
      </c>
      <c r="AC279" s="6">
        <v>304553.93524387799</v>
      </c>
      <c r="AD279" s="6">
        <v>0</v>
      </c>
      <c r="AE279" s="6">
        <v>0</v>
      </c>
      <c r="AF279" s="6">
        <v>0</v>
      </c>
      <c r="AG279" s="6">
        <v>0</v>
      </c>
      <c r="AH279" s="6">
        <v>0</v>
      </c>
      <c r="AI279" s="6">
        <v>0</v>
      </c>
      <c r="AJ279" s="6">
        <v>13222245.835795199</v>
      </c>
      <c r="AK279" s="6">
        <v>17726.900706680099</v>
      </c>
      <c r="AL279" s="6">
        <v>330.98244656580999</v>
      </c>
      <c r="AM279" s="6">
        <v>93035.839999999997</v>
      </c>
      <c r="AN279" s="6">
        <v>6701.7133567327101</v>
      </c>
      <c r="AO279" s="6">
        <v>18324.899701578299</v>
      </c>
      <c r="AP279" s="6">
        <v>3753.1860850462999</v>
      </c>
      <c r="AQ279" s="6">
        <v>20687.885194392002</v>
      </c>
      <c r="AR279" s="6">
        <v>16562.516381909201</v>
      </c>
      <c r="AS279" s="6">
        <v>17726.900706680099</v>
      </c>
      <c r="AT279" s="6">
        <v>0</v>
      </c>
      <c r="AU279" t="s">
        <v>2973</v>
      </c>
      <c r="AV279" t="s">
        <v>2973</v>
      </c>
    </row>
    <row r="280" spans="1:48" x14ac:dyDescent="0.45">
      <c r="A280" s="5" t="s">
        <v>570</v>
      </c>
      <c r="B280">
        <v>2187</v>
      </c>
      <c r="C280" t="s">
        <v>568</v>
      </c>
      <c r="D280">
        <v>3580</v>
      </c>
      <c r="E280" t="s">
        <v>571</v>
      </c>
      <c r="F280" t="s">
        <v>3</v>
      </c>
      <c r="G280" t="s">
        <v>2740</v>
      </c>
      <c r="H280" t="s">
        <v>2741</v>
      </c>
      <c r="I280" t="s">
        <v>2742</v>
      </c>
      <c r="J280">
        <v>163.892321937383</v>
      </c>
      <c r="K280">
        <v>2</v>
      </c>
      <c r="L280">
        <v>1</v>
      </c>
      <c r="M280">
        <v>3</v>
      </c>
      <c r="N280" s="6">
        <v>155045.069177097</v>
      </c>
      <c r="O280" s="6">
        <v>385951.728915955</v>
      </c>
      <c r="P280" s="6">
        <v>267658.582812635</v>
      </c>
      <c r="Q280" s="6">
        <v>119184.08858191399</v>
      </c>
      <c r="R280" s="6">
        <v>103600.74470109701</v>
      </c>
      <c r="S280" s="6">
        <v>66919.148804997807</v>
      </c>
      <c r="T280" s="6">
        <v>0</v>
      </c>
      <c r="U280" s="6">
        <v>1031440.2141887</v>
      </c>
      <c r="V280" s="6">
        <v>474111.76457439503</v>
      </c>
      <c r="W280" s="6">
        <v>550054.70028925396</v>
      </c>
      <c r="X280" s="6">
        <v>0</v>
      </c>
      <c r="Y280" s="6">
        <v>0</v>
      </c>
      <c r="Z280" s="6">
        <v>0</v>
      </c>
      <c r="AA280" s="6">
        <v>7273.7493250487896</v>
      </c>
      <c r="AB280" s="6">
        <v>0</v>
      </c>
      <c r="AC280" s="6">
        <v>66919.148804997807</v>
      </c>
      <c r="AD280" s="6">
        <v>0</v>
      </c>
      <c r="AE280" s="6">
        <v>0</v>
      </c>
      <c r="AF280" s="6">
        <v>0</v>
      </c>
      <c r="AG280" s="6">
        <v>0</v>
      </c>
      <c r="AH280" s="6">
        <v>0</v>
      </c>
      <c r="AI280" s="6">
        <v>0</v>
      </c>
      <c r="AJ280" s="6">
        <v>1098359.3629937</v>
      </c>
      <c r="AK280" s="6">
        <v>6701.7133567327201</v>
      </c>
      <c r="AL280" s="6">
        <v>330.98244656580999</v>
      </c>
      <c r="AM280" s="6">
        <v>93035.839999999997</v>
      </c>
      <c r="AN280" s="6">
        <v>6701.7133567327101</v>
      </c>
      <c r="AO280" s="6">
        <v>18324.899701578299</v>
      </c>
      <c r="AP280" s="6">
        <v>330.98244656580999</v>
      </c>
      <c r="AQ280" s="6">
        <v>93035.839999999997</v>
      </c>
      <c r="AR280" s="6">
        <v>6701.7133567327201</v>
      </c>
      <c r="AS280" s="6">
        <v>18324.899701578299</v>
      </c>
      <c r="AT280" s="6">
        <v>0</v>
      </c>
      <c r="AU280" t="s">
        <v>2973</v>
      </c>
      <c r="AV280" t="s">
        <v>2976</v>
      </c>
    </row>
    <row r="281" spans="1:48" x14ac:dyDescent="0.45">
      <c r="A281" s="5" t="s">
        <v>572</v>
      </c>
      <c r="B281">
        <v>2187</v>
      </c>
      <c r="C281" t="s">
        <v>568</v>
      </c>
      <c r="D281">
        <v>972</v>
      </c>
      <c r="E281" t="s">
        <v>573</v>
      </c>
      <c r="F281" t="s">
        <v>2739</v>
      </c>
      <c r="G281" t="s">
        <v>2740</v>
      </c>
      <c r="H281" t="s">
        <v>2741</v>
      </c>
      <c r="I281" t="s">
        <v>2742</v>
      </c>
      <c r="J281">
        <v>438.262512952289</v>
      </c>
      <c r="K281">
        <v>2</v>
      </c>
      <c r="L281">
        <v>1</v>
      </c>
      <c r="M281">
        <v>3</v>
      </c>
      <c r="N281" s="6">
        <v>3814724.7593487902</v>
      </c>
      <c r="O281" s="6">
        <v>1762018.3076627001</v>
      </c>
      <c r="P281" s="6">
        <v>1270331.59961878</v>
      </c>
      <c r="Q281" s="6">
        <v>318708.75675185502</v>
      </c>
      <c r="R281" s="6">
        <v>277037.52182959899</v>
      </c>
      <c r="S281" s="6">
        <v>178947.70159587901</v>
      </c>
      <c r="T281" s="6">
        <v>4684658.91</v>
      </c>
      <c r="U281" s="6">
        <v>2758162.03521172</v>
      </c>
      <c r="V281" s="6">
        <v>5429375.7426979197</v>
      </c>
      <c r="W281" s="6">
        <v>1993994.5557714901</v>
      </c>
      <c r="X281" s="6">
        <v>0</v>
      </c>
      <c r="Y281" s="6">
        <v>0</v>
      </c>
      <c r="Z281" s="6">
        <v>0</v>
      </c>
      <c r="AA281" s="6">
        <v>19450.646742309498</v>
      </c>
      <c r="AB281" s="6">
        <v>0</v>
      </c>
      <c r="AC281" s="6">
        <v>178947.70159587901</v>
      </c>
      <c r="AD281" s="6">
        <v>0</v>
      </c>
      <c r="AE281" s="6">
        <v>0</v>
      </c>
      <c r="AF281" s="6">
        <v>0</v>
      </c>
      <c r="AG281" s="6">
        <v>0</v>
      </c>
      <c r="AH281" s="6">
        <v>0</v>
      </c>
      <c r="AI281" s="6">
        <v>0</v>
      </c>
      <c r="AJ281" s="6">
        <v>7621768.6468075896</v>
      </c>
      <c r="AK281" s="6">
        <v>17390.8751525763</v>
      </c>
      <c r="AL281" s="6">
        <v>330.98244656580999</v>
      </c>
      <c r="AM281" s="6">
        <v>93035.839999999997</v>
      </c>
      <c r="AN281" s="6">
        <v>6701.7133567327101</v>
      </c>
      <c r="AO281" s="6">
        <v>18324.899701578299</v>
      </c>
      <c r="AP281" s="6">
        <v>330.98244656580999</v>
      </c>
      <c r="AQ281" s="6">
        <v>93035.839999999997</v>
      </c>
      <c r="AR281" s="6">
        <v>6701.7133567327201</v>
      </c>
      <c r="AS281" s="6">
        <v>18324.899701578299</v>
      </c>
      <c r="AT281" s="6">
        <v>0</v>
      </c>
      <c r="AU281" t="s">
        <v>2973</v>
      </c>
      <c r="AV281" t="s">
        <v>2973</v>
      </c>
    </row>
    <row r="282" spans="1:48" x14ac:dyDescent="0.45">
      <c r="A282" s="5" t="s">
        <v>574</v>
      </c>
      <c r="B282">
        <v>2187</v>
      </c>
      <c r="C282" t="s">
        <v>568</v>
      </c>
      <c r="D282">
        <v>983</v>
      </c>
      <c r="E282" t="s">
        <v>575</v>
      </c>
      <c r="F282" t="s">
        <v>2739</v>
      </c>
      <c r="G282" t="s">
        <v>2744</v>
      </c>
      <c r="H282" t="s">
        <v>2745</v>
      </c>
      <c r="I282" t="s">
        <v>2742</v>
      </c>
      <c r="J282">
        <v>2866.0861500997698</v>
      </c>
      <c r="K282">
        <v>2</v>
      </c>
      <c r="L282">
        <v>1</v>
      </c>
      <c r="M282">
        <v>3</v>
      </c>
      <c r="N282" s="6">
        <v>23109695.572605401</v>
      </c>
      <c r="O282" s="6">
        <v>13843767.9935672</v>
      </c>
      <c r="P282" s="6">
        <v>8081795.7245274298</v>
      </c>
      <c r="Q282" s="6">
        <v>2282822.3898462802</v>
      </c>
      <c r="R282" s="6">
        <v>3186936.0209719599</v>
      </c>
      <c r="S282" s="6">
        <v>1170256.44215199</v>
      </c>
      <c r="T282" s="6">
        <v>32467586.309999999</v>
      </c>
      <c r="U282" s="6">
        <v>18037431.391518299</v>
      </c>
      <c r="V282" s="6">
        <v>36272353.519080997</v>
      </c>
      <c r="W282" s="6">
        <v>14051494.510316901</v>
      </c>
      <c r="X282" s="6">
        <v>0</v>
      </c>
      <c r="Y282" s="6">
        <v>0</v>
      </c>
      <c r="Z282" s="6">
        <v>0</v>
      </c>
      <c r="AA282" s="6">
        <v>181169.672120484</v>
      </c>
      <c r="AB282" s="6">
        <v>0</v>
      </c>
      <c r="AC282" s="6">
        <v>1170256.44215199</v>
      </c>
      <c r="AD282" s="6">
        <v>0</v>
      </c>
      <c r="AE282" s="6">
        <v>0</v>
      </c>
      <c r="AF282" s="6">
        <v>0</v>
      </c>
      <c r="AG282" s="6">
        <v>0</v>
      </c>
      <c r="AH282" s="6">
        <v>0</v>
      </c>
      <c r="AI282" s="6">
        <v>0</v>
      </c>
      <c r="AJ282" s="6">
        <v>51675274.143670298</v>
      </c>
      <c r="AK282" s="6">
        <v>18029.909583098699</v>
      </c>
      <c r="AL282" s="6">
        <v>330.98244656580999</v>
      </c>
      <c r="AM282" s="6">
        <v>93035.839999999997</v>
      </c>
      <c r="AN282" s="6">
        <v>6701.7133567327101</v>
      </c>
      <c r="AO282" s="6">
        <v>18324.899701578299</v>
      </c>
      <c r="AP282" s="6">
        <v>330.98244656580999</v>
      </c>
      <c r="AQ282" s="6">
        <v>40734.411818744898</v>
      </c>
      <c r="AR282" s="6">
        <v>18029.909583098699</v>
      </c>
      <c r="AS282" s="6">
        <v>18029.909583098699</v>
      </c>
      <c r="AT282" s="6">
        <v>0</v>
      </c>
      <c r="AU282" t="s">
        <v>2973</v>
      </c>
      <c r="AV282" t="s">
        <v>2973</v>
      </c>
    </row>
    <row r="283" spans="1:48" x14ac:dyDescent="0.45">
      <c r="A283" s="5" t="s">
        <v>576</v>
      </c>
      <c r="B283">
        <v>2187</v>
      </c>
      <c r="C283" t="s">
        <v>568</v>
      </c>
      <c r="D283">
        <v>2187</v>
      </c>
      <c r="E283" t="s">
        <v>568</v>
      </c>
      <c r="F283" t="s">
        <v>1</v>
      </c>
      <c r="G283" t="s">
        <v>1</v>
      </c>
      <c r="H283" t="s">
        <v>2743</v>
      </c>
      <c r="I283" t="s">
        <v>2742</v>
      </c>
      <c r="J283">
        <v>315.44345639737401</v>
      </c>
      <c r="K283">
        <v>2</v>
      </c>
      <c r="L283">
        <v>4</v>
      </c>
      <c r="M283">
        <v>3</v>
      </c>
      <c r="N283" s="6">
        <v>298415.154172257</v>
      </c>
      <c r="O283" s="6">
        <v>742841.06743149203</v>
      </c>
      <c r="P283" s="6">
        <v>515162.31815361301</v>
      </c>
      <c r="Q283" s="6">
        <v>229393.545746541</v>
      </c>
      <c r="R283" s="6">
        <v>199400.29287242499</v>
      </c>
      <c r="S283" s="6">
        <v>128799.246655885</v>
      </c>
      <c r="T283" s="6">
        <v>0</v>
      </c>
      <c r="U283" s="6">
        <v>1985212.37837633</v>
      </c>
      <c r="V283" s="6">
        <v>912522.63661957905</v>
      </c>
      <c r="W283" s="6">
        <v>1058689.96067525</v>
      </c>
      <c r="X283" s="6">
        <v>0</v>
      </c>
      <c r="Y283" s="6">
        <v>0</v>
      </c>
      <c r="Z283" s="6">
        <v>0</v>
      </c>
      <c r="AA283" s="6">
        <v>13999.781081496199</v>
      </c>
      <c r="AB283" s="6">
        <v>0</v>
      </c>
      <c r="AC283" s="6">
        <v>128799.246655885</v>
      </c>
      <c r="AD283" s="6">
        <v>0</v>
      </c>
      <c r="AE283" s="6">
        <v>0</v>
      </c>
      <c r="AF283" s="6">
        <v>0</v>
      </c>
      <c r="AG283" s="6">
        <v>0</v>
      </c>
      <c r="AH283" s="6">
        <v>0</v>
      </c>
      <c r="AI283" s="6">
        <v>0</v>
      </c>
      <c r="AJ283" s="6">
        <v>2114011.6250322098</v>
      </c>
      <c r="AK283" s="6">
        <v>6701.7133567327101</v>
      </c>
      <c r="AL283" s="6">
        <v>330.98244656580999</v>
      </c>
      <c r="AM283" s="6">
        <v>93035.839999999997</v>
      </c>
      <c r="AN283" s="6">
        <v>6701.7133567327101</v>
      </c>
      <c r="AO283" s="6">
        <v>18324.899701578299</v>
      </c>
      <c r="AP283" s="6">
        <v>634.54287297753501</v>
      </c>
      <c r="AQ283" s="6">
        <v>40331.279999999999</v>
      </c>
      <c r="AR283" s="6">
        <v>6701.7133567327101</v>
      </c>
      <c r="AS283" s="6">
        <v>6701.7133567327101</v>
      </c>
      <c r="AT283" s="6">
        <v>0</v>
      </c>
      <c r="AU283" t="s">
        <v>2973</v>
      </c>
      <c r="AV283" t="s">
        <v>2977</v>
      </c>
    </row>
    <row r="284" spans="1:48" x14ac:dyDescent="0.45">
      <c r="A284" s="5" t="s">
        <v>577</v>
      </c>
      <c r="B284">
        <v>2187</v>
      </c>
      <c r="C284" t="s">
        <v>568</v>
      </c>
      <c r="D284">
        <v>3525</v>
      </c>
      <c r="E284" t="s">
        <v>578</v>
      </c>
      <c r="F284" t="s">
        <v>2739</v>
      </c>
      <c r="G284" t="s">
        <v>2740</v>
      </c>
      <c r="H284" t="s">
        <v>2741</v>
      </c>
      <c r="I284" t="s">
        <v>2742</v>
      </c>
      <c r="J284">
        <v>436.436094279521</v>
      </c>
      <c r="K284">
        <v>3</v>
      </c>
      <c r="L284">
        <v>1</v>
      </c>
      <c r="M284">
        <v>3</v>
      </c>
      <c r="N284" s="6">
        <v>3741611.0746031399</v>
      </c>
      <c r="O284" s="6">
        <v>1714602.4453855299</v>
      </c>
      <c r="P284" s="6">
        <v>1294819.2680651799</v>
      </c>
      <c r="Q284" s="6">
        <v>317380.567350975</v>
      </c>
      <c r="R284" s="6">
        <v>275882.99346366897</v>
      </c>
      <c r="S284" s="6">
        <v>178201.953524838</v>
      </c>
      <c r="T284" s="6">
        <v>4597628.7</v>
      </c>
      <c r="U284" s="6">
        <v>2746667.6488684802</v>
      </c>
      <c r="V284" s="6">
        <v>5179818.05356484</v>
      </c>
      <c r="W284" s="6">
        <v>2145108.70734085</v>
      </c>
      <c r="X284" s="6">
        <v>0</v>
      </c>
      <c r="Y284" s="6">
        <v>0</v>
      </c>
      <c r="Z284" s="6">
        <v>0</v>
      </c>
      <c r="AA284" s="6">
        <v>19369.587962793401</v>
      </c>
      <c r="AB284" s="6">
        <v>0</v>
      </c>
      <c r="AC284" s="6">
        <v>178201.953524838</v>
      </c>
      <c r="AD284" s="6">
        <v>0</v>
      </c>
      <c r="AE284" s="6">
        <v>0</v>
      </c>
      <c r="AF284" s="6">
        <v>0</v>
      </c>
      <c r="AG284" s="6">
        <v>0</v>
      </c>
      <c r="AH284" s="6">
        <v>0</v>
      </c>
      <c r="AI284" s="6">
        <v>0</v>
      </c>
      <c r="AJ284" s="6">
        <v>7522498.30239332</v>
      </c>
      <c r="AK284" s="6">
        <v>17236.196549718599</v>
      </c>
      <c r="AL284" s="6">
        <v>330.98244656580999</v>
      </c>
      <c r="AM284" s="6">
        <v>93035.839999999997</v>
      </c>
      <c r="AN284" s="6">
        <v>6701.7133567327101</v>
      </c>
      <c r="AO284" s="6">
        <v>18324.899701578299</v>
      </c>
      <c r="AP284" s="6">
        <v>330.98244656580999</v>
      </c>
      <c r="AQ284" s="6">
        <v>93035.839999999997</v>
      </c>
      <c r="AR284" s="6">
        <v>6701.7133567327201</v>
      </c>
      <c r="AS284" s="6">
        <v>18324.899701578299</v>
      </c>
      <c r="AT284" s="6">
        <v>0</v>
      </c>
      <c r="AU284" t="s">
        <v>2973</v>
      </c>
      <c r="AV284" t="s">
        <v>2973</v>
      </c>
    </row>
    <row r="285" spans="1:48" x14ac:dyDescent="0.45">
      <c r="A285" s="5" t="s">
        <v>579</v>
      </c>
      <c r="B285">
        <v>2187</v>
      </c>
      <c r="C285" t="s">
        <v>568</v>
      </c>
      <c r="D285">
        <v>981</v>
      </c>
      <c r="E285" t="s">
        <v>580</v>
      </c>
      <c r="F285" t="s">
        <v>2739</v>
      </c>
      <c r="G285" t="s">
        <v>2747</v>
      </c>
      <c r="H285" t="s">
        <v>2741</v>
      </c>
      <c r="I285" t="s">
        <v>2742</v>
      </c>
      <c r="J285">
        <v>745.80172438525801</v>
      </c>
      <c r="K285">
        <v>2</v>
      </c>
      <c r="L285">
        <v>1</v>
      </c>
      <c r="M285">
        <v>3</v>
      </c>
      <c r="N285" s="6">
        <v>6174658.8063492896</v>
      </c>
      <c r="O285" s="6">
        <v>2876569.6966401301</v>
      </c>
      <c r="P285" s="6">
        <v>1982637.6644149499</v>
      </c>
      <c r="Q285" s="6">
        <v>542354.25877752702</v>
      </c>
      <c r="R285" s="6">
        <v>471613.29886954499</v>
      </c>
      <c r="S285" s="6">
        <v>304519.55273554102</v>
      </c>
      <c r="T285" s="6">
        <v>7354203.9000000004</v>
      </c>
      <c r="U285" s="6">
        <v>4693629.8250514297</v>
      </c>
      <c r="V285" s="6">
        <v>8890016.1438862793</v>
      </c>
      <c r="W285" s="6">
        <v>3124545.9837680799</v>
      </c>
      <c r="X285" s="6">
        <v>0</v>
      </c>
      <c r="Y285" s="6">
        <v>0</v>
      </c>
      <c r="Z285" s="6">
        <v>0</v>
      </c>
      <c r="AA285" s="6">
        <v>33271.5973970669</v>
      </c>
      <c r="AB285" s="6">
        <v>0</v>
      </c>
      <c r="AC285" s="6">
        <v>304519.55273554102</v>
      </c>
      <c r="AD285" s="6">
        <v>0</v>
      </c>
      <c r="AE285" s="6">
        <v>0</v>
      </c>
      <c r="AF285" s="6">
        <v>0</v>
      </c>
      <c r="AG285" s="6">
        <v>0</v>
      </c>
      <c r="AH285" s="6">
        <v>0</v>
      </c>
      <c r="AI285" s="6">
        <v>0</v>
      </c>
      <c r="AJ285" s="6">
        <v>12352353.277787</v>
      </c>
      <c r="AK285" s="6">
        <v>16562.516381909201</v>
      </c>
      <c r="AL285" s="6">
        <v>330.98244656580999</v>
      </c>
      <c r="AM285" s="6">
        <v>93035.839999999997</v>
      </c>
      <c r="AN285" s="6">
        <v>6701.7133567327101</v>
      </c>
      <c r="AO285" s="6">
        <v>18324.899701578299</v>
      </c>
      <c r="AP285" s="6">
        <v>3753.1860850462999</v>
      </c>
      <c r="AQ285" s="6">
        <v>20687.885194392002</v>
      </c>
      <c r="AR285" s="6">
        <v>16562.516381909201</v>
      </c>
      <c r="AS285" s="6">
        <v>17726.900706680099</v>
      </c>
      <c r="AT285" s="6">
        <v>0</v>
      </c>
      <c r="AU285" t="s">
        <v>2973</v>
      </c>
      <c r="AV285" t="s">
        <v>2973</v>
      </c>
    </row>
    <row r="286" spans="1:48" x14ac:dyDescent="0.45">
      <c r="A286" s="5" t="s">
        <v>581</v>
      </c>
      <c r="B286">
        <v>2187</v>
      </c>
      <c r="C286" t="s">
        <v>568</v>
      </c>
      <c r="D286">
        <v>973</v>
      </c>
      <c r="E286" t="s">
        <v>582</v>
      </c>
      <c r="F286" t="s">
        <v>2739</v>
      </c>
      <c r="G286" t="s">
        <v>2740</v>
      </c>
      <c r="H286" t="s">
        <v>2741</v>
      </c>
      <c r="I286" t="s">
        <v>2742</v>
      </c>
      <c r="J286">
        <v>589.83653233057203</v>
      </c>
      <c r="K286">
        <v>3</v>
      </c>
      <c r="L286">
        <v>1</v>
      </c>
      <c r="M286">
        <v>3</v>
      </c>
      <c r="N286" s="6">
        <v>4346165.2338861497</v>
      </c>
      <c r="O286" s="6">
        <v>2105062.9581096899</v>
      </c>
      <c r="P286" s="6">
        <v>1519540.6191620701</v>
      </c>
      <c r="Q286" s="6">
        <v>428934.85605136998</v>
      </c>
      <c r="R286" s="6">
        <v>372851.53617328597</v>
      </c>
      <c r="S286" s="6">
        <v>240837.14362613001</v>
      </c>
      <c r="T286" s="6">
        <v>5060476.9800000004</v>
      </c>
      <c r="U286" s="6">
        <v>3712078.2233825698</v>
      </c>
      <c r="V286" s="6">
        <v>6167547.2568010399</v>
      </c>
      <c r="W286" s="6">
        <v>2578830.2524210401</v>
      </c>
      <c r="X286" s="6">
        <v>0</v>
      </c>
      <c r="Y286" s="6">
        <v>0</v>
      </c>
      <c r="Z286" s="6">
        <v>0</v>
      </c>
      <c r="AA286" s="6">
        <v>26177.6941604854</v>
      </c>
      <c r="AB286" s="6">
        <v>0</v>
      </c>
      <c r="AC286" s="6">
        <v>240837.14362613001</v>
      </c>
      <c r="AD286" s="6">
        <v>0</v>
      </c>
      <c r="AE286" s="6">
        <v>0</v>
      </c>
      <c r="AF286" s="6">
        <v>0</v>
      </c>
      <c r="AG286" s="6">
        <v>0</v>
      </c>
      <c r="AH286" s="6">
        <v>0</v>
      </c>
      <c r="AI286" s="6">
        <v>0</v>
      </c>
      <c r="AJ286" s="6">
        <v>9013392.3470086902</v>
      </c>
      <c r="AK286" s="6">
        <v>15281.1700411211</v>
      </c>
      <c r="AL286" s="6">
        <v>330.98244656580999</v>
      </c>
      <c r="AM286" s="6">
        <v>93035.839999999997</v>
      </c>
      <c r="AN286" s="6">
        <v>6701.7133567327101</v>
      </c>
      <c r="AO286" s="6">
        <v>18324.899701578299</v>
      </c>
      <c r="AP286" s="6">
        <v>330.98244656580999</v>
      </c>
      <c r="AQ286" s="6">
        <v>93035.839999999997</v>
      </c>
      <c r="AR286" s="6">
        <v>6701.7133567327201</v>
      </c>
      <c r="AS286" s="6">
        <v>18324.899701578299</v>
      </c>
      <c r="AT286" s="6">
        <v>0</v>
      </c>
      <c r="AU286" t="s">
        <v>2973</v>
      </c>
      <c r="AV286" t="s">
        <v>2973</v>
      </c>
    </row>
    <row r="287" spans="1:48" x14ac:dyDescent="0.45">
      <c r="A287" s="5" t="s">
        <v>583</v>
      </c>
      <c r="B287">
        <v>2187</v>
      </c>
      <c r="C287" t="s">
        <v>568</v>
      </c>
      <c r="D287">
        <v>974</v>
      </c>
      <c r="E287" t="s">
        <v>584</v>
      </c>
      <c r="F287" t="s">
        <v>2739</v>
      </c>
      <c r="G287" t="s">
        <v>2740</v>
      </c>
      <c r="H287" t="s">
        <v>2741</v>
      </c>
      <c r="I287" t="s">
        <v>2742</v>
      </c>
      <c r="J287">
        <v>590.65905619039904</v>
      </c>
      <c r="K287">
        <v>4</v>
      </c>
      <c r="L287">
        <v>1</v>
      </c>
      <c r="M287">
        <v>3</v>
      </c>
      <c r="N287" s="6">
        <v>4264619.68617546</v>
      </c>
      <c r="O287" s="6">
        <v>2157351.0580788902</v>
      </c>
      <c r="P287" s="6">
        <v>1524646.80314954</v>
      </c>
      <c r="Q287" s="6">
        <v>429533.00339232798</v>
      </c>
      <c r="R287" s="6">
        <v>373371.47562746599</v>
      </c>
      <c r="S287" s="6">
        <v>241172.989722645</v>
      </c>
      <c r="T287" s="6">
        <v>5032267.33</v>
      </c>
      <c r="U287" s="6">
        <v>3717254.6964236898</v>
      </c>
      <c r="V287" s="6">
        <v>6203106.2141768998</v>
      </c>
      <c r="W287" s="6">
        <v>2520201.6134331301</v>
      </c>
      <c r="X287" s="6">
        <v>0</v>
      </c>
      <c r="Y287" s="6">
        <v>0</v>
      </c>
      <c r="Z287" s="6">
        <v>0</v>
      </c>
      <c r="AA287" s="6">
        <v>26214.198813659699</v>
      </c>
      <c r="AB287" s="6">
        <v>0</v>
      </c>
      <c r="AC287" s="6">
        <v>241172.989722645</v>
      </c>
      <c r="AD287" s="6">
        <v>0</v>
      </c>
      <c r="AE287" s="6">
        <v>0</v>
      </c>
      <c r="AF287" s="6">
        <v>0</v>
      </c>
      <c r="AG287" s="6">
        <v>0</v>
      </c>
      <c r="AH287" s="6">
        <v>0</v>
      </c>
      <c r="AI287" s="6">
        <v>0</v>
      </c>
      <c r="AJ287" s="6">
        <v>8990695.0161463395</v>
      </c>
      <c r="AK287" s="6">
        <v>15221.463079113801</v>
      </c>
      <c r="AL287" s="6">
        <v>330.98244656580999</v>
      </c>
      <c r="AM287" s="6">
        <v>93035.839999999997</v>
      </c>
      <c r="AN287" s="6">
        <v>6701.7133567327101</v>
      </c>
      <c r="AO287" s="6">
        <v>18324.899701578299</v>
      </c>
      <c r="AP287" s="6">
        <v>330.98244656580999</v>
      </c>
      <c r="AQ287" s="6">
        <v>93035.839999999997</v>
      </c>
      <c r="AR287" s="6">
        <v>6701.7133567327201</v>
      </c>
      <c r="AS287" s="6">
        <v>18324.899701578299</v>
      </c>
      <c r="AT287" s="6">
        <v>0</v>
      </c>
      <c r="AU287" t="s">
        <v>2973</v>
      </c>
      <c r="AV287" t="s">
        <v>2973</v>
      </c>
    </row>
    <row r="288" spans="1:48" x14ac:dyDescent="0.45">
      <c r="A288" s="5" t="s">
        <v>585</v>
      </c>
      <c r="B288">
        <v>2187</v>
      </c>
      <c r="C288" t="s">
        <v>568</v>
      </c>
      <c r="D288">
        <v>975</v>
      </c>
      <c r="E288" t="s">
        <v>586</v>
      </c>
      <c r="F288" t="s">
        <v>2739</v>
      </c>
      <c r="G288" t="s">
        <v>2740</v>
      </c>
      <c r="H288" t="s">
        <v>2741</v>
      </c>
      <c r="I288" t="s">
        <v>2742</v>
      </c>
      <c r="J288">
        <v>580.22619047612204</v>
      </c>
      <c r="K288">
        <v>5</v>
      </c>
      <c r="L288">
        <v>1</v>
      </c>
      <c r="M288">
        <v>3</v>
      </c>
      <c r="N288" s="6">
        <v>4446838.1485281801</v>
      </c>
      <c r="O288" s="6">
        <v>2070211.7043926499</v>
      </c>
      <c r="P288" s="6">
        <v>1545948.2161826801</v>
      </c>
      <c r="Q288" s="6">
        <v>421946.12209883699</v>
      </c>
      <c r="R288" s="6">
        <v>366776.58060987899</v>
      </c>
      <c r="S288" s="6">
        <v>236913.12882774</v>
      </c>
      <c r="T288" s="6">
        <v>5200124.29</v>
      </c>
      <c r="U288" s="6">
        <v>3651596.4818122201</v>
      </c>
      <c r="V288" s="6">
        <v>6223217.5720672896</v>
      </c>
      <c r="W288" s="6">
        <v>2602752.0247572302</v>
      </c>
      <c r="X288" s="6">
        <v>0</v>
      </c>
      <c r="Y288" s="6">
        <v>0</v>
      </c>
      <c r="Z288" s="6">
        <v>0</v>
      </c>
      <c r="AA288" s="6">
        <v>25751.174987708</v>
      </c>
      <c r="AB288" s="6">
        <v>0</v>
      </c>
      <c r="AC288" s="6">
        <v>236913.12882774</v>
      </c>
      <c r="AD288" s="6">
        <v>0</v>
      </c>
      <c r="AE288" s="6">
        <v>0</v>
      </c>
      <c r="AF288" s="6">
        <v>0</v>
      </c>
      <c r="AG288" s="6">
        <v>0</v>
      </c>
      <c r="AH288" s="6">
        <v>0</v>
      </c>
      <c r="AI288" s="6">
        <v>0</v>
      </c>
      <c r="AJ288" s="6">
        <v>9088633.9006399605</v>
      </c>
      <c r="AK288" s="6">
        <v>15663.94976618</v>
      </c>
      <c r="AL288" s="6">
        <v>330.98244656580999</v>
      </c>
      <c r="AM288" s="6">
        <v>93035.839999999997</v>
      </c>
      <c r="AN288" s="6">
        <v>6701.7133567327101</v>
      </c>
      <c r="AO288" s="6">
        <v>18324.899701578299</v>
      </c>
      <c r="AP288" s="6">
        <v>330.98244656580999</v>
      </c>
      <c r="AQ288" s="6">
        <v>93035.839999999997</v>
      </c>
      <c r="AR288" s="6">
        <v>6701.7133567327201</v>
      </c>
      <c r="AS288" s="6">
        <v>18324.899701578299</v>
      </c>
      <c r="AT288" s="6">
        <v>0</v>
      </c>
      <c r="AU288" t="s">
        <v>2973</v>
      </c>
      <c r="AV288" t="s">
        <v>2973</v>
      </c>
    </row>
    <row r="289" spans="1:48" x14ac:dyDescent="0.45">
      <c r="A289" s="5" t="s">
        <v>587</v>
      </c>
      <c r="B289">
        <v>2187</v>
      </c>
      <c r="C289" t="s">
        <v>568</v>
      </c>
      <c r="D289">
        <v>976</v>
      </c>
      <c r="E289" t="s">
        <v>588</v>
      </c>
      <c r="F289" t="s">
        <v>2739</v>
      </c>
      <c r="G289" t="s">
        <v>2740</v>
      </c>
      <c r="H289" t="s">
        <v>2741</v>
      </c>
      <c r="I289" t="s">
        <v>2742</v>
      </c>
      <c r="J289">
        <v>441.72916666659899</v>
      </c>
      <c r="K289">
        <v>3</v>
      </c>
      <c r="L289">
        <v>1</v>
      </c>
      <c r="M289">
        <v>3</v>
      </c>
      <c r="N289" s="6">
        <v>3957457.4157934501</v>
      </c>
      <c r="O289" s="6">
        <v>1723503.94645265</v>
      </c>
      <c r="P289" s="6">
        <v>1201413.6493855801</v>
      </c>
      <c r="Q289" s="6">
        <v>321229.74100837798</v>
      </c>
      <c r="R289" s="6">
        <v>279228.88688061398</v>
      </c>
      <c r="S289" s="6">
        <v>180363.17678727899</v>
      </c>
      <c r="T289" s="6">
        <v>4702854.5599999996</v>
      </c>
      <c r="U289" s="6">
        <v>2779979.07952068</v>
      </c>
      <c r="V289" s="6">
        <v>5574357.9043483697</v>
      </c>
      <c r="W289" s="6">
        <v>1888871.2339369</v>
      </c>
      <c r="X289" s="6">
        <v>0</v>
      </c>
      <c r="Y289" s="6">
        <v>0</v>
      </c>
      <c r="Z289" s="6">
        <v>0</v>
      </c>
      <c r="AA289" s="6">
        <v>19604.5012354094</v>
      </c>
      <c r="AB289" s="6">
        <v>0</v>
      </c>
      <c r="AC289" s="6">
        <v>180363.17678727899</v>
      </c>
      <c r="AD289" s="6">
        <v>0</v>
      </c>
      <c r="AE289" s="6">
        <v>0</v>
      </c>
      <c r="AF289" s="6">
        <v>0</v>
      </c>
      <c r="AG289" s="6">
        <v>0</v>
      </c>
      <c r="AH289" s="6">
        <v>0</v>
      </c>
      <c r="AI289" s="6">
        <v>0</v>
      </c>
      <c r="AJ289" s="6">
        <v>7663196.8163079703</v>
      </c>
      <c r="AK289" s="6">
        <v>17348.179370034301</v>
      </c>
      <c r="AL289" s="6">
        <v>330.98244656580999</v>
      </c>
      <c r="AM289" s="6">
        <v>93035.839999999997</v>
      </c>
      <c r="AN289" s="6">
        <v>6701.7133567327101</v>
      </c>
      <c r="AO289" s="6">
        <v>18324.899701578299</v>
      </c>
      <c r="AP289" s="6">
        <v>330.98244656580999</v>
      </c>
      <c r="AQ289" s="6">
        <v>93035.839999999997</v>
      </c>
      <c r="AR289" s="6">
        <v>6701.7133567327201</v>
      </c>
      <c r="AS289" s="6">
        <v>18324.899701578299</v>
      </c>
      <c r="AT289" s="6">
        <v>0</v>
      </c>
      <c r="AU289" t="s">
        <v>2973</v>
      </c>
      <c r="AV289" t="s">
        <v>2973</v>
      </c>
    </row>
    <row r="290" spans="1:48" x14ac:dyDescent="0.45">
      <c r="A290" s="5" t="s">
        <v>589</v>
      </c>
      <c r="B290">
        <v>2187</v>
      </c>
      <c r="C290" t="s">
        <v>568</v>
      </c>
      <c r="D290">
        <v>977</v>
      </c>
      <c r="E290" t="s">
        <v>590</v>
      </c>
      <c r="F290" t="s">
        <v>2739</v>
      </c>
      <c r="G290" t="s">
        <v>2740</v>
      </c>
      <c r="H290" t="s">
        <v>2741</v>
      </c>
      <c r="I290" t="s">
        <v>2742</v>
      </c>
      <c r="J290">
        <v>482.213828086766</v>
      </c>
      <c r="K290">
        <v>5</v>
      </c>
      <c r="L290">
        <v>1</v>
      </c>
      <c r="M290">
        <v>3</v>
      </c>
      <c r="N290" s="6">
        <v>4176802.3699134402</v>
      </c>
      <c r="O290" s="6">
        <v>1800758.20556124</v>
      </c>
      <c r="P290" s="6">
        <v>1350599.3699393601</v>
      </c>
      <c r="Q290" s="6">
        <v>366841.10006582597</v>
      </c>
      <c r="R290" s="6">
        <v>304990.33022903098</v>
      </c>
      <c r="S290" s="6">
        <v>196893.53678139299</v>
      </c>
      <c r="T290" s="6">
        <v>4965226.0599999996</v>
      </c>
      <c r="U290" s="6">
        <v>3034765.3157088999</v>
      </c>
      <c r="V290" s="6">
        <v>5443758.5047367001</v>
      </c>
      <c r="W290" s="6">
        <v>2534831.6090636798</v>
      </c>
      <c r="X290" s="6">
        <v>0</v>
      </c>
      <c r="Y290" s="6">
        <v>0</v>
      </c>
      <c r="Z290" s="6">
        <v>0</v>
      </c>
      <c r="AA290" s="6">
        <v>21401.2619085072</v>
      </c>
      <c r="AB290" s="6">
        <v>0</v>
      </c>
      <c r="AC290" s="6">
        <v>196893.53678139299</v>
      </c>
      <c r="AD290" s="6">
        <v>0</v>
      </c>
      <c r="AE290" s="6">
        <v>0</v>
      </c>
      <c r="AF290" s="6">
        <v>0</v>
      </c>
      <c r="AG290" s="6">
        <v>0</v>
      </c>
      <c r="AH290" s="6">
        <v>0</v>
      </c>
      <c r="AI290" s="6">
        <v>0</v>
      </c>
      <c r="AJ290" s="6">
        <v>8196884.9124902999</v>
      </c>
      <c r="AK290" s="6">
        <v>16998.444331246799</v>
      </c>
      <c r="AL290" s="6">
        <v>330.98244656580999</v>
      </c>
      <c r="AM290" s="6">
        <v>93035.839999999997</v>
      </c>
      <c r="AN290" s="6">
        <v>6701.7133567327101</v>
      </c>
      <c r="AO290" s="6">
        <v>18324.899701578299</v>
      </c>
      <c r="AP290" s="6">
        <v>330.98244656580999</v>
      </c>
      <c r="AQ290" s="6">
        <v>93035.839999999997</v>
      </c>
      <c r="AR290" s="6">
        <v>6701.7133567327201</v>
      </c>
      <c r="AS290" s="6">
        <v>18324.899701578299</v>
      </c>
      <c r="AT290" s="6">
        <v>0</v>
      </c>
      <c r="AU290" t="s">
        <v>2973</v>
      </c>
      <c r="AV290" t="s">
        <v>2973</v>
      </c>
    </row>
    <row r="291" spans="1:48" x14ac:dyDescent="0.45">
      <c r="A291" s="5" t="s">
        <v>591</v>
      </c>
      <c r="B291">
        <v>2187</v>
      </c>
      <c r="C291" t="s">
        <v>568</v>
      </c>
      <c r="D291">
        <v>4232</v>
      </c>
      <c r="E291" t="s">
        <v>592</v>
      </c>
      <c r="F291" t="s">
        <v>2739</v>
      </c>
      <c r="G291" t="s">
        <v>2747</v>
      </c>
      <c r="H291" t="s">
        <v>2741</v>
      </c>
      <c r="I291" t="s">
        <v>2742</v>
      </c>
      <c r="J291">
        <v>813.86656806735903</v>
      </c>
      <c r="K291">
        <v>2</v>
      </c>
      <c r="L291">
        <v>1</v>
      </c>
      <c r="M291">
        <v>3</v>
      </c>
      <c r="N291" s="6">
        <v>7180146.29639793</v>
      </c>
      <c r="O291" s="6">
        <v>3288037.4430348901</v>
      </c>
      <c r="P291" s="6">
        <v>2143666.7156756101</v>
      </c>
      <c r="Q291" s="6">
        <v>591851.67429294798</v>
      </c>
      <c r="R291" s="6">
        <v>514466.94721500698</v>
      </c>
      <c r="S291" s="6">
        <v>332311.22319885698</v>
      </c>
      <c r="T291" s="6">
        <v>8596179.8499999996</v>
      </c>
      <c r="U291" s="6">
        <v>5121989.2266163696</v>
      </c>
      <c r="V291" s="6">
        <v>10183138.1580202</v>
      </c>
      <c r="W291" s="6">
        <v>3498910.48702145</v>
      </c>
      <c r="X291" s="6">
        <v>0</v>
      </c>
      <c r="Y291" s="6">
        <v>0</v>
      </c>
      <c r="Z291" s="6">
        <v>0</v>
      </c>
      <c r="AA291" s="6">
        <v>36120.431574711001</v>
      </c>
      <c r="AB291" s="6">
        <v>0</v>
      </c>
      <c r="AC291" s="6">
        <v>332311.22319885698</v>
      </c>
      <c r="AD291" s="6">
        <v>0</v>
      </c>
      <c r="AE291" s="6">
        <v>0</v>
      </c>
      <c r="AF291" s="6">
        <v>0</v>
      </c>
      <c r="AG291" s="6">
        <v>0</v>
      </c>
      <c r="AH291" s="6">
        <v>0</v>
      </c>
      <c r="AI291" s="6">
        <v>0</v>
      </c>
      <c r="AJ291" s="6">
        <v>14050480.2998152</v>
      </c>
      <c r="AK291" s="6">
        <v>17263.862223976201</v>
      </c>
      <c r="AL291" s="6">
        <v>330.98244656580999</v>
      </c>
      <c r="AM291" s="6">
        <v>93035.839999999997</v>
      </c>
      <c r="AN291" s="6">
        <v>6701.7133567327101</v>
      </c>
      <c r="AO291" s="6">
        <v>18324.899701578299</v>
      </c>
      <c r="AP291" s="6">
        <v>3753.1860850462999</v>
      </c>
      <c r="AQ291" s="6">
        <v>20687.885194392002</v>
      </c>
      <c r="AR291" s="6">
        <v>16562.516381909201</v>
      </c>
      <c r="AS291" s="6">
        <v>17726.900706680099</v>
      </c>
      <c r="AT291" s="6">
        <v>0</v>
      </c>
      <c r="AU291" t="s">
        <v>2973</v>
      </c>
      <c r="AV291" t="s">
        <v>2973</v>
      </c>
    </row>
    <row r="292" spans="1:48" x14ac:dyDescent="0.45">
      <c r="A292" s="5" t="s">
        <v>593</v>
      </c>
      <c r="B292">
        <v>2187</v>
      </c>
      <c r="C292" t="s">
        <v>568</v>
      </c>
      <c r="D292">
        <v>978</v>
      </c>
      <c r="E292" t="s">
        <v>594</v>
      </c>
      <c r="F292" t="s">
        <v>2739</v>
      </c>
      <c r="G292" t="s">
        <v>2740</v>
      </c>
      <c r="H292" t="s">
        <v>2741</v>
      </c>
      <c r="I292" t="s">
        <v>2742</v>
      </c>
      <c r="J292">
        <v>376.20535714280402</v>
      </c>
      <c r="K292">
        <v>3</v>
      </c>
      <c r="L292">
        <v>1</v>
      </c>
      <c r="M292">
        <v>3</v>
      </c>
      <c r="N292" s="6">
        <v>3578001.8895268301</v>
      </c>
      <c r="O292" s="6">
        <v>1608077.38775436</v>
      </c>
      <c r="P292" s="6">
        <v>1042847.4045285</v>
      </c>
      <c r="Q292" s="6">
        <v>273580.19021677901</v>
      </c>
      <c r="R292" s="6">
        <v>237809.52456959899</v>
      </c>
      <c r="S292" s="6">
        <v>153609.04024225901</v>
      </c>
      <c r="T292" s="6">
        <v>4372704.97</v>
      </c>
      <c r="U292" s="6">
        <v>2367611.42659608</v>
      </c>
      <c r="V292" s="6">
        <v>4955862.0967079299</v>
      </c>
      <c r="W292" s="6">
        <v>1767757.8285083401</v>
      </c>
      <c r="X292" s="6">
        <v>0</v>
      </c>
      <c r="Y292" s="6">
        <v>0</v>
      </c>
      <c r="Z292" s="6">
        <v>0</v>
      </c>
      <c r="AA292" s="6">
        <v>16696.471379804501</v>
      </c>
      <c r="AB292" s="6">
        <v>0</v>
      </c>
      <c r="AC292" s="6">
        <v>153609.04024225901</v>
      </c>
      <c r="AD292" s="6">
        <v>0</v>
      </c>
      <c r="AE292" s="6">
        <v>0</v>
      </c>
      <c r="AF292" s="6">
        <v>0</v>
      </c>
      <c r="AG292" s="6">
        <v>0</v>
      </c>
      <c r="AH292" s="6">
        <v>0</v>
      </c>
      <c r="AI292" s="6">
        <v>0</v>
      </c>
      <c r="AJ292" s="6">
        <v>6893925.4368383298</v>
      </c>
      <c r="AK292" s="6">
        <v>18324.899701578299</v>
      </c>
      <c r="AL292" s="6">
        <v>330.98244656580999</v>
      </c>
      <c r="AM292" s="6">
        <v>93035.839999999997</v>
      </c>
      <c r="AN292" s="6">
        <v>6701.7133567327101</v>
      </c>
      <c r="AO292" s="6">
        <v>18324.899701578299</v>
      </c>
      <c r="AP292" s="6">
        <v>330.98244656580999</v>
      </c>
      <c r="AQ292" s="6">
        <v>93035.839999999997</v>
      </c>
      <c r="AR292" s="6">
        <v>6701.7133567327201</v>
      </c>
      <c r="AS292" s="6">
        <v>18324.899701578299</v>
      </c>
      <c r="AT292" s="6">
        <v>0</v>
      </c>
      <c r="AU292" t="s">
        <v>2973</v>
      </c>
      <c r="AV292" t="s">
        <v>2973</v>
      </c>
    </row>
    <row r="293" spans="1:48" x14ac:dyDescent="0.45">
      <c r="A293" s="5" t="s">
        <v>595</v>
      </c>
      <c r="B293">
        <v>2187</v>
      </c>
      <c r="C293" t="s">
        <v>568</v>
      </c>
      <c r="D293">
        <v>979</v>
      </c>
      <c r="E293" t="s">
        <v>596</v>
      </c>
      <c r="F293" t="s">
        <v>2739</v>
      </c>
      <c r="G293" t="s">
        <v>2740</v>
      </c>
      <c r="H293" t="s">
        <v>2741</v>
      </c>
      <c r="I293" t="s">
        <v>2742</v>
      </c>
      <c r="J293">
        <v>391.89880952375802</v>
      </c>
      <c r="K293">
        <v>4</v>
      </c>
      <c r="L293">
        <v>1</v>
      </c>
      <c r="M293">
        <v>3</v>
      </c>
      <c r="N293" s="6">
        <v>3238398.8062916398</v>
      </c>
      <c r="O293" s="6">
        <v>1600446.6115478</v>
      </c>
      <c r="P293" s="6">
        <v>1094484.3191901799</v>
      </c>
      <c r="Q293" s="6">
        <v>284992.62123622699</v>
      </c>
      <c r="R293" s="6">
        <v>247729.77790653799</v>
      </c>
      <c r="S293" s="6">
        <v>160016.86010063201</v>
      </c>
      <c r="T293" s="6">
        <v>3999675.51</v>
      </c>
      <c r="U293" s="6">
        <v>2466376.6261723801</v>
      </c>
      <c r="V293" s="6">
        <v>4732856.9141052002</v>
      </c>
      <c r="W293" s="6">
        <v>1715802.2553463301</v>
      </c>
      <c r="X293" s="6">
        <v>0</v>
      </c>
      <c r="Y293" s="6">
        <v>0</v>
      </c>
      <c r="Z293" s="6">
        <v>0</v>
      </c>
      <c r="AA293" s="6">
        <v>17392.966720856901</v>
      </c>
      <c r="AB293" s="6">
        <v>0</v>
      </c>
      <c r="AC293" s="6">
        <v>160016.86010063201</v>
      </c>
      <c r="AD293" s="6">
        <v>0</v>
      </c>
      <c r="AE293" s="6">
        <v>0</v>
      </c>
      <c r="AF293" s="6">
        <v>0</v>
      </c>
      <c r="AG293" s="6">
        <v>0</v>
      </c>
      <c r="AH293" s="6">
        <v>0</v>
      </c>
      <c r="AI293" s="6">
        <v>0</v>
      </c>
      <c r="AJ293" s="6">
        <v>6626068.99627301</v>
      </c>
      <c r="AK293" s="6">
        <v>16907.601746290398</v>
      </c>
      <c r="AL293" s="6">
        <v>330.98244656580999</v>
      </c>
      <c r="AM293" s="6">
        <v>93035.839999999997</v>
      </c>
      <c r="AN293" s="6">
        <v>6701.7133567327101</v>
      </c>
      <c r="AO293" s="6">
        <v>18324.899701578299</v>
      </c>
      <c r="AP293" s="6">
        <v>330.98244656580999</v>
      </c>
      <c r="AQ293" s="6">
        <v>93035.839999999997</v>
      </c>
      <c r="AR293" s="6">
        <v>6701.7133567327201</v>
      </c>
      <c r="AS293" s="6">
        <v>18324.899701578299</v>
      </c>
      <c r="AT293" s="6">
        <v>0</v>
      </c>
      <c r="AU293" t="s">
        <v>2973</v>
      </c>
      <c r="AV293" t="s">
        <v>2973</v>
      </c>
    </row>
    <row r="294" spans="1:48" x14ac:dyDescent="0.45">
      <c r="A294" s="5" t="s">
        <v>597</v>
      </c>
      <c r="B294">
        <v>2253</v>
      </c>
      <c r="C294" t="s">
        <v>598</v>
      </c>
      <c r="D294">
        <v>1211</v>
      </c>
      <c r="E294" t="s">
        <v>599</v>
      </c>
      <c r="F294" t="s">
        <v>2739</v>
      </c>
      <c r="G294" t="s">
        <v>2740</v>
      </c>
      <c r="H294" t="s">
        <v>2741</v>
      </c>
      <c r="I294" t="s">
        <v>2742</v>
      </c>
      <c r="J294">
        <v>439.65497076018801</v>
      </c>
      <c r="K294">
        <v>2</v>
      </c>
      <c r="L294">
        <v>1</v>
      </c>
      <c r="M294">
        <v>1</v>
      </c>
      <c r="N294" s="6">
        <v>2149948.3278132901</v>
      </c>
      <c r="O294" s="6">
        <v>109573.309869152</v>
      </c>
      <c r="P294" s="6">
        <v>41373.890775024498</v>
      </c>
      <c r="Q294" s="6">
        <v>312281.87649056601</v>
      </c>
      <c r="R294" s="6">
        <v>64499.962188558202</v>
      </c>
      <c r="S294" s="6">
        <v>236893.03632359899</v>
      </c>
      <c r="T294" s="6">
        <v>2194527.52</v>
      </c>
      <c r="U294" s="6">
        <v>483149.84713658801</v>
      </c>
      <c r="V294" s="6">
        <v>2431591.6461755699</v>
      </c>
      <c r="W294" s="6">
        <v>246085.720961015</v>
      </c>
      <c r="X294" s="6">
        <v>0</v>
      </c>
      <c r="Y294" s="6">
        <v>0</v>
      </c>
      <c r="Z294" s="6">
        <v>0</v>
      </c>
      <c r="AA294" s="6">
        <v>0</v>
      </c>
      <c r="AB294" s="6">
        <v>0</v>
      </c>
      <c r="AC294" s="6">
        <v>142345.46420257501</v>
      </c>
      <c r="AD294" s="6">
        <v>94547.572121023593</v>
      </c>
      <c r="AE294" s="6">
        <v>0</v>
      </c>
      <c r="AF294" s="6">
        <v>0</v>
      </c>
      <c r="AG294" s="6">
        <v>0</v>
      </c>
      <c r="AH294" s="6">
        <v>0</v>
      </c>
      <c r="AI294" s="6">
        <v>0</v>
      </c>
      <c r="AJ294" s="6">
        <v>2914570.4034601902</v>
      </c>
      <c r="AK294" s="6">
        <v>6629.2219974693598</v>
      </c>
      <c r="AL294" s="6">
        <v>330.98244656580999</v>
      </c>
      <c r="AM294" s="6">
        <v>93035.839999999997</v>
      </c>
      <c r="AN294" s="6">
        <v>1637.7453488475101</v>
      </c>
      <c r="AO294" s="6">
        <v>26632.2333246376</v>
      </c>
      <c r="AP294" s="6">
        <v>330.98244656580999</v>
      </c>
      <c r="AQ294" s="6">
        <v>93035.839999999997</v>
      </c>
      <c r="AR294" s="6">
        <v>6629.2219974693598</v>
      </c>
      <c r="AS294" s="6">
        <v>6629.2219974693598</v>
      </c>
      <c r="AT294" s="6">
        <v>0</v>
      </c>
      <c r="AU294" t="s">
        <v>2973</v>
      </c>
      <c r="AV294" t="s">
        <v>2973</v>
      </c>
    </row>
    <row r="295" spans="1:48" x14ac:dyDescent="0.45">
      <c r="A295" s="5" t="s">
        <v>600</v>
      </c>
      <c r="B295">
        <v>2253</v>
      </c>
      <c r="C295" t="s">
        <v>598</v>
      </c>
      <c r="D295">
        <v>1212</v>
      </c>
      <c r="E295" t="s">
        <v>601</v>
      </c>
      <c r="F295" t="s">
        <v>2739</v>
      </c>
      <c r="G295" t="s">
        <v>2744</v>
      </c>
      <c r="H295" t="s">
        <v>2745</v>
      </c>
      <c r="I295" t="s">
        <v>2742</v>
      </c>
      <c r="J295">
        <v>320.737630943471</v>
      </c>
      <c r="K295">
        <v>1</v>
      </c>
      <c r="L295">
        <v>1</v>
      </c>
      <c r="M295">
        <v>1</v>
      </c>
      <c r="N295" s="6">
        <v>3091985.5515009998</v>
      </c>
      <c r="O295" s="6">
        <v>2189450.5755233602</v>
      </c>
      <c r="P295" s="6">
        <v>2528918.8823592202</v>
      </c>
      <c r="Q295" s="6">
        <v>227503.30571788701</v>
      </c>
      <c r="R295" s="6">
        <v>331282.61114909302</v>
      </c>
      <c r="S295" s="6">
        <v>172818.497027481</v>
      </c>
      <c r="T295" s="6">
        <v>8016672.8600000003</v>
      </c>
      <c r="U295" s="6">
        <v>352468.06625055801</v>
      </c>
      <c r="V295" s="6">
        <v>6851012.0989521202</v>
      </c>
      <c r="W295" s="6">
        <v>1518128.82729844</v>
      </c>
      <c r="X295" s="6">
        <v>0</v>
      </c>
      <c r="Y295" s="6">
        <v>0</v>
      </c>
      <c r="Z295" s="6">
        <v>0</v>
      </c>
      <c r="AA295" s="6">
        <v>0</v>
      </c>
      <c r="AB295" s="6">
        <v>0</v>
      </c>
      <c r="AC295" s="6">
        <v>103844.036802181</v>
      </c>
      <c r="AD295" s="6">
        <v>68974.460225300107</v>
      </c>
      <c r="AE295" s="6">
        <v>0</v>
      </c>
      <c r="AF295" s="6">
        <v>0</v>
      </c>
      <c r="AG295" s="6">
        <v>0</v>
      </c>
      <c r="AH295" s="6">
        <v>0</v>
      </c>
      <c r="AI295" s="6">
        <v>0</v>
      </c>
      <c r="AJ295" s="6">
        <v>8541959.4232780393</v>
      </c>
      <c r="AK295" s="6">
        <v>26632.2333246376</v>
      </c>
      <c r="AL295" s="6">
        <v>330.98244656580999</v>
      </c>
      <c r="AM295" s="6">
        <v>93035.839999999997</v>
      </c>
      <c r="AN295" s="6">
        <v>1637.7453488475101</v>
      </c>
      <c r="AO295" s="6">
        <v>26632.2333246376</v>
      </c>
      <c r="AP295" s="6">
        <v>330.98244656580999</v>
      </c>
      <c r="AQ295" s="6">
        <v>40734.411818744898</v>
      </c>
      <c r="AR295" s="6">
        <v>26632.2333246376</v>
      </c>
      <c r="AS295" s="6">
        <v>26632.2333246376</v>
      </c>
      <c r="AT295" s="6">
        <v>0</v>
      </c>
      <c r="AU295" t="s">
        <v>2973</v>
      </c>
      <c r="AV295" t="s">
        <v>2973</v>
      </c>
    </row>
    <row r="296" spans="1:48" x14ac:dyDescent="0.45">
      <c r="A296" s="5" t="s">
        <v>602</v>
      </c>
      <c r="B296">
        <v>2253</v>
      </c>
      <c r="C296" t="s">
        <v>598</v>
      </c>
      <c r="D296">
        <v>1291</v>
      </c>
      <c r="E296" t="s">
        <v>603</v>
      </c>
      <c r="F296" t="s">
        <v>2739</v>
      </c>
      <c r="G296" t="s">
        <v>2747</v>
      </c>
      <c r="H296" t="s">
        <v>2741</v>
      </c>
      <c r="I296" t="s">
        <v>2742</v>
      </c>
      <c r="J296">
        <v>247.95810093633099</v>
      </c>
      <c r="K296">
        <v>1</v>
      </c>
      <c r="L296">
        <v>1</v>
      </c>
      <c r="M296">
        <v>1</v>
      </c>
      <c r="N296" s="6">
        <v>984905.07852878096</v>
      </c>
      <c r="O296" s="6">
        <v>148863.48613555799</v>
      </c>
      <c r="P296" s="6">
        <v>17796.6429511692</v>
      </c>
      <c r="Q296" s="6">
        <v>175879.85381262301</v>
      </c>
      <c r="R296" s="6">
        <v>36376.9073441539</v>
      </c>
      <c r="S296" s="6">
        <v>133603.737745252</v>
      </c>
      <c r="T296" s="6">
        <v>1091333.48</v>
      </c>
      <c r="U296" s="6">
        <v>272488.488772285</v>
      </c>
      <c r="V296" s="6">
        <v>1316661.8271123699</v>
      </c>
      <c r="W296" s="6">
        <v>47160.141659917397</v>
      </c>
      <c r="X296" s="6">
        <v>0</v>
      </c>
      <c r="Y296" s="6">
        <v>0</v>
      </c>
      <c r="Z296" s="6">
        <v>0</v>
      </c>
      <c r="AA296" s="6">
        <v>0</v>
      </c>
      <c r="AB296" s="6">
        <v>0</v>
      </c>
      <c r="AC296" s="6">
        <v>80280.4774833837</v>
      </c>
      <c r="AD296" s="6">
        <v>53323.260261868803</v>
      </c>
      <c r="AE296" s="6">
        <v>0</v>
      </c>
      <c r="AF296" s="6">
        <v>0</v>
      </c>
      <c r="AG296" s="6">
        <v>0</v>
      </c>
      <c r="AH296" s="6">
        <v>0</v>
      </c>
      <c r="AI296" s="6">
        <v>0</v>
      </c>
      <c r="AJ296" s="6">
        <v>1497425.7065175399</v>
      </c>
      <c r="AK296" s="6">
        <v>6039.0271616979198</v>
      </c>
      <c r="AL296" s="6">
        <v>330.98244656580999</v>
      </c>
      <c r="AM296" s="6">
        <v>93035.839999999997</v>
      </c>
      <c r="AN296" s="6">
        <v>1637.7453488475101</v>
      </c>
      <c r="AO296" s="6">
        <v>26632.2333246376</v>
      </c>
      <c r="AP296" s="6">
        <v>3753.1860850462999</v>
      </c>
      <c r="AQ296" s="6">
        <v>20687.885194392002</v>
      </c>
      <c r="AR296" s="6">
        <v>6039.0271616979198</v>
      </c>
      <c r="AS296" s="6">
        <v>6039.0271616979198</v>
      </c>
      <c r="AT296" s="6">
        <v>0</v>
      </c>
      <c r="AU296" t="s">
        <v>2973</v>
      </c>
      <c r="AV296" t="s">
        <v>2973</v>
      </c>
    </row>
    <row r="297" spans="1:48" x14ac:dyDescent="0.45">
      <c r="A297" s="5" t="s">
        <v>604</v>
      </c>
      <c r="B297">
        <v>2253</v>
      </c>
      <c r="C297" t="s">
        <v>598</v>
      </c>
      <c r="D297">
        <v>2253</v>
      </c>
      <c r="E297" t="s">
        <v>598</v>
      </c>
      <c r="F297" t="s">
        <v>1</v>
      </c>
      <c r="G297" t="s">
        <v>1</v>
      </c>
      <c r="H297" t="s">
        <v>2743</v>
      </c>
      <c r="I297" t="s">
        <v>2742</v>
      </c>
      <c r="J297">
        <v>5</v>
      </c>
      <c r="K297">
        <v>0</v>
      </c>
      <c r="L297">
        <v>0</v>
      </c>
      <c r="M297">
        <v>1</v>
      </c>
      <c r="N297" s="6">
        <v>131.32215693274901</v>
      </c>
      <c r="O297" s="6">
        <v>724.36847192948596</v>
      </c>
      <c r="P297" s="6">
        <v>358.86391458811198</v>
      </c>
      <c r="Q297" s="6">
        <v>3546.5639789236898</v>
      </c>
      <c r="R297" s="6">
        <v>733.52931819506296</v>
      </c>
      <c r="S297" s="6">
        <v>2694.07890366845</v>
      </c>
      <c r="T297" s="6">
        <v>0</v>
      </c>
      <c r="U297" s="6">
        <v>5494.6478405690996</v>
      </c>
      <c r="V297" s="6">
        <v>5317.0377599414296</v>
      </c>
      <c r="W297" s="6">
        <v>177.61008062767499</v>
      </c>
      <c r="X297" s="6">
        <v>0</v>
      </c>
      <c r="Y297" s="6">
        <v>0</v>
      </c>
      <c r="Z297" s="6">
        <v>0</v>
      </c>
      <c r="AA297" s="6">
        <v>0</v>
      </c>
      <c r="AB297" s="6">
        <v>0</v>
      </c>
      <c r="AC297" s="6">
        <v>1618.8315118609</v>
      </c>
      <c r="AD297" s="6">
        <v>1075.24739180755</v>
      </c>
      <c r="AE297" s="6">
        <v>0</v>
      </c>
      <c r="AF297" s="6">
        <v>0</v>
      </c>
      <c r="AG297" s="6">
        <v>0</v>
      </c>
      <c r="AH297" s="6">
        <v>0</v>
      </c>
      <c r="AI297" s="6">
        <v>0</v>
      </c>
      <c r="AJ297" s="6">
        <v>8188.7267442375596</v>
      </c>
      <c r="AK297" s="6">
        <v>1637.7453488475101</v>
      </c>
      <c r="AL297" s="6">
        <v>330.98244656580999</v>
      </c>
      <c r="AM297" s="6">
        <v>93035.839999999997</v>
      </c>
      <c r="AN297" s="6">
        <v>1637.7453488475101</v>
      </c>
      <c r="AO297" s="6">
        <v>26632.2333246376</v>
      </c>
      <c r="AP297" s="6">
        <v>634.54287297753501</v>
      </c>
      <c r="AQ297" s="6">
        <v>40331.279999999999</v>
      </c>
      <c r="AR297" s="6">
        <v>1637.7453488475101</v>
      </c>
      <c r="AS297" s="6">
        <v>1637.7453488475101</v>
      </c>
      <c r="AT297" s="6">
        <v>0</v>
      </c>
      <c r="AU297" t="s">
        <v>2973</v>
      </c>
      <c r="AV297" t="s">
        <v>2977</v>
      </c>
    </row>
    <row r="298" spans="1:48" x14ac:dyDescent="0.45">
      <c r="A298" s="5" t="s">
        <v>605</v>
      </c>
      <c r="B298">
        <v>2011</v>
      </c>
      <c r="C298" t="s">
        <v>606</v>
      </c>
      <c r="D298">
        <v>3353</v>
      </c>
      <c r="E298" t="s">
        <v>607</v>
      </c>
      <c r="F298" t="s">
        <v>2739</v>
      </c>
      <c r="G298" t="s">
        <v>2748</v>
      </c>
      <c r="H298" t="s">
        <v>2745</v>
      </c>
      <c r="I298" t="s">
        <v>2742</v>
      </c>
      <c r="J298">
        <v>43.116883116879002</v>
      </c>
      <c r="K298">
        <v>1</v>
      </c>
      <c r="L298">
        <v>1</v>
      </c>
      <c r="M298">
        <v>3</v>
      </c>
      <c r="N298" s="6">
        <v>518666.49</v>
      </c>
      <c r="O298" s="6">
        <v>161664.95000000001</v>
      </c>
      <c r="P298" s="6">
        <v>279178.78999999998</v>
      </c>
      <c r="Q298" s="6">
        <v>217023.85</v>
      </c>
      <c r="R298" s="6">
        <v>66478.7</v>
      </c>
      <c r="S298" s="6">
        <v>184050.95</v>
      </c>
      <c r="T298" s="6">
        <v>597710.44999999995</v>
      </c>
      <c r="U298" s="6">
        <v>645302.32999999996</v>
      </c>
      <c r="V298" s="6">
        <v>1109882.5900000001</v>
      </c>
      <c r="W298" s="6">
        <v>127337.45</v>
      </c>
      <c r="X298" s="6">
        <v>0</v>
      </c>
      <c r="Y298" s="6">
        <v>0</v>
      </c>
      <c r="Z298" s="6">
        <v>5792.74</v>
      </c>
      <c r="AA298" s="6">
        <v>0</v>
      </c>
      <c r="AB298" s="6">
        <v>0</v>
      </c>
      <c r="AC298" s="6">
        <v>165281.78</v>
      </c>
      <c r="AD298" s="6">
        <v>18769.169999999998</v>
      </c>
      <c r="AE298" s="6">
        <v>0</v>
      </c>
      <c r="AF298" s="6">
        <v>0</v>
      </c>
      <c r="AG298" s="6">
        <v>0</v>
      </c>
      <c r="AH298" s="6">
        <v>0</v>
      </c>
      <c r="AI298" s="6">
        <v>0</v>
      </c>
      <c r="AJ298" s="6">
        <v>1427063.73</v>
      </c>
      <c r="AK298" s="6">
        <v>33097.562412653802</v>
      </c>
      <c r="AL298" s="6">
        <v>330.98244656580999</v>
      </c>
      <c r="AM298" s="6">
        <v>93035.839999999997</v>
      </c>
      <c r="AN298" s="6">
        <v>33097.562412653802</v>
      </c>
      <c r="AO298" s="6">
        <v>33097.562412653802</v>
      </c>
      <c r="AP298" s="6">
        <v>330.98244656580999</v>
      </c>
      <c r="AQ298" s="6">
        <v>56162.493707719797</v>
      </c>
      <c r="AR298" s="6">
        <v>33097.562412653802</v>
      </c>
      <c r="AS298" s="6">
        <v>33097.562412653802</v>
      </c>
      <c r="AT298" s="6">
        <v>0</v>
      </c>
      <c r="AU298" t="s">
        <v>2973</v>
      </c>
      <c r="AV298" t="s">
        <v>2973</v>
      </c>
    </row>
    <row r="299" spans="1:48" x14ac:dyDescent="0.45">
      <c r="A299" s="5" t="s">
        <v>608</v>
      </c>
      <c r="B299">
        <v>2017</v>
      </c>
      <c r="C299" t="s">
        <v>609</v>
      </c>
      <c r="D299">
        <v>348</v>
      </c>
      <c r="E299" t="s">
        <v>610</v>
      </c>
      <c r="F299" t="s">
        <v>2739</v>
      </c>
      <c r="G299" t="s">
        <v>2740</v>
      </c>
      <c r="H299" t="s">
        <v>2741</v>
      </c>
      <c r="I299" t="s">
        <v>2742</v>
      </c>
      <c r="J299">
        <v>5</v>
      </c>
      <c r="K299">
        <v>0</v>
      </c>
      <c r="L299">
        <v>0</v>
      </c>
      <c r="M299">
        <v>5</v>
      </c>
      <c r="N299" s="6">
        <v>92299.51</v>
      </c>
      <c r="O299" s="6">
        <v>19202.240000000002</v>
      </c>
      <c r="P299" s="6">
        <v>51533.39</v>
      </c>
      <c r="Q299" s="6">
        <v>36364.160000000003</v>
      </c>
      <c r="R299" s="6">
        <v>55000</v>
      </c>
      <c r="S299" s="6">
        <v>15368</v>
      </c>
      <c r="T299" s="6">
        <v>254399.3</v>
      </c>
      <c r="U299" s="6">
        <v>0</v>
      </c>
      <c r="V299" s="6">
        <v>248415.41</v>
      </c>
      <c r="W299" s="6">
        <v>5983.89</v>
      </c>
      <c r="X299" s="6">
        <v>0</v>
      </c>
      <c r="Y299" s="6">
        <v>0</v>
      </c>
      <c r="Z299" s="6">
        <v>0</v>
      </c>
      <c r="AA299" s="6">
        <v>0</v>
      </c>
      <c r="AB299" s="6">
        <v>0</v>
      </c>
      <c r="AC299" s="6">
        <v>15368</v>
      </c>
      <c r="AD299" s="6">
        <v>0</v>
      </c>
      <c r="AE299" s="6">
        <v>0</v>
      </c>
      <c r="AF299" s="6">
        <v>0</v>
      </c>
      <c r="AG299" s="6">
        <v>0</v>
      </c>
      <c r="AH299" s="6">
        <v>0</v>
      </c>
      <c r="AI299" s="6">
        <v>0</v>
      </c>
      <c r="AJ299" s="6">
        <v>269767.3</v>
      </c>
      <c r="AK299" s="6">
        <v>53953.46</v>
      </c>
      <c r="AL299" s="6">
        <v>330.98244656580999</v>
      </c>
      <c r="AM299" s="6">
        <v>93035.839999999997</v>
      </c>
      <c r="AN299" s="6">
        <v>53953.46</v>
      </c>
      <c r="AO299" s="6">
        <v>53953.46</v>
      </c>
      <c r="AP299" s="6">
        <v>330.98244656580999</v>
      </c>
      <c r="AQ299" s="6">
        <v>93035.839999999997</v>
      </c>
      <c r="AR299" s="6">
        <v>53953.46</v>
      </c>
      <c r="AS299" s="6">
        <v>53953.46</v>
      </c>
      <c r="AT299" s="6">
        <v>0</v>
      </c>
      <c r="AU299" t="s">
        <v>2973</v>
      </c>
      <c r="AV299" t="s">
        <v>2973</v>
      </c>
    </row>
    <row r="300" spans="1:48" x14ac:dyDescent="0.45">
      <c r="A300" s="5" t="s">
        <v>611</v>
      </c>
      <c r="B300">
        <v>2021</v>
      </c>
      <c r="C300" t="s">
        <v>612</v>
      </c>
      <c r="D300">
        <v>352</v>
      </c>
      <c r="E300" t="s">
        <v>613</v>
      </c>
      <c r="F300" t="s">
        <v>2739</v>
      </c>
      <c r="G300" t="s">
        <v>2740</v>
      </c>
      <c r="H300" t="s">
        <v>2741</v>
      </c>
      <c r="I300" t="s">
        <v>2742</v>
      </c>
      <c r="J300">
        <v>5.129619805481</v>
      </c>
      <c r="K300">
        <v>0</v>
      </c>
      <c r="L300">
        <v>0</v>
      </c>
      <c r="M300">
        <v>2</v>
      </c>
      <c r="N300" s="6">
        <v>90804.82</v>
      </c>
      <c r="O300" s="6">
        <v>20809.580000000002</v>
      </c>
      <c r="P300" s="6">
        <v>49719.360000000001</v>
      </c>
      <c r="Q300" s="6">
        <v>43213.24</v>
      </c>
      <c r="R300" s="6">
        <v>31141.5</v>
      </c>
      <c r="S300" s="6">
        <v>14252</v>
      </c>
      <c r="T300" s="6">
        <v>0</v>
      </c>
      <c r="U300" s="6">
        <v>235688.5</v>
      </c>
      <c r="V300" s="6">
        <v>221402.82</v>
      </c>
      <c r="W300" s="6">
        <v>14285.68</v>
      </c>
      <c r="X300" s="6">
        <v>0</v>
      </c>
      <c r="Y300" s="6">
        <v>0</v>
      </c>
      <c r="Z300" s="6">
        <v>0</v>
      </c>
      <c r="AA300" s="6">
        <v>0</v>
      </c>
      <c r="AB300" s="6">
        <v>0</v>
      </c>
      <c r="AC300" s="6">
        <v>14252</v>
      </c>
      <c r="AD300" s="6">
        <v>0</v>
      </c>
      <c r="AE300" s="6">
        <v>0</v>
      </c>
      <c r="AF300" s="6">
        <v>0</v>
      </c>
      <c r="AG300" s="6">
        <v>0</v>
      </c>
      <c r="AH300" s="6">
        <v>0</v>
      </c>
      <c r="AI300" s="6">
        <v>0</v>
      </c>
      <c r="AJ300" s="6">
        <v>249940.5</v>
      </c>
      <c r="AK300" s="6">
        <v>48724.9561327993</v>
      </c>
      <c r="AL300" s="6">
        <v>330.98244656580999</v>
      </c>
      <c r="AM300" s="6">
        <v>93035.839999999997</v>
      </c>
      <c r="AN300" s="6">
        <v>48724.9561327993</v>
      </c>
      <c r="AO300" s="6">
        <v>48724.9561327993</v>
      </c>
      <c r="AP300" s="6">
        <v>330.98244656580999</v>
      </c>
      <c r="AQ300" s="6">
        <v>93035.839999999997</v>
      </c>
      <c r="AR300" s="6">
        <v>48724.9561327993</v>
      </c>
      <c r="AS300" s="6">
        <v>48724.9561327993</v>
      </c>
      <c r="AT300" s="6">
        <v>0</v>
      </c>
      <c r="AU300" t="s">
        <v>2973</v>
      </c>
      <c r="AV300" t="s">
        <v>2976</v>
      </c>
    </row>
    <row r="301" spans="1:48" x14ac:dyDescent="0.45">
      <c r="A301" s="5" t="s">
        <v>614</v>
      </c>
      <c r="B301">
        <v>1993</v>
      </c>
      <c r="C301" t="s">
        <v>615</v>
      </c>
      <c r="D301">
        <v>3348</v>
      </c>
      <c r="E301" t="s">
        <v>616</v>
      </c>
      <c r="F301" t="s">
        <v>3</v>
      </c>
      <c r="G301" t="s">
        <v>2748</v>
      </c>
      <c r="H301" t="s">
        <v>2745</v>
      </c>
      <c r="I301" t="s">
        <v>2742</v>
      </c>
      <c r="J301">
        <v>191.254079254055</v>
      </c>
      <c r="K301">
        <v>1</v>
      </c>
      <c r="L301">
        <v>1</v>
      </c>
      <c r="M301">
        <v>2</v>
      </c>
      <c r="N301" s="6">
        <v>1548601.54</v>
      </c>
      <c r="O301" s="6">
        <v>593905.98</v>
      </c>
      <c r="P301" s="6">
        <v>1116532.56</v>
      </c>
      <c r="Q301" s="6">
        <v>174246.81</v>
      </c>
      <c r="R301" s="6">
        <v>674374.75</v>
      </c>
      <c r="S301" s="6">
        <v>107238.13</v>
      </c>
      <c r="T301" s="6">
        <v>2126544.2799999998</v>
      </c>
      <c r="U301" s="6">
        <v>1981117.36</v>
      </c>
      <c r="V301" s="6">
        <v>3610653.09</v>
      </c>
      <c r="W301" s="6">
        <v>497008.55</v>
      </c>
      <c r="X301" s="6">
        <v>0</v>
      </c>
      <c r="Y301" s="6">
        <v>0</v>
      </c>
      <c r="Z301" s="6">
        <v>0</v>
      </c>
      <c r="AA301" s="6">
        <v>0</v>
      </c>
      <c r="AB301" s="6">
        <v>0</v>
      </c>
      <c r="AC301" s="6">
        <v>101705.64</v>
      </c>
      <c r="AD301" s="6">
        <v>5532.49</v>
      </c>
      <c r="AE301" s="6">
        <v>0</v>
      </c>
      <c r="AF301" s="6">
        <v>0</v>
      </c>
      <c r="AG301" s="6">
        <v>0</v>
      </c>
      <c r="AH301" s="6">
        <v>0</v>
      </c>
      <c r="AI301" s="6">
        <v>0</v>
      </c>
      <c r="AJ301" s="6">
        <v>4214899.7699999996</v>
      </c>
      <c r="AK301" s="6">
        <v>22038.221545074</v>
      </c>
      <c r="AL301" s="6">
        <v>330.98244656580999</v>
      </c>
      <c r="AM301" s="6">
        <v>93035.839999999997</v>
      </c>
      <c r="AN301" s="6">
        <v>22038.221545074</v>
      </c>
      <c r="AO301" s="6">
        <v>22038.221545074</v>
      </c>
      <c r="AP301" s="6">
        <v>330.98244656580999</v>
      </c>
      <c r="AQ301" s="6">
        <v>56162.493707719797</v>
      </c>
      <c r="AR301" s="6">
        <v>22038.221545074</v>
      </c>
      <c r="AS301" s="6">
        <v>22038.221545074</v>
      </c>
      <c r="AT301" s="6">
        <v>0</v>
      </c>
      <c r="AU301" t="s">
        <v>2973</v>
      </c>
      <c r="AV301" t="s">
        <v>2973</v>
      </c>
    </row>
    <row r="302" spans="1:48" x14ac:dyDescent="0.45">
      <c r="A302" s="5" t="s">
        <v>617</v>
      </c>
      <c r="B302">
        <v>1991</v>
      </c>
      <c r="C302" t="s">
        <v>618</v>
      </c>
      <c r="D302">
        <v>1991</v>
      </c>
      <c r="E302" t="s">
        <v>618</v>
      </c>
      <c r="F302" t="s">
        <v>1</v>
      </c>
      <c r="G302" t="s">
        <v>1</v>
      </c>
      <c r="H302" t="s">
        <v>2743</v>
      </c>
      <c r="I302" t="s">
        <v>2742</v>
      </c>
      <c r="J302">
        <v>57.473978581318001</v>
      </c>
      <c r="K302">
        <v>1</v>
      </c>
      <c r="L302">
        <v>2</v>
      </c>
      <c r="M302">
        <v>2</v>
      </c>
      <c r="N302" s="6">
        <v>22002.623784305601</v>
      </c>
      <c r="O302" s="6">
        <v>34840.295914053699</v>
      </c>
      <c r="P302" s="6">
        <v>77358.277083074194</v>
      </c>
      <c r="Q302" s="6">
        <v>24924.3952325307</v>
      </c>
      <c r="R302" s="6">
        <v>17624.078798394701</v>
      </c>
      <c r="S302" s="6">
        <v>27420.823706278701</v>
      </c>
      <c r="T302" s="6">
        <v>0</v>
      </c>
      <c r="U302" s="6">
        <v>176749.67081235899</v>
      </c>
      <c r="V302" s="6">
        <v>137003.501850381</v>
      </c>
      <c r="W302" s="6">
        <v>39746.168961978001</v>
      </c>
      <c r="X302" s="6">
        <v>0</v>
      </c>
      <c r="Y302" s="6">
        <v>0</v>
      </c>
      <c r="Z302" s="6">
        <v>0</v>
      </c>
      <c r="AA302" s="6">
        <v>0</v>
      </c>
      <c r="AB302" s="6">
        <v>0</v>
      </c>
      <c r="AC302" s="6">
        <v>24610.316616472199</v>
      </c>
      <c r="AD302" s="6">
        <v>2810.5070898064901</v>
      </c>
      <c r="AE302" s="6">
        <v>0</v>
      </c>
      <c r="AF302" s="6">
        <v>0</v>
      </c>
      <c r="AG302" s="6">
        <v>0</v>
      </c>
      <c r="AH302" s="6">
        <v>0</v>
      </c>
      <c r="AI302" s="6">
        <v>0</v>
      </c>
      <c r="AJ302" s="6">
        <v>204170.49451863801</v>
      </c>
      <c r="AK302" s="6">
        <v>3552.3988343657802</v>
      </c>
      <c r="AL302" s="6">
        <v>330.98244656580999</v>
      </c>
      <c r="AM302" s="6">
        <v>93035.839999999997</v>
      </c>
      <c r="AN302" s="6">
        <v>3552.3988343657802</v>
      </c>
      <c r="AO302" s="6">
        <v>22044.502007158699</v>
      </c>
      <c r="AP302" s="6">
        <v>634.54287297753501</v>
      </c>
      <c r="AQ302" s="6">
        <v>40331.279999999999</v>
      </c>
      <c r="AR302" s="6">
        <v>3552.3988343657802</v>
      </c>
      <c r="AS302" s="6">
        <v>3552.3988343657802</v>
      </c>
      <c r="AT302" s="6">
        <v>0</v>
      </c>
      <c r="AU302" t="s">
        <v>2973</v>
      </c>
      <c r="AV302" t="s">
        <v>2977</v>
      </c>
    </row>
    <row r="303" spans="1:48" x14ac:dyDescent="0.45">
      <c r="A303" s="5" t="s">
        <v>619</v>
      </c>
      <c r="B303">
        <v>1991</v>
      </c>
      <c r="C303" t="s">
        <v>618</v>
      </c>
      <c r="D303">
        <v>269</v>
      </c>
      <c r="E303" t="s">
        <v>620</v>
      </c>
      <c r="F303" t="s">
        <v>2739</v>
      </c>
      <c r="G303" t="s">
        <v>2740</v>
      </c>
      <c r="H303" t="s">
        <v>2741</v>
      </c>
      <c r="I303" t="s">
        <v>2742</v>
      </c>
      <c r="J303">
        <v>406.51748107930803</v>
      </c>
      <c r="K303">
        <v>1</v>
      </c>
      <c r="L303">
        <v>1</v>
      </c>
      <c r="M303">
        <v>2</v>
      </c>
      <c r="N303" s="6">
        <v>2581621.64104112</v>
      </c>
      <c r="O303" s="6">
        <v>696445.26630369795</v>
      </c>
      <c r="P303" s="6">
        <v>942948.05884162697</v>
      </c>
      <c r="Q303" s="6">
        <v>176291.995394364</v>
      </c>
      <c r="R303" s="6">
        <v>124656.345294242</v>
      </c>
      <c r="S303" s="6">
        <v>193949.40906039099</v>
      </c>
      <c r="T303" s="6">
        <v>3271800.49</v>
      </c>
      <c r="U303" s="6">
        <v>1250162.8168750601</v>
      </c>
      <c r="V303" s="6">
        <v>3668474.9464610401</v>
      </c>
      <c r="W303" s="6">
        <v>853488.36041401594</v>
      </c>
      <c r="X303" s="6">
        <v>0</v>
      </c>
      <c r="Y303" s="6">
        <v>0</v>
      </c>
      <c r="Z303" s="6">
        <v>0</v>
      </c>
      <c r="AA303" s="6">
        <v>0</v>
      </c>
      <c r="AB303" s="6">
        <v>0</v>
      </c>
      <c r="AC303" s="6">
        <v>174070.49531706699</v>
      </c>
      <c r="AD303" s="6">
        <v>19878.913743323999</v>
      </c>
      <c r="AE303" s="6">
        <v>0</v>
      </c>
      <c r="AF303" s="6">
        <v>0</v>
      </c>
      <c r="AG303" s="6">
        <v>0</v>
      </c>
      <c r="AH303" s="6">
        <v>0</v>
      </c>
      <c r="AI303" s="6">
        <v>0</v>
      </c>
      <c r="AJ303" s="6">
        <v>4715912.71593545</v>
      </c>
      <c r="AK303" s="6">
        <v>11600.7624159597</v>
      </c>
      <c r="AL303" s="6">
        <v>330.98244656580999</v>
      </c>
      <c r="AM303" s="6">
        <v>93035.839999999997</v>
      </c>
      <c r="AN303" s="6">
        <v>3552.3988343657802</v>
      </c>
      <c r="AO303" s="6">
        <v>22044.502007158699</v>
      </c>
      <c r="AP303" s="6">
        <v>330.98244656580999</v>
      </c>
      <c r="AQ303" s="6">
        <v>93035.839999999997</v>
      </c>
      <c r="AR303" s="6">
        <v>10090.4999321993</v>
      </c>
      <c r="AS303" s="6">
        <v>12976.918771791499</v>
      </c>
      <c r="AT303" s="6">
        <v>0</v>
      </c>
      <c r="AU303" t="s">
        <v>2973</v>
      </c>
      <c r="AV303" t="s">
        <v>2973</v>
      </c>
    </row>
    <row r="304" spans="1:48" x14ac:dyDescent="0.45">
      <c r="A304" s="5" t="s">
        <v>621</v>
      </c>
      <c r="B304">
        <v>1991</v>
      </c>
      <c r="C304" t="s">
        <v>618</v>
      </c>
      <c r="D304">
        <v>270</v>
      </c>
      <c r="E304" t="s">
        <v>152</v>
      </c>
      <c r="F304" t="s">
        <v>2739</v>
      </c>
      <c r="G304" t="s">
        <v>2740</v>
      </c>
      <c r="H304" t="s">
        <v>2741</v>
      </c>
      <c r="I304" t="s">
        <v>2742</v>
      </c>
      <c r="J304">
        <v>320.09628716750001</v>
      </c>
      <c r="K304">
        <v>1</v>
      </c>
      <c r="L304">
        <v>1</v>
      </c>
      <c r="M304">
        <v>2</v>
      </c>
      <c r="N304" s="6">
        <v>2206216.48503986</v>
      </c>
      <c r="O304" s="6">
        <v>618731.94497974904</v>
      </c>
      <c r="P304" s="6">
        <v>753094.74517859903</v>
      </c>
      <c r="Q304" s="6">
        <v>138814.23508101699</v>
      </c>
      <c r="R304" s="6">
        <v>98155.762440071601</v>
      </c>
      <c r="S304" s="6">
        <v>152717.87469934201</v>
      </c>
      <c r="T304" s="6">
        <v>2830621.37</v>
      </c>
      <c r="U304" s="6">
        <v>984391.80271929805</v>
      </c>
      <c r="V304" s="6">
        <v>2965233.7777090198</v>
      </c>
      <c r="W304" s="6">
        <v>849779.39501027903</v>
      </c>
      <c r="X304" s="6">
        <v>0</v>
      </c>
      <c r="Y304" s="6">
        <v>0</v>
      </c>
      <c r="Z304" s="6">
        <v>0</v>
      </c>
      <c r="AA304" s="6">
        <v>0</v>
      </c>
      <c r="AB304" s="6">
        <v>0</v>
      </c>
      <c r="AC304" s="6">
        <v>137065.001752115</v>
      </c>
      <c r="AD304" s="6">
        <v>15652.8729472266</v>
      </c>
      <c r="AE304" s="6">
        <v>0</v>
      </c>
      <c r="AF304" s="6">
        <v>0</v>
      </c>
      <c r="AG304" s="6">
        <v>0</v>
      </c>
      <c r="AH304" s="6">
        <v>0</v>
      </c>
      <c r="AI304" s="6">
        <v>0</v>
      </c>
      <c r="AJ304" s="6">
        <v>3967731.0474186498</v>
      </c>
      <c r="AK304" s="6">
        <v>12395.4297706128</v>
      </c>
      <c r="AL304" s="6">
        <v>330.98244656580999</v>
      </c>
      <c r="AM304" s="6">
        <v>93035.839999999997</v>
      </c>
      <c r="AN304" s="6">
        <v>3552.3988343657802</v>
      </c>
      <c r="AO304" s="6">
        <v>22044.502007158699</v>
      </c>
      <c r="AP304" s="6">
        <v>330.98244656580999</v>
      </c>
      <c r="AQ304" s="6">
        <v>93035.839999999997</v>
      </c>
      <c r="AR304" s="6">
        <v>10090.4999321993</v>
      </c>
      <c r="AS304" s="6">
        <v>12976.918771791499</v>
      </c>
      <c r="AT304" s="6">
        <v>0</v>
      </c>
      <c r="AU304" t="s">
        <v>2973</v>
      </c>
      <c r="AV304" t="s">
        <v>2973</v>
      </c>
    </row>
    <row r="305" spans="1:48" x14ac:dyDescent="0.45">
      <c r="A305" s="5" t="s">
        <v>622</v>
      </c>
      <c r="B305">
        <v>1991</v>
      </c>
      <c r="C305" t="s">
        <v>618</v>
      </c>
      <c r="D305">
        <v>271</v>
      </c>
      <c r="E305" t="s">
        <v>623</v>
      </c>
      <c r="F305" t="s">
        <v>2739</v>
      </c>
      <c r="G305" t="s">
        <v>2740</v>
      </c>
      <c r="H305" t="s">
        <v>2741</v>
      </c>
      <c r="I305" t="s">
        <v>2742</v>
      </c>
      <c r="J305">
        <v>359.22334554321998</v>
      </c>
      <c r="K305">
        <v>1</v>
      </c>
      <c r="L305">
        <v>1</v>
      </c>
      <c r="M305">
        <v>2</v>
      </c>
      <c r="N305" s="6">
        <v>2400646.2318727998</v>
      </c>
      <c r="O305" s="6">
        <v>641224.00509904197</v>
      </c>
      <c r="P305" s="6">
        <v>807650.72973066103</v>
      </c>
      <c r="Q305" s="6">
        <v>155782.23157812699</v>
      </c>
      <c r="R305" s="6">
        <v>110153.859265532</v>
      </c>
      <c r="S305" s="6">
        <v>171385.38643855299</v>
      </c>
      <c r="T305" s="6">
        <v>3010737.85</v>
      </c>
      <c r="U305" s="6">
        <v>1104719.2075461601</v>
      </c>
      <c r="V305" s="6">
        <v>3317187.2887153602</v>
      </c>
      <c r="W305" s="6">
        <v>798269.76883080101</v>
      </c>
      <c r="X305" s="6">
        <v>0</v>
      </c>
      <c r="Y305" s="6">
        <v>0</v>
      </c>
      <c r="Z305" s="6">
        <v>0</v>
      </c>
      <c r="AA305" s="6">
        <v>0</v>
      </c>
      <c r="AB305" s="6">
        <v>0</v>
      </c>
      <c r="AC305" s="6">
        <v>153819.180228471</v>
      </c>
      <c r="AD305" s="6">
        <v>17566.206210081298</v>
      </c>
      <c r="AE305" s="6">
        <v>0</v>
      </c>
      <c r="AF305" s="6">
        <v>0</v>
      </c>
      <c r="AG305" s="6">
        <v>0</v>
      </c>
      <c r="AH305" s="6">
        <v>0</v>
      </c>
      <c r="AI305" s="6">
        <v>0</v>
      </c>
      <c r="AJ305" s="6">
        <v>4286842.4439847097</v>
      </c>
      <c r="AK305" s="6">
        <v>11933.6409984772</v>
      </c>
      <c r="AL305" s="6">
        <v>330.98244656580999</v>
      </c>
      <c r="AM305" s="6">
        <v>93035.839999999997</v>
      </c>
      <c r="AN305" s="6">
        <v>3552.3988343657802</v>
      </c>
      <c r="AO305" s="6">
        <v>22044.502007158699</v>
      </c>
      <c r="AP305" s="6">
        <v>330.98244656580999</v>
      </c>
      <c r="AQ305" s="6">
        <v>93035.839999999997</v>
      </c>
      <c r="AR305" s="6">
        <v>10090.4999321993</v>
      </c>
      <c r="AS305" s="6">
        <v>12976.918771791499</v>
      </c>
      <c r="AT305" s="6">
        <v>0</v>
      </c>
      <c r="AU305" t="s">
        <v>2973</v>
      </c>
      <c r="AV305" t="s">
        <v>2973</v>
      </c>
    </row>
    <row r="306" spans="1:48" x14ac:dyDescent="0.45">
      <c r="A306" s="5" t="s">
        <v>624</v>
      </c>
      <c r="B306">
        <v>1991</v>
      </c>
      <c r="C306" t="s">
        <v>618</v>
      </c>
      <c r="D306">
        <v>272</v>
      </c>
      <c r="E306" t="s">
        <v>625</v>
      </c>
      <c r="F306" t="s">
        <v>2739</v>
      </c>
      <c r="G306" t="s">
        <v>2740</v>
      </c>
      <c r="H306" t="s">
        <v>2741</v>
      </c>
      <c r="I306" t="s">
        <v>2742</v>
      </c>
      <c r="J306">
        <v>276.39158241924798</v>
      </c>
      <c r="K306">
        <v>1</v>
      </c>
      <c r="L306">
        <v>1</v>
      </c>
      <c r="M306">
        <v>2</v>
      </c>
      <c r="N306" s="6">
        <v>1745127.80895182</v>
      </c>
      <c r="O306" s="6">
        <v>546122.96986995195</v>
      </c>
      <c r="P306" s="6">
        <v>693081.69385716203</v>
      </c>
      <c r="Q306" s="6">
        <v>119861.07816453101</v>
      </c>
      <c r="R306" s="6">
        <v>84753.955581443297</v>
      </c>
      <c r="S306" s="6">
        <v>131866.368789739</v>
      </c>
      <c r="T306" s="6">
        <v>2338960.7400000002</v>
      </c>
      <c r="U306" s="6">
        <v>849986.76642491203</v>
      </c>
      <c r="V306" s="6">
        <v>2664893.46969622</v>
      </c>
      <c r="W306" s="6">
        <v>524054.03672869102</v>
      </c>
      <c r="X306" s="6">
        <v>0</v>
      </c>
      <c r="Y306" s="6">
        <v>0</v>
      </c>
      <c r="Z306" s="6">
        <v>0</v>
      </c>
      <c r="AA306" s="6">
        <v>0</v>
      </c>
      <c r="AB306" s="6">
        <v>0</v>
      </c>
      <c r="AC306" s="6">
        <v>118350.67836554001</v>
      </c>
      <c r="AD306" s="6">
        <v>13515.6904241989</v>
      </c>
      <c r="AE306" s="6">
        <v>0</v>
      </c>
      <c r="AF306" s="6">
        <v>0</v>
      </c>
      <c r="AG306" s="6">
        <v>0</v>
      </c>
      <c r="AH306" s="6">
        <v>0</v>
      </c>
      <c r="AI306" s="6">
        <v>0</v>
      </c>
      <c r="AJ306" s="6">
        <v>3320813.8752146498</v>
      </c>
      <c r="AK306" s="6">
        <v>12014.8878853243</v>
      </c>
      <c r="AL306" s="6">
        <v>330.98244656580999</v>
      </c>
      <c r="AM306" s="6">
        <v>93035.839999999997</v>
      </c>
      <c r="AN306" s="6">
        <v>3552.3988343657802</v>
      </c>
      <c r="AO306" s="6">
        <v>22044.502007158699</v>
      </c>
      <c r="AP306" s="6">
        <v>330.98244656580999</v>
      </c>
      <c r="AQ306" s="6">
        <v>93035.839999999997</v>
      </c>
      <c r="AR306" s="6">
        <v>10090.4999321993</v>
      </c>
      <c r="AS306" s="6">
        <v>12976.918771791499</v>
      </c>
      <c r="AT306" s="6">
        <v>0</v>
      </c>
      <c r="AU306" t="s">
        <v>2973</v>
      </c>
      <c r="AV306" t="s">
        <v>2973</v>
      </c>
    </row>
    <row r="307" spans="1:48" x14ac:dyDescent="0.45">
      <c r="A307" s="5" t="s">
        <v>626</v>
      </c>
      <c r="B307">
        <v>1991</v>
      </c>
      <c r="C307" t="s">
        <v>618</v>
      </c>
      <c r="D307">
        <v>273</v>
      </c>
      <c r="E307" t="s">
        <v>627</v>
      </c>
      <c r="F307" t="s">
        <v>2739</v>
      </c>
      <c r="G307" t="s">
        <v>2740</v>
      </c>
      <c r="H307" t="s">
        <v>2741</v>
      </c>
      <c r="I307" t="s">
        <v>2742</v>
      </c>
      <c r="J307">
        <v>471.48916235349498</v>
      </c>
      <c r="K307">
        <v>1</v>
      </c>
      <c r="L307">
        <v>1</v>
      </c>
      <c r="M307">
        <v>2</v>
      </c>
      <c r="N307" s="6">
        <v>2497006.5221573799</v>
      </c>
      <c r="O307" s="6">
        <v>727780.94350779802</v>
      </c>
      <c r="P307" s="6">
        <v>958779.08222723997</v>
      </c>
      <c r="Q307" s="6">
        <v>204467.874339453</v>
      </c>
      <c r="R307" s="6">
        <v>144579.55330428699</v>
      </c>
      <c r="S307" s="6">
        <v>224947.385224497</v>
      </c>
      <c r="T307" s="6">
        <v>3082643.81</v>
      </c>
      <c r="U307" s="6">
        <v>1449970.1655361601</v>
      </c>
      <c r="V307" s="6">
        <v>4030618.4847655399</v>
      </c>
      <c r="W307" s="6">
        <v>501995.49077060999</v>
      </c>
      <c r="X307" s="6">
        <v>0</v>
      </c>
      <c r="Y307" s="6">
        <v>0</v>
      </c>
      <c r="Z307" s="6">
        <v>0</v>
      </c>
      <c r="AA307" s="6">
        <v>0</v>
      </c>
      <c r="AB307" s="6">
        <v>0</v>
      </c>
      <c r="AC307" s="6">
        <v>201891.32287644601</v>
      </c>
      <c r="AD307" s="6">
        <v>23056.062348051099</v>
      </c>
      <c r="AE307" s="6">
        <v>0</v>
      </c>
      <c r="AF307" s="6">
        <v>0</v>
      </c>
      <c r="AG307" s="6">
        <v>0</v>
      </c>
      <c r="AH307" s="6">
        <v>0</v>
      </c>
      <c r="AI307" s="6">
        <v>0</v>
      </c>
      <c r="AJ307" s="6">
        <v>4757561.3607606497</v>
      </c>
      <c r="AK307" s="6">
        <v>10090.4999321993</v>
      </c>
      <c r="AL307" s="6">
        <v>330.98244656580999</v>
      </c>
      <c r="AM307" s="6">
        <v>93035.839999999997</v>
      </c>
      <c r="AN307" s="6">
        <v>3552.3988343657802</v>
      </c>
      <c r="AO307" s="6">
        <v>22044.502007158699</v>
      </c>
      <c r="AP307" s="6">
        <v>330.98244656580999</v>
      </c>
      <c r="AQ307" s="6">
        <v>93035.839999999997</v>
      </c>
      <c r="AR307" s="6">
        <v>10090.4999321993</v>
      </c>
      <c r="AS307" s="6">
        <v>12976.918771791499</v>
      </c>
      <c r="AT307" s="6">
        <v>0</v>
      </c>
      <c r="AU307" t="s">
        <v>2973</v>
      </c>
      <c r="AV307" t="s">
        <v>2973</v>
      </c>
    </row>
    <row r="308" spans="1:48" x14ac:dyDescent="0.45">
      <c r="A308" s="5" t="s">
        <v>628</v>
      </c>
      <c r="B308">
        <v>1991</v>
      </c>
      <c r="C308" t="s">
        <v>618</v>
      </c>
      <c r="D308">
        <v>278</v>
      </c>
      <c r="E308" t="s">
        <v>629</v>
      </c>
      <c r="F308" t="s">
        <v>2739</v>
      </c>
      <c r="G308" t="s">
        <v>2747</v>
      </c>
      <c r="H308" t="s">
        <v>2741</v>
      </c>
      <c r="I308" t="s">
        <v>2742</v>
      </c>
      <c r="J308">
        <v>733.76253872111295</v>
      </c>
      <c r="K308">
        <v>1</v>
      </c>
      <c r="L308">
        <v>1</v>
      </c>
      <c r="M308">
        <v>2</v>
      </c>
      <c r="N308" s="6">
        <v>4356251.9525382305</v>
      </c>
      <c r="O308" s="6">
        <v>1579788.06247259</v>
      </c>
      <c r="P308" s="6">
        <v>1701859.3878658901</v>
      </c>
      <c r="Q308" s="6">
        <v>318206.394847613</v>
      </c>
      <c r="R308" s="6">
        <v>225004.23880407299</v>
      </c>
      <c r="S308" s="6">
        <v>350077.96072574798</v>
      </c>
      <c r="T308" s="6">
        <v>5924570.8099999996</v>
      </c>
      <c r="U308" s="6">
        <v>2256539.2265284099</v>
      </c>
      <c r="V308" s="6">
        <v>7040829.3840224696</v>
      </c>
      <c r="W308" s="6">
        <v>1140280.6525059401</v>
      </c>
      <c r="X308" s="6">
        <v>0</v>
      </c>
      <c r="Y308" s="6">
        <v>0</v>
      </c>
      <c r="Z308" s="6">
        <v>0</v>
      </c>
      <c r="AA308" s="6">
        <v>0</v>
      </c>
      <c r="AB308" s="6">
        <v>0</v>
      </c>
      <c r="AC308" s="6">
        <v>314196.595485089</v>
      </c>
      <c r="AD308" s="6">
        <v>35881.365240659303</v>
      </c>
      <c r="AE308" s="6">
        <v>0</v>
      </c>
      <c r="AF308" s="6">
        <v>0</v>
      </c>
      <c r="AG308" s="6">
        <v>0</v>
      </c>
      <c r="AH308" s="6">
        <v>0</v>
      </c>
      <c r="AI308" s="6">
        <v>0</v>
      </c>
      <c r="AJ308" s="6">
        <v>8531187.9972541593</v>
      </c>
      <c r="AK308" s="6">
        <v>11626.6333412487</v>
      </c>
      <c r="AL308" s="6">
        <v>330.98244656580999</v>
      </c>
      <c r="AM308" s="6">
        <v>93035.839999999997</v>
      </c>
      <c r="AN308" s="6">
        <v>3552.3988343657802</v>
      </c>
      <c r="AO308" s="6">
        <v>22044.502007158699</v>
      </c>
      <c r="AP308" s="6">
        <v>3753.1860850462999</v>
      </c>
      <c r="AQ308" s="6">
        <v>20687.885194392002</v>
      </c>
      <c r="AR308" s="6">
        <v>11561.3919564231</v>
      </c>
      <c r="AS308" s="6">
        <v>11626.6333412487</v>
      </c>
      <c r="AT308" s="6">
        <v>0</v>
      </c>
      <c r="AU308" t="s">
        <v>2973</v>
      </c>
      <c r="AV308" t="s">
        <v>2973</v>
      </c>
    </row>
    <row r="309" spans="1:48" x14ac:dyDescent="0.45">
      <c r="A309" s="5" t="s">
        <v>630</v>
      </c>
      <c r="B309">
        <v>1991</v>
      </c>
      <c r="C309" t="s">
        <v>618</v>
      </c>
      <c r="D309">
        <v>279</v>
      </c>
      <c r="E309" t="s">
        <v>631</v>
      </c>
      <c r="F309" t="s">
        <v>2739</v>
      </c>
      <c r="G309" t="s">
        <v>2747</v>
      </c>
      <c r="H309" t="s">
        <v>2741</v>
      </c>
      <c r="I309" t="s">
        <v>2742</v>
      </c>
      <c r="J309">
        <v>674.667402962133</v>
      </c>
      <c r="K309">
        <v>1</v>
      </c>
      <c r="L309">
        <v>1</v>
      </c>
      <c r="M309">
        <v>2</v>
      </c>
      <c r="N309" s="6">
        <v>3991306.1750846398</v>
      </c>
      <c r="O309" s="6">
        <v>1383192.7632036</v>
      </c>
      <c r="P309" s="6">
        <v>1604249.6611192999</v>
      </c>
      <c r="Q309" s="6">
        <v>292578.96211485198</v>
      </c>
      <c r="R309" s="6">
        <v>206883.04109119001</v>
      </c>
      <c r="S309" s="6">
        <v>321883.68325367599</v>
      </c>
      <c r="T309" s="6">
        <v>5403406.5899999999</v>
      </c>
      <c r="U309" s="6">
        <v>2074804.0126135901</v>
      </c>
      <c r="V309" s="6">
        <v>6451984.66141799</v>
      </c>
      <c r="W309" s="6">
        <v>1026225.9411956</v>
      </c>
      <c r="X309" s="6">
        <v>0</v>
      </c>
      <c r="Y309" s="6">
        <v>0</v>
      </c>
      <c r="Z309" s="6">
        <v>0</v>
      </c>
      <c r="AA309" s="6">
        <v>0</v>
      </c>
      <c r="AB309" s="6">
        <v>0</v>
      </c>
      <c r="AC309" s="6">
        <v>288892.10052196099</v>
      </c>
      <c r="AD309" s="6">
        <v>32991.582731715702</v>
      </c>
      <c r="AE309" s="6">
        <v>0</v>
      </c>
      <c r="AF309" s="6">
        <v>0</v>
      </c>
      <c r="AG309" s="6">
        <v>0</v>
      </c>
      <c r="AH309" s="6">
        <v>0</v>
      </c>
      <c r="AI309" s="6">
        <v>0</v>
      </c>
      <c r="AJ309" s="6">
        <v>7800094.2858672701</v>
      </c>
      <c r="AK309" s="6">
        <v>11561.3919564231</v>
      </c>
      <c r="AL309" s="6">
        <v>330.98244656580999</v>
      </c>
      <c r="AM309" s="6">
        <v>93035.839999999997</v>
      </c>
      <c r="AN309" s="6">
        <v>3552.3988343657802</v>
      </c>
      <c r="AO309" s="6">
        <v>22044.502007158699</v>
      </c>
      <c r="AP309" s="6">
        <v>3753.1860850462999</v>
      </c>
      <c r="AQ309" s="6">
        <v>20687.885194392002</v>
      </c>
      <c r="AR309" s="6">
        <v>11561.3919564231</v>
      </c>
      <c r="AS309" s="6">
        <v>11626.6333412487</v>
      </c>
      <c r="AT309" s="6">
        <v>0</v>
      </c>
      <c r="AU309" t="s">
        <v>2973</v>
      </c>
      <c r="AV309" t="s">
        <v>2973</v>
      </c>
    </row>
    <row r="310" spans="1:48" x14ac:dyDescent="0.45">
      <c r="A310" s="5" t="s">
        <v>632</v>
      </c>
      <c r="B310">
        <v>1991</v>
      </c>
      <c r="C310" t="s">
        <v>618</v>
      </c>
      <c r="D310">
        <v>274</v>
      </c>
      <c r="E310" t="s">
        <v>633</v>
      </c>
      <c r="F310" t="s">
        <v>2739</v>
      </c>
      <c r="G310" t="s">
        <v>2740</v>
      </c>
      <c r="H310" t="s">
        <v>2741</v>
      </c>
      <c r="I310" t="s">
        <v>2742</v>
      </c>
      <c r="J310">
        <v>349.38127277253</v>
      </c>
      <c r="K310">
        <v>1</v>
      </c>
      <c r="L310">
        <v>1</v>
      </c>
      <c r="M310">
        <v>2</v>
      </c>
      <c r="N310" s="6">
        <v>1946139.5950315699</v>
      </c>
      <c r="O310" s="6">
        <v>640135.29420356802</v>
      </c>
      <c r="P310" s="6">
        <v>723839.17056855001</v>
      </c>
      <c r="Q310" s="6">
        <v>151514.078968908</v>
      </c>
      <c r="R310" s="6">
        <v>107135.841889116</v>
      </c>
      <c r="S310" s="6">
        <v>166689.73548465801</v>
      </c>
      <c r="T310" s="6">
        <v>2494312.09</v>
      </c>
      <c r="U310" s="6">
        <v>1074451.8906617099</v>
      </c>
      <c r="V310" s="6">
        <v>3130439.7939466801</v>
      </c>
      <c r="W310" s="6">
        <v>438324.18671503098</v>
      </c>
      <c r="X310" s="6">
        <v>0</v>
      </c>
      <c r="Y310" s="6">
        <v>0</v>
      </c>
      <c r="Z310" s="6">
        <v>0</v>
      </c>
      <c r="AA310" s="6">
        <v>0</v>
      </c>
      <c r="AB310" s="6">
        <v>0</v>
      </c>
      <c r="AC310" s="6">
        <v>149604.81169112801</v>
      </c>
      <c r="AD310" s="6">
        <v>17084.923793530299</v>
      </c>
      <c r="AE310" s="6">
        <v>0</v>
      </c>
      <c r="AF310" s="6">
        <v>0</v>
      </c>
      <c r="AG310" s="6">
        <v>0</v>
      </c>
      <c r="AH310" s="6">
        <v>0</v>
      </c>
      <c r="AI310" s="6">
        <v>0</v>
      </c>
      <c r="AJ310" s="6">
        <v>3735453.7161463602</v>
      </c>
      <c r="AK310" s="6">
        <v>10691.625474094601</v>
      </c>
      <c r="AL310" s="6">
        <v>330.98244656580999</v>
      </c>
      <c r="AM310" s="6">
        <v>93035.839999999997</v>
      </c>
      <c r="AN310" s="6">
        <v>3552.3988343657802</v>
      </c>
      <c r="AO310" s="6">
        <v>22044.502007158699</v>
      </c>
      <c r="AP310" s="6">
        <v>330.98244656580999</v>
      </c>
      <c r="AQ310" s="6">
        <v>93035.839999999997</v>
      </c>
      <c r="AR310" s="6">
        <v>10090.4999321993</v>
      </c>
      <c r="AS310" s="6">
        <v>12976.918771791499</v>
      </c>
      <c r="AT310" s="6">
        <v>0</v>
      </c>
      <c r="AU310" t="s">
        <v>2973</v>
      </c>
      <c r="AV310" t="s">
        <v>2973</v>
      </c>
    </row>
    <row r="311" spans="1:48" x14ac:dyDescent="0.45">
      <c r="A311" s="5" t="s">
        <v>634</v>
      </c>
      <c r="B311">
        <v>1991</v>
      </c>
      <c r="C311" t="s">
        <v>618</v>
      </c>
      <c r="D311">
        <v>4391</v>
      </c>
      <c r="E311" t="s">
        <v>635</v>
      </c>
      <c r="F311" t="s">
        <v>3</v>
      </c>
      <c r="G311" t="s">
        <v>2744</v>
      </c>
      <c r="H311" t="s">
        <v>2745</v>
      </c>
      <c r="I311" t="s">
        <v>2742</v>
      </c>
      <c r="J311">
        <v>181.74760536646201</v>
      </c>
      <c r="K311">
        <v>1</v>
      </c>
      <c r="L311">
        <v>1</v>
      </c>
      <c r="M311">
        <v>2</v>
      </c>
      <c r="N311" s="6">
        <v>69577.994829760399</v>
      </c>
      <c r="O311" s="6">
        <v>110174.038911871</v>
      </c>
      <c r="P311" s="6">
        <v>244626.90703117801</v>
      </c>
      <c r="Q311" s="6">
        <v>78817.392853888596</v>
      </c>
      <c r="R311" s="6">
        <v>55731.901592058202</v>
      </c>
      <c r="S311" s="6">
        <v>86711.746233834201</v>
      </c>
      <c r="T311" s="6">
        <v>0</v>
      </c>
      <c r="U311" s="6">
        <v>558928.23521875602</v>
      </c>
      <c r="V311" s="6">
        <v>433240.555165258</v>
      </c>
      <c r="W311" s="6">
        <v>125687.680053498</v>
      </c>
      <c r="X311" s="6">
        <v>0</v>
      </c>
      <c r="Y311" s="6">
        <v>0</v>
      </c>
      <c r="Z311" s="6">
        <v>0</v>
      </c>
      <c r="AA311" s="6">
        <v>0</v>
      </c>
      <c r="AB311" s="6">
        <v>0</v>
      </c>
      <c r="AC311" s="6">
        <v>77824.194927201097</v>
      </c>
      <c r="AD311" s="6">
        <v>8887.5513066330695</v>
      </c>
      <c r="AE311" s="6">
        <v>0</v>
      </c>
      <c r="AF311" s="6">
        <v>0</v>
      </c>
      <c r="AG311" s="6">
        <v>0</v>
      </c>
      <c r="AH311" s="6">
        <v>0</v>
      </c>
      <c r="AI311" s="6">
        <v>0</v>
      </c>
      <c r="AJ311" s="6">
        <v>645639.98145259102</v>
      </c>
      <c r="AK311" s="6">
        <v>3552.3988343657802</v>
      </c>
      <c r="AL311" s="6">
        <v>330.98244656580999</v>
      </c>
      <c r="AM311" s="6">
        <v>93035.839999999997</v>
      </c>
      <c r="AN311" s="6">
        <v>3552.3988343657802</v>
      </c>
      <c r="AO311" s="6">
        <v>22044.502007158699</v>
      </c>
      <c r="AP311" s="6">
        <v>330.98244656580999</v>
      </c>
      <c r="AQ311" s="6">
        <v>40734.411818744898</v>
      </c>
      <c r="AR311" s="6">
        <v>3552.3988343657802</v>
      </c>
      <c r="AS311" s="6">
        <v>22044.502007158699</v>
      </c>
      <c r="AT311" s="6">
        <v>0</v>
      </c>
      <c r="AU311" t="s">
        <v>2973</v>
      </c>
      <c r="AV311" t="s">
        <v>2976</v>
      </c>
    </row>
    <row r="312" spans="1:48" x14ac:dyDescent="0.45">
      <c r="A312" s="5" t="s">
        <v>2809</v>
      </c>
      <c r="B312">
        <v>1991</v>
      </c>
      <c r="C312" t="s">
        <v>618</v>
      </c>
      <c r="D312">
        <v>5398</v>
      </c>
      <c r="E312" t="s">
        <v>2810</v>
      </c>
      <c r="F312" t="s">
        <v>2750</v>
      </c>
      <c r="G312" t="s">
        <v>2744</v>
      </c>
      <c r="H312" t="s">
        <v>2745</v>
      </c>
      <c r="I312" t="s">
        <v>2742</v>
      </c>
      <c r="J312">
        <v>51.2953216373785</v>
      </c>
      <c r="K312">
        <v>1</v>
      </c>
      <c r="L312">
        <v>1</v>
      </c>
      <c r="M312">
        <v>2</v>
      </c>
      <c r="N312" s="6">
        <v>690597.69353632105</v>
      </c>
      <c r="O312" s="6">
        <v>169334.020290624</v>
      </c>
      <c r="P312" s="6">
        <v>109797.75738696</v>
      </c>
      <c r="Q312" s="6">
        <v>22244.934170702902</v>
      </c>
      <c r="R312" s="6">
        <v>114332.42769652</v>
      </c>
      <c r="S312" s="6">
        <v>24472.987711914298</v>
      </c>
      <c r="T312" s="6">
        <v>948558.38</v>
      </c>
      <c r="U312" s="6">
        <v>157748.45308112699</v>
      </c>
      <c r="V312" s="6">
        <v>1036220.90852933</v>
      </c>
      <c r="W312" s="6">
        <v>70085.924551795499</v>
      </c>
      <c r="X312" s="6">
        <v>0</v>
      </c>
      <c r="Y312" s="6">
        <v>0</v>
      </c>
      <c r="Z312" s="6">
        <v>0</v>
      </c>
      <c r="AA312" s="6">
        <v>0</v>
      </c>
      <c r="AB312" s="6">
        <v>0</v>
      </c>
      <c r="AC312" s="6">
        <v>21964.620122018201</v>
      </c>
      <c r="AD312" s="6">
        <v>2508.36758989603</v>
      </c>
      <c r="AE312" s="6">
        <v>0</v>
      </c>
      <c r="AF312" s="6">
        <v>0</v>
      </c>
      <c r="AG312" s="6">
        <v>0</v>
      </c>
      <c r="AH312" s="6">
        <v>0</v>
      </c>
      <c r="AI312" s="6">
        <v>0</v>
      </c>
      <c r="AJ312" s="6">
        <v>1130779.8207930401</v>
      </c>
      <c r="AK312" s="6">
        <v>22044.502007158699</v>
      </c>
      <c r="AL312" s="6">
        <v>330.98244656580999</v>
      </c>
      <c r="AM312" s="6">
        <v>93035.839999999997</v>
      </c>
      <c r="AN312" s="6">
        <v>3552.3988343657802</v>
      </c>
      <c r="AO312" s="6">
        <v>22044.502007158699</v>
      </c>
      <c r="AP312" s="6">
        <v>330.98244656580999</v>
      </c>
      <c r="AQ312" s="6">
        <v>40734.411818744898</v>
      </c>
      <c r="AR312" s="6">
        <v>3552.3988343657802</v>
      </c>
      <c r="AS312" s="6">
        <v>22044.502007158699</v>
      </c>
      <c r="AT312" s="6">
        <v>0</v>
      </c>
      <c r="AU312" t="s">
        <v>2973</v>
      </c>
      <c r="AV312" t="s">
        <v>2973</v>
      </c>
    </row>
    <row r="313" spans="1:48" x14ac:dyDescent="0.45">
      <c r="A313" s="5" t="s">
        <v>636</v>
      </c>
      <c r="B313">
        <v>1991</v>
      </c>
      <c r="C313" t="s">
        <v>618</v>
      </c>
      <c r="D313">
        <v>280</v>
      </c>
      <c r="E313" t="s">
        <v>637</v>
      </c>
      <c r="F313" t="s">
        <v>2739</v>
      </c>
      <c r="G313" t="s">
        <v>2744</v>
      </c>
      <c r="H313" t="s">
        <v>2745</v>
      </c>
      <c r="I313" t="s">
        <v>2742</v>
      </c>
      <c r="J313">
        <v>1456.0311186921799</v>
      </c>
      <c r="K313">
        <v>1</v>
      </c>
      <c r="L313">
        <v>1</v>
      </c>
      <c r="M313">
        <v>2</v>
      </c>
      <c r="N313" s="6">
        <v>9371760.0107333492</v>
      </c>
      <c r="O313" s="6">
        <v>4611411.1231250297</v>
      </c>
      <c r="P313" s="6">
        <v>3613336.8768469701</v>
      </c>
      <c r="Q313" s="6">
        <v>631428.27361083601</v>
      </c>
      <c r="R313" s="6">
        <v>446483.91849954601</v>
      </c>
      <c r="S313" s="6">
        <v>694672.15602665697</v>
      </c>
      <c r="T313" s="6">
        <v>14196689.109999999</v>
      </c>
      <c r="U313" s="6">
        <v>4477731.09281574</v>
      </c>
      <c r="V313" s="6">
        <v>15369663.8727917</v>
      </c>
      <c r="W313" s="6">
        <v>3304756.3300240398</v>
      </c>
      <c r="X313" s="6">
        <v>0</v>
      </c>
      <c r="Y313" s="6">
        <v>0</v>
      </c>
      <c r="Z313" s="6">
        <v>0</v>
      </c>
      <c r="AA313" s="6">
        <v>0</v>
      </c>
      <c r="AB313" s="6">
        <v>0</v>
      </c>
      <c r="AC313" s="6">
        <v>623471.48603522102</v>
      </c>
      <c r="AD313" s="6">
        <v>71200.669991435498</v>
      </c>
      <c r="AE313" s="6">
        <v>0</v>
      </c>
      <c r="AF313" s="6">
        <v>0</v>
      </c>
      <c r="AG313" s="6">
        <v>0</v>
      </c>
      <c r="AH313" s="6">
        <v>0</v>
      </c>
      <c r="AI313" s="6">
        <v>0</v>
      </c>
      <c r="AJ313" s="6">
        <v>19369092.358842399</v>
      </c>
      <c r="AK313" s="6">
        <v>13302.663734439901</v>
      </c>
      <c r="AL313" s="6">
        <v>330.98244656580999</v>
      </c>
      <c r="AM313" s="6">
        <v>93035.839999999997</v>
      </c>
      <c r="AN313" s="6">
        <v>3552.3988343657802</v>
      </c>
      <c r="AO313" s="6">
        <v>22044.502007158699</v>
      </c>
      <c r="AP313" s="6">
        <v>330.98244656580999</v>
      </c>
      <c r="AQ313" s="6">
        <v>40734.411818744898</v>
      </c>
      <c r="AR313" s="6">
        <v>3552.3988343657802</v>
      </c>
      <c r="AS313" s="6">
        <v>22044.502007158699</v>
      </c>
      <c r="AT313" s="6">
        <v>0</v>
      </c>
      <c r="AU313" t="s">
        <v>2973</v>
      </c>
      <c r="AV313" t="s">
        <v>2973</v>
      </c>
    </row>
    <row r="314" spans="1:48" x14ac:dyDescent="0.45">
      <c r="A314" s="5" t="s">
        <v>638</v>
      </c>
      <c r="B314">
        <v>1991</v>
      </c>
      <c r="C314" t="s">
        <v>618</v>
      </c>
      <c r="D314">
        <v>276</v>
      </c>
      <c r="E314" t="s">
        <v>639</v>
      </c>
      <c r="F314" t="s">
        <v>2739</v>
      </c>
      <c r="G314" t="s">
        <v>2740</v>
      </c>
      <c r="H314" t="s">
        <v>2741</v>
      </c>
      <c r="I314" t="s">
        <v>2742</v>
      </c>
      <c r="J314">
        <v>276.69656251077998</v>
      </c>
      <c r="K314">
        <v>1</v>
      </c>
      <c r="L314">
        <v>1</v>
      </c>
      <c r="M314">
        <v>2</v>
      </c>
      <c r="N314" s="6">
        <v>1919126.77374036</v>
      </c>
      <c r="O314" s="6">
        <v>617417.34652020503</v>
      </c>
      <c r="P314" s="6">
        <v>717272.00804962695</v>
      </c>
      <c r="Q314" s="6">
        <v>119993.337049804</v>
      </c>
      <c r="R314" s="6">
        <v>84847.476045795498</v>
      </c>
      <c r="S314" s="6">
        <v>132011.874730518</v>
      </c>
      <c r="T314" s="6">
        <v>2607732.27</v>
      </c>
      <c r="U314" s="6">
        <v>850924.67140579398</v>
      </c>
      <c r="V314" s="6">
        <v>2865119.05548746</v>
      </c>
      <c r="W314" s="6">
        <v>593537.88591833296</v>
      </c>
      <c r="X314" s="6">
        <v>0</v>
      </c>
      <c r="Y314" s="6">
        <v>0</v>
      </c>
      <c r="Z314" s="6">
        <v>0</v>
      </c>
      <c r="AA314" s="6">
        <v>0</v>
      </c>
      <c r="AB314" s="6">
        <v>0</v>
      </c>
      <c r="AC314" s="6">
        <v>118481.270623107</v>
      </c>
      <c r="AD314" s="6">
        <v>13530.604107411</v>
      </c>
      <c r="AE314" s="6">
        <v>0</v>
      </c>
      <c r="AF314" s="6">
        <v>0</v>
      </c>
      <c r="AG314" s="6">
        <v>0</v>
      </c>
      <c r="AH314" s="6">
        <v>0</v>
      </c>
      <c r="AI314" s="6">
        <v>0</v>
      </c>
      <c r="AJ314" s="6">
        <v>3590668.8161363099</v>
      </c>
      <c r="AK314" s="6">
        <v>12976.918771791499</v>
      </c>
      <c r="AL314" s="6">
        <v>330.98244656580999</v>
      </c>
      <c r="AM314" s="6">
        <v>93035.839999999997</v>
      </c>
      <c r="AN314" s="6">
        <v>3552.3988343657802</v>
      </c>
      <c r="AO314" s="6">
        <v>22044.502007158699</v>
      </c>
      <c r="AP314" s="6">
        <v>330.98244656580999</v>
      </c>
      <c r="AQ314" s="6">
        <v>93035.839999999997</v>
      </c>
      <c r="AR314" s="6">
        <v>10090.4999321993</v>
      </c>
      <c r="AS314" s="6">
        <v>12976.918771791499</v>
      </c>
      <c r="AT314" s="6">
        <v>0</v>
      </c>
      <c r="AU314" t="s">
        <v>2973</v>
      </c>
      <c r="AV314" t="s">
        <v>2973</v>
      </c>
    </row>
    <row r="315" spans="1:48" x14ac:dyDescent="0.45">
      <c r="A315" s="5" t="s">
        <v>640</v>
      </c>
      <c r="B315">
        <v>1991</v>
      </c>
      <c r="C315" t="s">
        <v>618</v>
      </c>
      <c r="D315">
        <v>277</v>
      </c>
      <c r="E315" t="s">
        <v>641</v>
      </c>
      <c r="F315" t="s">
        <v>2739</v>
      </c>
      <c r="G315" t="s">
        <v>2740</v>
      </c>
      <c r="H315" t="s">
        <v>2741</v>
      </c>
      <c r="I315" t="s">
        <v>2742</v>
      </c>
      <c r="J315">
        <v>324.95982559945202</v>
      </c>
      <c r="K315">
        <v>1</v>
      </c>
      <c r="L315">
        <v>1</v>
      </c>
      <c r="M315">
        <v>2</v>
      </c>
      <c r="N315" s="6">
        <v>2231767.3816584698</v>
      </c>
      <c r="O315" s="6">
        <v>728559.02559822099</v>
      </c>
      <c r="P315" s="6">
        <v>789864.46421318303</v>
      </c>
      <c r="Q315" s="6">
        <v>140923.37659338099</v>
      </c>
      <c r="R315" s="6">
        <v>99647.139697737293</v>
      </c>
      <c r="S315" s="6">
        <v>155038.267914205</v>
      </c>
      <c r="T315" s="6">
        <v>2991412.75</v>
      </c>
      <c r="U315" s="6">
        <v>999348.63776099402</v>
      </c>
      <c r="V315" s="6">
        <v>3109479.3694415898</v>
      </c>
      <c r="W315" s="6">
        <v>881282.01831940503</v>
      </c>
      <c r="X315" s="6">
        <v>0</v>
      </c>
      <c r="Y315" s="6">
        <v>0</v>
      </c>
      <c r="Z315" s="6">
        <v>0</v>
      </c>
      <c r="AA315" s="6">
        <v>0</v>
      </c>
      <c r="AB315" s="6">
        <v>0</v>
      </c>
      <c r="AC315" s="6">
        <v>139147.56543817301</v>
      </c>
      <c r="AD315" s="6">
        <v>15890.7024760317</v>
      </c>
      <c r="AE315" s="6">
        <v>0</v>
      </c>
      <c r="AF315" s="6">
        <v>0</v>
      </c>
      <c r="AG315" s="6">
        <v>0</v>
      </c>
      <c r="AH315" s="6">
        <v>0</v>
      </c>
      <c r="AI315" s="6">
        <v>0</v>
      </c>
      <c r="AJ315" s="6">
        <v>4145799.6556751998</v>
      </c>
      <c r="AK315" s="6">
        <v>12757.883680013199</v>
      </c>
      <c r="AL315" s="6">
        <v>330.98244656580999</v>
      </c>
      <c r="AM315" s="6">
        <v>93035.839999999997</v>
      </c>
      <c r="AN315" s="6">
        <v>3552.3988343657802</v>
      </c>
      <c r="AO315" s="6">
        <v>22044.502007158699</v>
      </c>
      <c r="AP315" s="6">
        <v>330.98244656580999</v>
      </c>
      <c r="AQ315" s="6">
        <v>93035.839999999997</v>
      </c>
      <c r="AR315" s="6">
        <v>10090.4999321993</v>
      </c>
      <c r="AS315" s="6">
        <v>12976.918771791499</v>
      </c>
      <c r="AT315" s="6">
        <v>0</v>
      </c>
      <c r="AU315" t="s">
        <v>2973</v>
      </c>
      <c r="AV315" t="s">
        <v>2973</v>
      </c>
    </row>
    <row r="316" spans="1:48" x14ac:dyDescent="0.45">
      <c r="A316" s="5" t="s">
        <v>644</v>
      </c>
      <c r="B316">
        <v>2019</v>
      </c>
      <c r="C316" t="s">
        <v>645</v>
      </c>
      <c r="D316">
        <v>350</v>
      </c>
      <c r="E316" t="s">
        <v>646</v>
      </c>
      <c r="F316" t="s">
        <v>2739</v>
      </c>
      <c r="G316" t="s">
        <v>2740</v>
      </c>
      <c r="H316" t="s">
        <v>2741</v>
      </c>
      <c r="I316" t="s">
        <v>2742</v>
      </c>
      <c r="J316">
        <v>7.2697368421019997</v>
      </c>
      <c r="K316">
        <v>0</v>
      </c>
      <c r="L316">
        <v>0</v>
      </c>
      <c r="M316">
        <v>2</v>
      </c>
      <c r="N316" s="6">
        <v>108740.28</v>
      </c>
      <c r="O316" s="6">
        <v>25369.25</v>
      </c>
      <c r="P316" s="6">
        <v>62848.88</v>
      </c>
      <c r="Q316" s="6">
        <v>28657.31</v>
      </c>
      <c r="R316" s="6">
        <v>899.11</v>
      </c>
      <c r="S316" s="6">
        <v>16131</v>
      </c>
      <c r="T316" s="6">
        <v>32.26</v>
      </c>
      <c r="U316" s="6">
        <v>226482.57</v>
      </c>
      <c r="V316" s="6">
        <v>205402.96</v>
      </c>
      <c r="W316" s="6">
        <v>20655.060000000001</v>
      </c>
      <c r="X316" s="6">
        <v>0</v>
      </c>
      <c r="Y316" s="6">
        <v>0</v>
      </c>
      <c r="Z316" s="6">
        <v>0</v>
      </c>
      <c r="AA316" s="6">
        <v>456.81</v>
      </c>
      <c r="AB316" s="6">
        <v>0</v>
      </c>
      <c r="AC316" s="6">
        <v>16131</v>
      </c>
      <c r="AD316" s="6">
        <v>0</v>
      </c>
      <c r="AE316" s="6">
        <v>0</v>
      </c>
      <c r="AF316" s="6">
        <v>0</v>
      </c>
      <c r="AG316" s="6">
        <v>0</v>
      </c>
      <c r="AH316" s="6">
        <v>0</v>
      </c>
      <c r="AI316" s="6">
        <v>0</v>
      </c>
      <c r="AJ316" s="6">
        <v>242645.83</v>
      </c>
      <c r="AK316" s="6">
        <v>33377.5259366666</v>
      </c>
      <c r="AL316" s="6">
        <v>330.98244656580999</v>
      </c>
      <c r="AM316" s="6">
        <v>93035.839999999997</v>
      </c>
      <c r="AN316" s="6">
        <v>33377.5259366666</v>
      </c>
      <c r="AO316" s="6">
        <v>33377.5259366666</v>
      </c>
      <c r="AP316" s="6">
        <v>330.98244656580999</v>
      </c>
      <c r="AQ316" s="6">
        <v>93035.839999999997</v>
      </c>
      <c r="AR316" s="6">
        <v>33377.5259366666</v>
      </c>
      <c r="AS316" s="6">
        <v>33377.5259366666</v>
      </c>
      <c r="AT316" s="6">
        <v>0</v>
      </c>
      <c r="AU316" t="s">
        <v>2973</v>
      </c>
      <c r="AV316" t="s">
        <v>2973</v>
      </c>
    </row>
    <row r="317" spans="1:48" x14ac:dyDescent="0.45">
      <c r="A317" s="5" t="s">
        <v>647</v>
      </c>
      <c r="B317">
        <v>2229</v>
      </c>
      <c r="C317" t="s">
        <v>648</v>
      </c>
      <c r="D317">
        <v>3402</v>
      </c>
      <c r="E317" t="s">
        <v>649</v>
      </c>
      <c r="F317" t="s">
        <v>2739</v>
      </c>
      <c r="G317" t="s">
        <v>2748</v>
      </c>
      <c r="H317" t="s">
        <v>2745</v>
      </c>
      <c r="I317" t="s">
        <v>2742</v>
      </c>
      <c r="J317">
        <v>332.46275321017498</v>
      </c>
      <c r="K317">
        <v>1</v>
      </c>
      <c r="L317">
        <v>1</v>
      </c>
      <c r="M317">
        <v>2</v>
      </c>
      <c r="N317" s="6">
        <v>2521677.31</v>
      </c>
      <c r="O317" s="6">
        <v>929279.4</v>
      </c>
      <c r="P317" s="6">
        <v>1401471.43</v>
      </c>
      <c r="Q317" s="6">
        <v>327601.77</v>
      </c>
      <c r="R317" s="6">
        <v>304416.64000000001</v>
      </c>
      <c r="S317" s="6">
        <v>85447</v>
      </c>
      <c r="T317" s="6">
        <v>4657249.74</v>
      </c>
      <c r="U317" s="6">
        <v>827196.81</v>
      </c>
      <c r="V317" s="6">
        <v>4648908.49</v>
      </c>
      <c r="W317" s="6">
        <v>795710.52</v>
      </c>
      <c r="X317" s="6">
        <v>0</v>
      </c>
      <c r="Y317" s="6">
        <v>0</v>
      </c>
      <c r="Z317" s="6">
        <v>0</v>
      </c>
      <c r="AA317" s="6">
        <v>0</v>
      </c>
      <c r="AB317" s="6">
        <v>39827.54</v>
      </c>
      <c r="AC317" s="6">
        <v>85447</v>
      </c>
      <c r="AD317" s="6">
        <v>0</v>
      </c>
      <c r="AE317" s="6">
        <v>0</v>
      </c>
      <c r="AF317" s="6">
        <v>0</v>
      </c>
      <c r="AG317" s="6">
        <v>0</v>
      </c>
      <c r="AH317" s="6">
        <v>0</v>
      </c>
      <c r="AI317" s="6">
        <v>0</v>
      </c>
      <c r="AJ317" s="6">
        <v>5569893.5499999998</v>
      </c>
      <c r="AK317" s="6">
        <v>16753.436275849101</v>
      </c>
      <c r="AL317" s="6">
        <v>330.98244656580999</v>
      </c>
      <c r="AM317" s="6">
        <v>93035.839999999997</v>
      </c>
      <c r="AN317" s="6">
        <v>16753.436275849101</v>
      </c>
      <c r="AO317" s="6">
        <v>16753.436275849101</v>
      </c>
      <c r="AP317" s="6">
        <v>330.98244656580999</v>
      </c>
      <c r="AQ317" s="6">
        <v>56162.493707719797</v>
      </c>
      <c r="AR317" s="6">
        <v>16753.436275849101</v>
      </c>
      <c r="AS317" s="6">
        <v>16753.436275849101</v>
      </c>
      <c r="AT317" s="6">
        <v>0</v>
      </c>
      <c r="AU317" t="s">
        <v>2973</v>
      </c>
      <c r="AV317" t="s">
        <v>2973</v>
      </c>
    </row>
    <row r="318" spans="1:48" x14ac:dyDescent="0.45">
      <c r="A318" s="5" t="s">
        <v>650</v>
      </c>
      <c r="B318">
        <v>2043</v>
      </c>
      <c r="C318" t="s">
        <v>651</v>
      </c>
      <c r="D318">
        <v>5251</v>
      </c>
      <c r="E318" t="s">
        <v>652</v>
      </c>
      <c r="F318" t="s">
        <v>3</v>
      </c>
      <c r="G318" t="s">
        <v>2748</v>
      </c>
      <c r="H318" t="s">
        <v>2749</v>
      </c>
      <c r="I318" t="s">
        <v>2742</v>
      </c>
      <c r="J318">
        <v>294.07502566012499</v>
      </c>
      <c r="K318">
        <v>1</v>
      </c>
      <c r="L318">
        <v>1</v>
      </c>
      <c r="M318">
        <v>2</v>
      </c>
      <c r="N318" s="6">
        <v>357529.12238151598</v>
      </c>
      <c r="O318" s="6">
        <v>298117.833896155</v>
      </c>
      <c r="P318" s="6">
        <v>463088.26572207699</v>
      </c>
      <c r="Q318" s="6">
        <v>138527.49234905999</v>
      </c>
      <c r="R318" s="6">
        <v>64399.086755905497</v>
      </c>
      <c r="S318" s="6">
        <v>155944.699068574</v>
      </c>
      <c r="T318" s="6">
        <v>0</v>
      </c>
      <c r="U318" s="6">
        <v>1321661.80110471</v>
      </c>
      <c r="V318" s="6">
        <v>1022189.0341884</v>
      </c>
      <c r="W318" s="6">
        <v>299472.76691631298</v>
      </c>
      <c r="X318" s="6">
        <v>0</v>
      </c>
      <c r="Y318" s="6">
        <v>0</v>
      </c>
      <c r="Z318" s="6">
        <v>0</v>
      </c>
      <c r="AA318" s="6">
        <v>0</v>
      </c>
      <c r="AB318" s="6">
        <v>0</v>
      </c>
      <c r="AC318" s="6">
        <v>117470.735770296</v>
      </c>
      <c r="AD318" s="6">
        <v>38473.963298278497</v>
      </c>
      <c r="AE318" s="6">
        <v>0</v>
      </c>
      <c r="AF318" s="6">
        <v>0</v>
      </c>
      <c r="AG318" s="6">
        <v>0</v>
      </c>
      <c r="AH318" s="6">
        <v>0</v>
      </c>
      <c r="AI318" s="6">
        <v>0</v>
      </c>
      <c r="AJ318" s="6">
        <v>1477606.50017329</v>
      </c>
      <c r="AK318" s="6">
        <v>5024.5902278047197</v>
      </c>
      <c r="AL318" s="6">
        <v>330.98244656580999</v>
      </c>
      <c r="AM318" s="6">
        <v>93035.839999999997</v>
      </c>
      <c r="AN318" s="6">
        <v>5024.5902278047197</v>
      </c>
      <c r="AO318" s="6">
        <v>15401.545964475399</v>
      </c>
      <c r="AP318" s="6">
        <v>330.98244656580999</v>
      </c>
      <c r="AQ318" s="6">
        <v>56162.493707719797</v>
      </c>
      <c r="AR318" s="6">
        <v>5024.5902278047197</v>
      </c>
      <c r="AS318" s="6">
        <v>5024.5902278047197</v>
      </c>
      <c r="AT318" s="6">
        <v>0</v>
      </c>
      <c r="AU318" t="s">
        <v>2973</v>
      </c>
      <c r="AV318" t="s">
        <v>2976</v>
      </c>
    </row>
    <row r="319" spans="1:48" x14ac:dyDescent="0.45">
      <c r="A319" s="5" t="s">
        <v>653</v>
      </c>
      <c r="B319">
        <v>2043</v>
      </c>
      <c r="C319" t="s">
        <v>651</v>
      </c>
      <c r="D319">
        <v>397</v>
      </c>
      <c r="E319" t="s">
        <v>654</v>
      </c>
      <c r="F319" t="s">
        <v>2739</v>
      </c>
      <c r="G319" t="s">
        <v>2744</v>
      </c>
      <c r="H319" t="s">
        <v>2745</v>
      </c>
      <c r="I319" t="s">
        <v>2742</v>
      </c>
      <c r="J319">
        <v>1018.69421525617</v>
      </c>
      <c r="K319">
        <v>1</v>
      </c>
      <c r="L319">
        <v>1</v>
      </c>
      <c r="M319">
        <v>2</v>
      </c>
      <c r="N319" s="6">
        <v>6379842.8006750699</v>
      </c>
      <c r="O319" s="6">
        <v>3819729.3349282802</v>
      </c>
      <c r="P319" s="6">
        <v>2734651.6015139902</v>
      </c>
      <c r="Q319" s="6">
        <v>479877.86634858698</v>
      </c>
      <c r="R319" s="6">
        <v>1311513.9297889899</v>
      </c>
      <c r="S319" s="6">
        <v>540202.15584244102</v>
      </c>
      <c r="T319" s="6">
        <v>10147296.689999999</v>
      </c>
      <c r="U319" s="6">
        <v>4578318.8432548996</v>
      </c>
      <c r="V319" s="6">
        <v>12551487.8459072</v>
      </c>
      <c r="W319" s="6">
        <v>2066467.6373477499</v>
      </c>
      <c r="X319" s="6">
        <v>0</v>
      </c>
      <c r="Y319" s="6">
        <v>0</v>
      </c>
      <c r="Z319" s="6">
        <v>0</v>
      </c>
      <c r="AA319" s="6">
        <v>0</v>
      </c>
      <c r="AB319" s="6">
        <v>107660.05</v>
      </c>
      <c r="AC319" s="6">
        <v>406925.949330326</v>
      </c>
      <c r="AD319" s="6">
        <v>133276.20651211499</v>
      </c>
      <c r="AE319" s="6">
        <v>0</v>
      </c>
      <c r="AF319" s="6">
        <v>0</v>
      </c>
      <c r="AG319" s="6">
        <v>0</v>
      </c>
      <c r="AH319" s="6">
        <v>0</v>
      </c>
      <c r="AI319" s="6">
        <v>0</v>
      </c>
      <c r="AJ319" s="6">
        <v>15265817.6890973</v>
      </c>
      <c r="AK319" s="6">
        <v>14985.672305264299</v>
      </c>
      <c r="AL319" s="6">
        <v>330.98244656580999</v>
      </c>
      <c r="AM319" s="6">
        <v>93035.839999999997</v>
      </c>
      <c r="AN319" s="6">
        <v>5024.5902278047197</v>
      </c>
      <c r="AO319" s="6">
        <v>15401.545964475399</v>
      </c>
      <c r="AP319" s="6">
        <v>330.98244656580999</v>
      </c>
      <c r="AQ319" s="6">
        <v>40734.411818744898</v>
      </c>
      <c r="AR319" s="6">
        <v>11112.784122777301</v>
      </c>
      <c r="AS319" s="6">
        <v>14985.672305264299</v>
      </c>
      <c r="AT319" s="6">
        <v>0</v>
      </c>
      <c r="AU319" t="s">
        <v>2973</v>
      </c>
      <c r="AV319" t="s">
        <v>2973</v>
      </c>
    </row>
    <row r="320" spans="1:48" x14ac:dyDescent="0.45">
      <c r="A320" s="5" t="s">
        <v>655</v>
      </c>
      <c r="B320">
        <v>2043</v>
      </c>
      <c r="C320" t="s">
        <v>651</v>
      </c>
      <c r="D320">
        <v>396</v>
      </c>
      <c r="E320" t="s">
        <v>656</v>
      </c>
      <c r="F320" t="s">
        <v>2739</v>
      </c>
      <c r="G320" t="s">
        <v>2747</v>
      </c>
      <c r="H320" t="s">
        <v>2745</v>
      </c>
      <c r="I320" t="s">
        <v>2742</v>
      </c>
      <c r="J320">
        <v>427.79800329574499</v>
      </c>
      <c r="K320">
        <v>1</v>
      </c>
      <c r="L320">
        <v>1</v>
      </c>
      <c r="M320">
        <v>2</v>
      </c>
      <c r="N320" s="6">
        <v>2370433.0019175499</v>
      </c>
      <c r="O320" s="6">
        <v>960108.21354200796</v>
      </c>
      <c r="P320" s="6">
        <v>996524.50318881299</v>
      </c>
      <c r="Q320" s="6">
        <v>201519.27044966299</v>
      </c>
      <c r="R320" s="6">
        <v>93682.898322982102</v>
      </c>
      <c r="S320" s="6">
        <v>226856.49941316299</v>
      </c>
      <c r="T320" s="6">
        <v>2699614.72</v>
      </c>
      <c r="U320" s="6">
        <v>1922653.1674210101</v>
      </c>
      <c r="V320" s="6">
        <v>4176915.3302700799</v>
      </c>
      <c r="W320" s="6">
        <v>445352.55715093599</v>
      </c>
      <c r="X320" s="6">
        <v>0</v>
      </c>
      <c r="Y320" s="6">
        <v>0</v>
      </c>
      <c r="Z320" s="6">
        <v>0</v>
      </c>
      <c r="AA320" s="6">
        <v>0</v>
      </c>
      <c r="AB320" s="6">
        <v>0</v>
      </c>
      <c r="AC320" s="6">
        <v>170887.50088657701</v>
      </c>
      <c r="AD320" s="6">
        <v>55968.998526586198</v>
      </c>
      <c r="AE320" s="6">
        <v>0</v>
      </c>
      <c r="AF320" s="6">
        <v>0</v>
      </c>
      <c r="AG320" s="6">
        <v>0</v>
      </c>
      <c r="AH320" s="6">
        <v>0</v>
      </c>
      <c r="AI320" s="6">
        <v>0</v>
      </c>
      <c r="AJ320" s="6">
        <v>4849124.38683418</v>
      </c>
      <c r="AK320" s="6">
        <v>11335.0795222901</v>
      </c>
      <c r="AL320" s="6">
        <v>330.98244656580999</v>
      </c>
      <c r="AM320" s="6">
        <v>93035.839999999997</v>
      </c>
      <c r="AN320" s="6">
        <v>5024.5902278047197</v>
      </c>
      <c r="AO320" s="6">
        <v>15401.545964475399</v>
      </c>
      <c r="AP320" s="6">
        <v>3753.1860850462999</v>
      </c>
      <c r="AQ320" s="6">
        <v>20687.885194392002</v>
      </c>
      <c r="AR320" s="6">
        <v>11335.0795222901</v>
      </c>
      <c r="AS320" s="6">
        <v>12389.4160050798</v>
      </c>
      <c r="AT320" s="6">
        <v>0</v>
      </c>
      <c r="AU320" t="s">
        <v>2973</v>
      </c>
      <c r="AV320" t="s">
        <v>2973</v>
      </c>
    </row>
    <row r="321" spans="1:48" x14ac:dyDescent="0.45">
      <c r="A321" s="5" t="s">
        <v>657</v>
      </c>
      <c r="B321">
        <v>2043</v>
      </c>
      <c r="C321" t="s">
        <v>651</v>
      </c>
      <c r="D321">
        <v>2043</v>
      </c>
      <c r="E321" t="s">
        <v>651</v>
      </c>
      <c r="F321" t="s">
        <v>1</v>
      </c>
      <c r="G321" t="s">
        <v>1</v>
      </c>
      <c r="H321" t="s">
        <v>2743</v>
      </c>
      <c r="I321" t="s">
        <v>2742</v>
      </c>
      <c r="J321">
        <v>57.048429500961497</v>
      </c>
      <c r="K321">
        <v>1</v>
      </c>
      <c r="L321">
        <v>1</v>
      </c>
      <c r="M321">
        <v>2</v>
      </c>
      <c r="N321" s="6">
        <v>69358.065639669905</v>
      </c>
      <c r="O321" s="6">
        <v>57832.7050786693</v>
      </c>
      <c r="P321" s="6">
        <v>89835.776501134795</v>
      </c>
      <c r="Q321" s="6">
        <v>26873.3322847819</v>
      </c>
      <c r="R321" s="6">
        <v>12492.9573753285</v>
      </c>
      <c r="S321" s="6">
        <v>30252.144502553499</v>
      </c>
      <c r="T321" s="6">
        <v>0</v>
      </c>
      <c r="U321" s="6">
        <v>256392.836879585</v>
      </c>
      <c r="V321" s="6">
        <v>198297.284588012</v>
      </c>
      <c r="W321" s="6">
        <v>58095.552291571999</v>
      </c>
      <c r="X321" s="6">
        <v>0</v>
      </c>
      <c r="Y321" s="6">
        <v>0</v>
      </c>
      <c r="Z321" s="6">
        <v>0</v>
      </c>
      <c r="AA321" s="6">
        <v>0</v>
      </c>
      <c r="AB321" s="6">
        <v>0</v>
      </c>
      <c r="AC321" s="6">
        <v>22788.473699779701</v>
      </c>
      <c r="AD321" s="6">
        <v>7463.6708027737704</v>
      </c>
      <c r="AE321" s="6">
        <v>0</v>
      </c>
      <c r="AF321" s="6">
        <v>0</v>
      </c>
      <c r="AG321" s="6">
        <v>0</v>
      </c>
      <c r="AH321" s="6">
        <v>0</v>
      </c>
      <c r="AI321" s="6">
        <v>0</v>
      </c>
      <c r="AJ321" s="6">
        <v>286644.98138213798</v>
      </c>
      <c r="AK321" s="6">
        <v>5024.5902278047297</v>
      </c>
      <c r="AL321" s="6">
        <v>330.98244656580999</v>
      </c>
      <c r="AM321" s="6">
        <v>93035.839999999997</v>
      </c>
      <c r="AN321" s="6">
        <v>5024.5902278047197</v>
      </c>
      <c r="AO321" s="6">
        <v>15401.545964475399</v>
      </c>
      <c r="AP321" s="6">
        <v>634.54287297753501</v>
      </c>
      <c r="AQ321" s="6">
        <v>40331.279999999999</v>
      </c>
      <c r="AR321" s="6">
        <v>5024.5902278047297</v>
      </c>
      <c r="AS321" s="6">
        <v>5024.5902278047297</v>
      </c>
      <c r="AT321" s="6">
        <v>0</v>
      </c>
      <c r="AU321" t="s">
        <v>2973</v>
      </c>
      <c r="AV321" t="s">
        <v>2977</v>
      </c>
    </row>
    <row r="322" spans="1:48" x14ac:dyDescent="0.45">
      <c r="A322" s="5" t="s">
        <v>658</v>
      </c>
      <c r="B322">
        <v>2043</v>
      </c>
      <c r="C322" t="s">
        <v>651</v>
      </c>
      <c r="D322">
        <v>4020</v>
      </c>
      <c r="E322" t="s">
        <v>659</v>
      </c>
      <c r="F322" t="s">
        <v>2739</v>
      </c>
      <c r="G322" t="s">
        <v>2740</v>
      </c>
      <c r="H322" t="s">
        <v>2745</v>
      </c>
      <c r="I322" t="s">
        <v>2742</v>
      </c>
      <c r="J322">
        <v>323.54252100828302</v>
      </c>
      <c r="K322">
        <v>1</v>
      </c>
      <c r="L322">
        <v>1</v>
      </c>
      <c r="M322">
        <v>2</v>
      </c>
      <c r="N322" s="6">
        <v>2081552.46235623</v>
      </c>
      <c r="O322" s="6">
        <v>718740.00482110004</v>
      </c>
      <c r="P322" s="6">
        <v>769583.49462622602</v>
      </c>
      <c r="Q322" s="6">
        <v>152408.50188812101</v>
      </c>
      <c r="R322" s="6">
        <v>70852.133168620901</v>
      </c>
      <c r="S322" s="6">
        <v>171570.98247723101</v>
      </c>
      <c r="T322" s="6">
        <v>2339038.9900000002</v>
      </c>
      <c r="U322" s="6">
        <v>1454097.60686029</v>
      </c>
      <c r="V322" s="6">
        <v>3397419.5193038802</v>
      </c>
      <c r="W322" s="6">
        <v>395717.077556415</v>
      </c>
      <c r="X322" s="6">
        <v>0</v>
      </c>
      <c r="Y322" s="6">
        <v>0</v>
      </c>
      <c r="Z322" s="6">
        <v>0</v>
      </c>
      <c r="AA322" s="6">
        <v>0</v>
      </c>
      <c r="AB322" s="6">
        <v>0</v>
      </c>
      <c r="AC322" s="6">
        <v>129241.77396738699</v>
      </c>
      <c r="AD322" s="6">
        <v>42329.208509844102</v>
      </c>
      <c r="AE322" s="6">
        <v>0</v>
      </c>
      <c r="AF322" s="6">
        <v>0</v>
      </c>
      <c r="AG322" s="6">
        <v>0</v>
      </c>
      <c r="AH322" s="6">
        <v>0</v>
      </c>
      <c r="AI322" s="6">
        <v>0</v>
      </c>
      <c r="AJ322" s="6">
        <v>3964707.5793375298</v>
      </c>
      <c r="AK322" s="6">
        <v>12254.054171865801</v>
      </c>
      <c r="AL322" s="6">
        <v>330.98244656580999</v>
      </c>
      <c r="AM322" s="6">
        <v>93035.839999999997</v>
      </c>
      <c r="AN322" s="6">
        <v>5024.5902278047197</v>
      </c>
      <c r="AO322" s="6">
        <v>15401.545964475399</v>
      </c>
      <c r="AP322" s="6">
        <v>330.98244656580999</v>
      </c>
      <c r="AQ322" s="6">
        <v>93035.839999999997</v>
      </c>
      <c r="AR322" s="6">
        <v>11437.7052931404</v>
      </c>
      <c r="AS322" s="6">
        <v>15401.545964475399</v>
      </c>
      <c r="AT322" s="6">
        <v>0</v>
      </c>
      <c r="AU322" t="s">
        <v>2973</v>
      </c>
      <c r="AV322" t="s">
        <v>2973</v>
      </c>
    </row>
    <row r="323" spans="1:48" x14ac:dyDescent="0.45">
      <c r="A323" s="5" t="s">
        <v>660</v>
      </c>
      <c r="B323">
        <v>2043</v>
      </c>
      <c r="C323" t="s">
        <v>651</v>
      </c>
      <c r="D323">
        <v>390</v>
      </c>
      <c r="E323" t="s">
        <v>661</v>
      </c>
      <c r="F323" t="s">
        <v>2739</v>
      </c>
      <c r="G323" t="s">
        <v>2740</v>
      </c>
      <c r="H323" t="s">
        <v>2745</v>
      </c>
      <c r="I323" t="s">
        <v>2742</v>
      </c>
      <c r="J323">
        <v>489.288232741922</v>
      </c>
      <c r="K323">
        <v>1</v>
      </c>
      <c r="L323">
        <v>1</v>
      </c>
      <c r="M323">
        <v>2</v>
      </c>
      <c r="N323" s="6">
        <v>3156635.1877625599</v>
      </c>
      <c r="O323" s="6">
        <v>929352.02238918399</v>
      </c>
      <c r="P323" s="6">
        <v>1029705.97777405</v>
      </c>
      <c r="Q323" s="6">
        <v>230484.96473133899</v>
      </c>
      <c r="R323" s="6">
        <v>107148.559379564</v>
      </c>
      <c r="S323" s="6">
        <v>259464.08077821301</v>
      </c>
      <c r="T323" s="6">
        <v>3254317.92</v>
      </c>
      <c r="U323" s="6">
        <v>2199008.7920366898</v>
      </c>
      <c r="V323" s="6">
        <v>4862441.2234991798</v>
      </c>
      <c r="W323" s="6">
        <v>590885.48853751097</v>
      </c>
      <c r="X323" s="6">
        <v>0</v>
      </c>
      <c r="Y323" s="6">
        <v>0</v>
      </c>
      <c r="Z323" s="6">
        <v>0</v>
      </c>
      <c r="AA323" s="6">
        <v>0</v>
      </c>
      <c r="AB323" s="6">
        <v>0</v>
      </c>
      <c r="AC323" s="6">
        <v>195450.28883333399</v>
      </c>
      <c r="AD323" s="6">
        <v>64013.791944879202</v>
      </c>
      <c r="AE323" s="6">
        <v>0</v>
      </c>
      <c r="AF323" s="6">
        <v>0</v>
      </c>
      <c r="AG323" s="6">
        <v>0</v>
      </c>
      <c r="AH323" s="6">
        <v>0</v>
      </c>
      <c r="AI323" s="6">
        <v>0</v>
      </c>
      <c r="AJ323" s="6">
        <v>5712790.7928149104</v>
      </c>
      <c r="AK323" s="6">
        <v>11675.7167054703</v>
      </c>
      <c r="AL323" s="6">
        <v>330.98244656580999</v>
      </c>
      <c r="AM323" s="6">
        <v>93035.839999999997</v>
      </c>
      <c r="AN323" s="6">
        <v>5024.5902278047197</v>
      </c>
      <c r="AO323" s="6">
        <v>15401.545964475399</v>
      </c>
      <c r="AP323" s="6">
        <v>330.98244656580999</v>
      </c>
      <c r="AQ323" s="6">
        <v>93035.839999999997</v>
      </c>
      <c r="AR323" s="6">
        <v>11437.7052931404</v>
      </c>
      <c r="AS323" s="6">
        <v>15401.545964475399</v>
      </c>
      <c r="AT323" s="6">
        <v>0</v>
      </c>
      <c r="AU323" t="s">
        <v>2973</v>
      </c>
      <c r="AV323" t="s">
        <v>2973</v>
      </c>
    </row>
    <row r="324" spans="1:48" x14ac:dyDescent="0.45">
      <c r="A324" s="5" t="s">
        <v>662</v>
      </c>
      <c r="B324">
        <v>2043</v>
      </c>
      <c r="C324" t="s">
        <v>651</v>
      </c>
      <c r="D324">
        <v>3147</v>
      </c>
      <c r="E324" t="s">
        <v>663</v>
      </c>
      <c r="F324" t="s">
        <v>2739</v>
      </c>
      <c r="G324" t="s">
        <v>2740</v>
      </c>
      <c r="H324" t="s">
        <v>2745</v>
      </c>
      <c r="I324" t="s">
        <v>2742</v>
      </c>
      <c r="J324">
        <v>46.552941176464003</v>
      </c>
      <c r="K324">
        <v>1</v>
      </c>
      <c r="L324">
        <v>1</v>
      </c>
      <c r="M324">
        <v>2</v>
      </c>
      <c r="N324" s="6">
        <v>463573.861249818</v>
      </c>
      <c r="O324" s="6">
        <v>75502.009606549604</v>
      </c>
      <c r="P324" s="6">
        <v>121101.013996675</v>
      </c>
      <c r="Q324" s="6">
        <v>21929.309325648301</v>
      </c>
      <c r="R324" s="6">
        <v>10194.5647741966</v>
      </c>
      <c r="S324" s="6">
        <v>24686.5043579425</v>
      </c>
      <c r="T324" s="6">
        <v>483077.81</v>
      </c>
      <c r="U324" s="6">
        <v>209222.948952887</v>
      </c>
      <c r="V324" s="6">
        <v>629015.92946558702</v>
      </c>
      <c r="W324" s="6">
        <v>63284.829487299998</v>
      </c>
      <c r="X324" s="6">
        <v>0</v>
      </c>
      <c r="Y324" s="6">
        <v>0</v>
      </c>
      <c r="Z324" s="6">
        <v>0</v>
      </c>
      <c r="AA324" s="6">
        <v>0</v>
      </c>
      <c r="AB324" s="6">
        <v>0</v>
      </c>
      <c r="AC324" s="6">
        <v>18595.962849938998</v>
      </c>
      <c r="AD324" s="6">
        <v>6090.54150800353</v>
      </c>
      <c r="AE324" s="6">
        <v>0</v>
      </c>
      <c r="AF324" s="6">
        <v>0</v>
      </c>
      <c r="AG324" s="6">
        <v>0</v>
      </c>
      <c r="AH324" s="6">
        <v>0</v>
      </c>
      <c r="AI324" s="6">
        <v>0</v>
      </c>
      <c r="AJ324" s="6">
        <v>716987.26331082999</v>
      </c>
      <c r="AK324" s="6">
        <v>15401.545964475399</v>
      </c>
      <c r="AL324" s="6">
        <v>330.98244656580999</v>
      </c>
      <c r="AM324" s="6">
        <v>93035.839999999997</v>
      </c>
      <c r="AN324" s="6">
        <v>5024.5902278047197</v>
      </c>
      <c r="AO324" s="6">
        <v>15401.545964475399</v>
      </c>
      <c r="AP324" s="6">
        <v>330.98244656580999</v>
      </c>
      <c r="AQ324" s="6">
        <v>93035.839999999997</v>
      </c>
      <c r="AR324" s="6">
        <v>11437.7052931404</v>
      </c>
      <c r="AS324" s="6">
        <v>15401.545964475399</v>
      </c>
      <c r="AT324" s="6">
        <v>0</v>
      </c>
      <c r="AU324" t="s">
        <v>2973</v>
      </c>
      <c r="AV324" t="s">
        <v>2973</v>
      </c>
    </row>
    <row r="325" spans="1:48" x14ac:dyDescent="0.45">
      <c r="A325" s="5" t="s">
        <v>664</v>
      </c>
      <c r="B325">
        <v>2043</v>
      </c>
      <c r="C325" t="s">
        <v>651</v>
      </c>
      <c r="D325">
        <v>393</v>
      </c>
      <c r="E325" t="s">
        <v>665</v>
      </c>
      <c r="F325" t="s">
        <v>2739</v>
      </c>
      <c r="G325" t="s">
        <v>2740</v>
      </c>
      <c r="H325" t="s">
        <v>2745</v>
      </c>
      <c r="I325" t="s">
        <v>2742</v>
      </c>
      <c r="J325">
        <v>262.20951905064402</v>
      </c>
      <c r="K325">
        <v>1</v>
      </c>
      <c r="L325">
        <v>1</v>
      </c>
      <c r="M325">
        <v>2</v>
      </c>
      <c r="N325" s="6">
        <v>1969183.28979213</v>
      </c>
      <c r="O325" s="6">
        <v>682447.73495367996</v>
      </c>
      <c r="P325" s="6">
        <v>726428.30061699497</v>
      </c>
      <c r="Q325" s="6">
        <v>123516.871460275</v>
      </c>
      <c r="R325" s="6">
        <v>57420.903144229</v>
      </c>
      <c r="S325" s="6">
        <v>139046.77709193499</v>
      </c>
      <c r="T325" s="6">
        <v>2380548.4900000002</v>
      </c>
      <c r="U325" s="6">
        <v>1178448.60996731</v>
      </c>
      <c r="V325" s="6">
        <v>3202763.4504014999</v>
      </c>
      <c r="W325" s="6">
        <v>356233.64956580702</v>
      </c>
      <c r="X325" s="6">
        <v>0</v>
      </c>
      <c r="Y325" s="6">
        <v>0</v>
      </c>
      <c r="Z325" s="6">
        <v>0</v>
      </c>
      <c r="AA325" s="6">
        <v>0</v>
      </c>
      <c r="AB325" s="6">
        <v>0</v>
      </c>
      <c r="AC325" s="6">
        <v>104741.79185978801</v>
      </c>
      <c r="AD325" s="6">
        <v>34304.985232146697</v>
      </c>
      <c r="AE325" s="6">
        <v>0</v>
      </c>
      <c r="AF325" s="6">
        <v>0</v>
      </c>
      <c r="AG325" s="6">
        <v>0</v>
      </c>
      <c r="AH325" s="6">
        <v>0</v>
      </c>
      <c r="AI325" s="6">
        <v>0</v>
      </c>
      <c r="AJ325" s="6">
        <v>3698043.8770592399</v>
      </c>
      <c r="AK325" s="6">
        <v>14103.392929625101</v>
      </c>
      <c r="AL325" s="6">
        <v>330.98244656580999</v>
      </c>
      <c r="AM325" s="6">
        <v>93035.839999999997</v>
      </c>
      <c r="AN325" s="6">
        <v>5024.5902278047197</v>
      </c>
      <c r="AO325" s="6">
        <v>15401.545964475399</v>
      </c>
      <c r="AP325" s="6">
        <v>330.98244656580999</v>
      </c>
      <c r="AQ325" s="6">
        <v>93035.839999999997</v>
      </c>
      <c r="AR325" s="6">
        <v>11437.7052931404</v>
      </c>
      <c r="AS325" s="6">
        <v>15401.545964475399</v>
      </c>
      <c r="AT325" s="6">
        <v>0</v>
      </c>
      <c r="AU325" t="s">
        <v>2973</v>
      </c>
      <c r="AV325" t="s">
        <v>2973</v>
      </c>
    </row>
    <row r="326" spans="1:48" x14ac:dyDescent="0.45">
      <c r="A326" s="5" t="s">
        <v>666</v>
      </c>
      <c r="B326">
        <v>2043</v>
      </c>
      <c r="C326" t="s">
        <v>651</v>
      </c>
      <c r="D326">
        <v>394</v>
      </c>
      <c r="E326" t="s">
        <v>667</v>
      </c>
      <c r="F326" t="s">
        <v>2739</v>
      </c>
      <c r="G326" t="s">
        <v>2740</v>
      </c>
      <c r="H326" t="s">
        <v>2745</v>
      </c>
      <c r="I326" t="s">
        <v>2742</v>
      </c>
      <c r="J326">
        <v>794.69941176444604</v>
      </c>
      <c r="K326">
        <v>3</v>
      </c>
      <c r="L326">
        <v>1</v>
      </c>
      <c r="M326">
        <v>2</v>
      </c>
      <c r="N326" s="6">
        <v>5133186.7842363603</v>
      </c>
      <c r="O326" s="6">
        <v>1446698.7338717601</v>
      </c>
      <c r="P326" s="6">
        <v>1539849.3150279899</v>
      </c>
      <c r="Q326" s="6">
        <v>374352.48517238803</v>
      </c>
      <c r="R326" s="6">
        <v>174030.13482088101</v>
      </c>
      <c r="S326" s="6">
        <v>421420.21526442003</v>
      </c>
      <c r="T326" s="6">
        <v>5096498.7699999996</v>
      </c>
      <c r="U326" s="6">
        <v>3571618.68312938</v>
      </c>
      <c r="V326" s="6">
        <v>7628941.3194433097</v>
      </c>
      <c r="W326" s="6">
        <v>1039176.13368607</v>
      </c>
      <c r="X326" s="6">
        <v>0</v>
      </c>
      <c r="Y326" s="6">
        <v>0</v>
      </c>
      <c r="Z326" s="6">
        <v>0</v>
      </c>
      <c r="AA326" s="6">
        <v>0</v>
      </c>
      <c r="AB326" s="6">
        <v>0</v>
      </c>
      <c r="AC326" s="6">
        <v>317449.34615455603</v>
      </c>
      <c r="AD326" s="6">
        <v>103970.869109864</v>
      </c>
      <c r="AE326" s="6">
        <v>0</v>
      </c>
      <c r="AF326" s="6">
        <v>0</v>
      </c>
      <c r="AG326" s="6">
        <v>0</v>
      </c>
      <c r="AH326" s="6">
        <v>0</v>
      </c>
      <c r="AI326" s="6">
        <v>0</v>
      </c>
      <c r="AJ326" s="6">
        <v>9089537.6683938</v>
      </c>
      <c r="AK326" s="6">
        <v>11437.7052931404</v>
      </c>
      <c r="AL326" s="6">
        <v>330.98244656580999</v>
      </c>
      <c r="AM326" s="6">
        <v>93035.839999999997</v>
      </c>
      <c r="AN326" s="6">
        <v>5024.5902278047197</v>
      </c>
      <c r="AO326" s="6">
        <v>15401.545964475399</v>
      </c>
      <c r="AP326" s="6">
        <v>330.98244656580999</v>
      </c>
      <c r="AQ326" s="6">
        <v>93035.839999999997</v>
      </c>
      <c r="AR326" s="6">
        <v>11437.7052931404</v>
      </c>
      <c r="AS326" s="6">
        <v>15401.545964475399</v>
      </c>
      <c r="AT326" s="6">
        <v>0</v>
      </c>
      <c r="AU326" t="s">
        <v>2973</v>
      </c>
      <c r="AV326" t="s">
        <v>2973</v>
      </c>
    </row>
    <row r="327" spans="1:48" x14ac:dyDescent="0.45">
      <c r="A327" s="5" t="s">
        <v>668</v>
      </c>
      <c r="B327">
        <v>2043</v>
      </c>
      <c r="C327" t="s">
        <v>651</v>
      </c>
      <c r="D327">
        <v>4378</v>
      </c>
      <c r="E327" t="s">
        <v>669</v>
      </c>
      <c r="F327" t="s">
        <v>2750</v>
      </c>
      <c r="G327" t="s">
        <v>2744</v>
      </c>
      <c r="H327" t="s">
        <v>2749</v>
      </c>
      <c r="I327" t="s">
        <v>2742</v>
      </c>
      <c r="J327">
        <v>55.600178942974303</v>
      </c>
      <c r="K327">
        <v>1</v>
      </c>
      <c r="L327">
        <v>1</v>
      </c>
      <c r="M327">
        <v>2</v>
      </c>
      <c r="N327" s="6">
        <v>373365.89853160299</v>
      </c>
      <c r="O327" s="6">
        <v>56364.544637921703</v>
      </c>
      <c r="P327" s="6">
        <v>120291.26535955899</v>
      </c>
      <c r="Q327" s="6">
        <v>26191.116861555402</v>
      </c>
      <c r="R327" s="6">
        <v>12175.8069708739</v>
      </c>
      <c r="S327" s="6">
        <v>29484.1534195493</v>
      </c>
      <c r="T327" s="6">
        <v>338504.67</v>
      </c>
      <c r="U327" s="6">
        <v>249883.96236151399</v>
      </c>
      <c r="V327" s="6">
        <v>531233.91323816101</v>
      </c>
      <c r="W327" s="6">
        <v>57154.719123352697</v>
      </c>
      <c r="X327" s="6">
        <v>0</v>
      </c>
      <c r="Y327" s="6">
        <v>0</v>
      </c>
      <c r="Z327" s="6">
        <v>0</v>
      </c>
      <c r="AA327" s="6">
        <v>0</v>
      </c>
      <c r="AB327" s="6">
        <v>0</v>
      </c>
      <c r="AC327" s="6">
        <v>22209.957866125998</v>
      </c>
      <c r="AD327" s="6">
        <v>7274.1955534232502</v>
      </c>
      <c r="AE327" s="6">
        <v>0</v>
      </c>
      <c r="AF327" s="6">
        <v>0</v>
      </c>
      <c r="AG327" s="6">
        <v>0</v>
      </c>
      <c r="AH327" s="6">
        <v>0</v>
      </c>
      <c r="AI327" s="6">
        <v>0</v>
      </c>
      <c r="AJ327" s="6">
        <v>617872.78578106198</v>
      </c>
      <c r="AK327" s="6">
        <v>11112.784122777301</v>
      </c>
      <c r="AL327" s="6">
        <v>330.98244656580999</v>
      </c>
      <c r="AM327" s="6">
        <v>93035.839999999997</v>
      </c>
      <c r="AN327" s="6">
        <v>5024.5902278047197</v>
      </c>
      <c r="AO327" s="6">
        <v>15401.545964475399</v>
      </c>
      <c r="AP327" s="6">
        <v>330.98244656580999</v>
      </c>
      <c r="AQ327" s="6">
        <v>40734.411818744898</v>
      </c>
      <c r="AR327" s="6">
        <v>11112.784122777301</v>
      </c>
      <c r="AS327" s="6">
        <v>14985.672305264299</v>
      </c>
      <c r="AT327" s="6">
        <v>0</v>
      </c>
      <c r="AU327" t="s">
        <v>2973</v>
      </c>
      <c r="AV327" t="s">
        <v>2973</v>
      </c>
    </row>
    <row r="328" spans="1:48" x14ac:dyDescent="0.45">
      <c r="A328" s="5" t="s">
        <v>670</v>
      </c>
      <c r="B328">
        <v>2043</v>
      </c>
      <c r="C328" t="s">
        <v>651</v>
      </c>
      <c r="D328">
        <v>4021</v>
      </c>
      <c r="E328" t="s">
        <v>671</v>
      </c>
      <c r="F328" t="s">
        <v>2739</v>
      </c>
      <c r="G328" t="s">
        <v>2747</v>
      </c>
      <c r="H328" t="s">
        <v>2745</v>
      </c>
      <c r="I328" t="s">
        <v>2742</v>
      </c>
      <c r="J328">
        <v>333.70506843263399</v>
      </c>
      <c r="K328">
        <v>2</v>
      </c>
      <c r="L328">
        <v>1</v>
      </c>
      <c r="M328">
        <v>2</v>
      </c>
      <c r="N328" s="6">
        <v>2051244.8654574701</v>
      </c>
      <c r="O328" s="6">
        <v>839485.48227466503</v>
      </c>
      <c r="P328" s="6">
        <v>836447.19567244104</v>
      </c>
      <c r="Q328" s="6">
        <v>157195.68912856601</v>
      </c>
      <c r="R328" s="6">
        <v>73077.615498419895</v>
      </c>
      <c r="S328" s="6">
        <v>176960.06778395901</v>
      </c>
      <c r="T328" s="6">
        <v>2457679.69</v>
      </c>
      <c r="U328" s="6">
        <v>1499771.15803156</v>
      </c>
      <c r="V328" s="6">
        <v>3550007.4496946302</v>
      </c>
      <c r="W328" s="6">
        <v>407443.39833693003</v>
      </c>
      <c r="X328" s="6">
        <v>0</v>
      </c>
      <c r="Y328" s="6">
        <v>0</v>
      </c>
      <c r="Z328" s="6">
        <v>0</v>
      </c>
      <c r="AA328" s="6">
        <v>0</v>
      </c>
      <c r="AB328" s="6">
        <v>0</v>
      </c>
      <c r="AC328" s="6">
        <v>133301.28878187799</v>
      </c>
      <c r="AD328" s="6">
        <v>43658.779002080897</v>
      </c>
      <c r="AE328" s="6">
        <v>0</v>
      </c>
      <c r="AF328" s="6">
        <v>0</v>
      </c>
      <c r="AG328" s="6">
        <v>0</v>
      </c>
      <c r="AH328" s="6">
        <v>0</v>
      </c>
      <c r="AI328" s="6">
        <v>0</v>
      </c>
      <c r="AJ328" s="6">
        <v>4134410.9158155201</v>
      </c>
      <c r="AK328" s="6">
        <v>12389.4160050798</v>
      </c>
      <c r="AL328" s="6">
        <v>330.98244656580999</v>
      </c>
      <c r="AM328" s="6">
        <v>93035.839999999997</v>
      </c>
      <c r="AN328" s="6">
        <v>5024.5902278047197</v>
      </c>
      <c r="AO328" s="6">
        <v>15401.545964475399</v>
      </c>
      <c r="AP328" s="6">
        <v>3753.1860850462999</v>
      </c>
      <c r="AQ328" s="6">
        <v>20687.885194392002</v>
      </c>
      <c r="AR328" s="6">
        <v>11335.0795222901</v>
      </c>
      <c r="AS328" s="6">
        <v>12389.4160050798</v>
      </c>
      <c r="AT328" s="6">
        <v>0</v>
      </c>
      <c r="AU328" t="s">
        <v>2973</v>
      </c>
      <c r="AV328" t="s">
        <v>2973</v>
      </c>
    </row>
    <row r="329" spans="1:48" x14ac:dyDescent="0.45">
      <c r="A329" s="5" t="s">
        <v>672</v>
      </c>
      <c r="B329">
        <v>2203</v>
      </c>
      <c r="C329" t="s">
        <v>673</v>
      </c>
      <c r="D329">
        <v>3433</v>
      </c>
      <c r="E329" t="s">
        <v>674</v>
      </c>
      <c r="F329" t="s">
        <v>2739</v>
      </c>
      <c r="G329" t="s">
        <v>2748</v>
      </c>
      <c r="H329" t="s">
        <v>2745</v>
      </c>
      <c r="I329" t="s">
        <v>2742</v>
      </c>
      <c r="J329">
        <v>278.24017361946301</v>
      </c>
      <c r="K329">
        <v>1</v>
      </c>
      <c r="L329">
        <v>1</v>
      </c>
      <c r="M329">
        <v>2</v>
      </c>
      <c r="N329" s="6">
        <v>2324632.73</v>
      </c>
      <c r="O329" s="6">
        <v>667244.17000000004</v>
      </c>
      <c r="P329" s="6">
        <v>919077.5</v>
      </c>
      <c r="Q329" s="6">
        <v>322107.28000000003</v>
      </c>
      <c r="R329" s="6">
        <v>187501.2</v>
      </c>
      <c r="S329" s="6">
        <v>145670.39999999999</v>
      </c>
      <c r="T329" s="6">
        <v>4420562.88</v>
      </c>
      <c r="U329" s="6">
        <v>0</v>
      </c>
      <c r="V329" s="6">
        <v>3783015.52</v>
      </c>
      <c r="W329" s="6">
        <v>637547.36</v>
      </c>
      <c r="X329" s="6">
        <v>0</v>
      </c>
      <c r="Y329" s="6">
        <v>0</v>
      </c>
      <c r="Z329" s="6">
        <v>0</v>
      </c>
      <c r="AA329" s="6">
        <v>0</v>
      </c>
      <c r="AB329" s="6">
        <v>0</v>
      </c>
      <c r="AC329" s="6">
        <v>145670.39999999999</v>
      </c>
      <c r="AD329" s="6">
        <v>0</v>
      </c>
      <c r="AE329" s="6">
        <v>0</v>
      </c>
      <c r="AF329" s="6">
        <v>0</v>
      </c>
      <c r="AG329" s="6">
        <v>0</v>
      </c>
      <c r="AH329" s="6">
        <v>0</v>
      </c>
      <c r="AI329" s="6">
        <v>0</v>
      </c>
      <c r="AJ329" s="6">
        <v>4566233.28</v>
      </c>
      <c r="AK329" s="6">
        <v>16411.121444472101</v>
      </c>
      <c r="AL329" s="6">
        <v>330.98244656580999</v>
      </c>
      <c r="AM329" s="6">
        <v>93035.839999999997</v>
      </c>
      <c r="AN329" s="6">
        <v>16411.121444472101</v>
      </c>
      <c r="AO329" s="6">
        <v>16411.121444472101</v>
      </c>
      <c r="AP329" s="6">
        <v>330.98244656580999</v>
      </c>
      <c r="AQ329" s="6">
        <v>56162.493707719797</v>
      </c>
      <c r="AR329" s="6">
        <v>16411.121444472101</v>
      </c>
      <c r="AS329" s="6">
        <v>16411.121444472101</v>
      </c>
      <c r="AT329" s="6">
        <v>0</v>
      </c>
      <c r="AU329" t="s">
        <v>2973</v>
      </c>
      <c r="AV329" t="s">
        <v>2973</v>
      </c>
    </row>
    <row r="330" spans="1:48" x14ac:dyDescent="0.45">
      <c r="A330" s="5" t="s">
        <v>675</v>
      </c>
      <c r="B330">
        <v>2217</v>
      </c>
      <c r="C330" t="s">
        <v>676</v>
      </c>
      <c r="D330">
        <v>1083</v>
      </c>
      <c r="E330" t="s">
        <v>677</v>
      </c>
      <c r="F330" t="s">
        <v>2739</v>
      </c>
      <c r="G330" t="s">
        <v>2744</v>
      </c>
      <c r="H330" t="s">
        <v>2745</v>
      </c>
      <c r="I330" t="s">
        <v>2742</v>
      </c>
      <c r="J330">
        <v>165.815068493138</v>
      </c>
      <c r="K330">
        <v>1</v>
      </c>
      <c r="L330">
        <v>1</v>
      </c>
      <c r="M330">
        <v>2</v>
      </c>
      <c r="N330" s="6">
        <v>1423027.6245226101</v>
      </c>
      <c r="O330" s="6">
        <v>383768.268376244</v>
      </c>
      <c r="P330" s="6">
        <v>467313.04158646398</v>
      </c>
      <c r="Q330" s="6">
        <v>122981.401275971</v>
      </c>
      <c r="R330" s="6">
        <v>103793.33626619801</v>
      </c>
      <c r="S330" s="6">
        <v>73639.0073283159</v>
      </c>
      <c r="T330" s="6">
        <v>1731525.62</v>
      </c>
      <c r="U330" s="6">
        <v>769358.05202748999</v>
      </c>
      <c r="V330" s="6">
        <v>2198143.1145784399</v>
      </c>
      <c r="W330" s="6">
        <v>302740.557449046</v>
      </c>
      <c r="X330" s="6">
        <v>0</v>
      </c>
      <c r="Y330" s="6">
        <v>0</v>
      </c>
      <c r="Z330" s="6">
        <v>0</v>
      </c>
      <c r="AA330" s="6">
        <v>0</v>
      </c>
      <c r="AB330" s="6">
        <v>0</v>
      </c>
      <c r="AC330" s="6">
        <v>73450.836946202893</v>
      </c>
      <c r="AD330" s="6">
        <v>188.170382113019</v>
      </c>
      <c r="AE330" s="6">
        <v>0</v>
      </c>
      <c r="AF330" s="6">
        <v>0</v>
      </c>
      <c r="AG330" s="6">
        <v>0</v>
      </c>
      <c r="AH330" s="6">
        <v>0</v>
      </c>
      <c r="AI330" s="6">
        <v>0</v>
      </c>
      <c r="AJ330" s="6">
        <v>2574522.6793558099</v>
      </c>
      <c r="AK330" s="6">
        <v>15526.4699568746</v>
      </c>
      <c r="AL330" s="6">
        <v>330.98244656580999</v>
      </c>
      <c r="AM330" s="6">
        <v>93035.839999999997</v>
      </c>
      <c r="AN330" s="6">
        <v>12549.761166854199</v>
      </c>
      <c r="AO330" s="6">
        <v>15526.4699568746</v>
      </c>
      <c r="AP330" s="6">
        <v>330.98244656580999</v>
      </c>
      <c r="AQ330" s="6">
        <v>40734.411818744898</v>
      </c>
      <c r="AR330" s="6">
        <v>15526.4699568746</v>
      </c>
      <c r="AS330" s="6">
        <v>15526.4699568746</v>
      </c>
      <c r="AT330" s="6">
        <v>0</v>
      </c>
      <c r="AU330" t="s">
        <v>2973</v>
      </c>
      <c r="AV330" t="s">
        <v>2973</v>
      </c>
    </row>
    <row r="331" spans="1:48" x14ac:dyDescent="0.45">
      <c r="A331" s="5" t="s">
        <v>678</v>
      </c>
      <c r="B331">
        <v>2217</v>
      </c>
      <c r="C331" t="s">
        <v>676</v>
      </c>
      <c r="D331">
        <v>1082</v>
      </c>
      <c r="E331" t="s">
        <v>679</v>
      </c>
      <c r="F331" t="s">
        <v>2739</v>
      </c>
      <c r="G331" t="s">
        <v>2740</v>
      </c>
      <c r="H331" t="s">
        <v>2745</v>
      </c>
      <c r="I331" t="s">
        <v>2742</v>
      </c>
      <c r="J331">
        <v>218.72142857139801</v>
      </c>
      <c r="K331">
        <v>1</v>
      </c>
      <c r="L331">
        <v>1</v>
      </c>
      <c r="M331">
        <v>2</v>
      </c>
      <c r="N331" s="6">
        <v>1494766.8854773899</v>
      </c>
      <c r="O331" s="6">
        <v>233236.96162375601</v>
      </c>
      <c r="P331" s="6">
        <v>616417.89841353497</v>
      </c>
      <c r="Q331" s="6">
        <v>162220.88872402901</v>
      </c>
      <c r="R331" s="6">
        <v>141124.16373380201</v>
      </c>
      <c r="S331" s="6">
        <v>97134.892671684007</v>
      </c>
      <c r="T331" s="6">
        <v>1632930.85</v>
      </c>
      <c r="U331" s="6">
        <v>1014835.94797251</v>
      </c>
      <c r="V331" s="6">
        <v>2227916.4154215599</v>
      </c>
      <c r="W331" s="6">
        <v>419850.382550954</v>
      </c>
      <c r="X331" s="6">
        <v>0</v>
      </c>
      <c r="Y331" s="6">
        <v>0</v>
      </c>
      <c r="Z331" s="6">
        <v>0</v>
      </c>
      <c r="AA331" s="6">
        <v>0</v>
      </c>
      <c r="AB331" s="6">
        <v>0</v>
      </c>
      <c r="AC331" s="6">
        <v>96886.683053796994</v>
      </c>
      <c r="AD331" s="6">
        <v>248.20961788698099</v>
      </c>
      <c r="AE331" s="6">
        <v>0</v>
      </c>
      <c r="AF331" s="6">
        <v>0</v>
      </c>
      <c r="AG331" s="6">
        <v>0</v>
      </c>
      <c r="AH331" s="6">
        <v>0</v>
      </c>
      <c r="AI331" s="6">
        <v>0</v>
      </c>
      <c r="AJ331" s="6">
        <v>2744901.6906442</v>
      </c>
      <c r="AK331" s="6">
        <v>12549.761166854199</v>
      </c>
      <c r="AL331" s="6">
        <v>330.98244656580999</v>
      </c>
      <c r="AM331" s="6">
        <v>93035.839999999997</v>
      </c>
      <c r="AN331" s="6">
        <v>12549.761166854199</v>
      </c>
      <c r="AO331" s="6">
        <v>15526.4699568746</v>
      </c>
      <c r="AP331" s="6">
        <v>330.98244656580999</v>
      </c>
      <c r="AQ331" s="6">
        <v>93035.839999999997</v>
      </c>
      <c r="AR331" s="6">
        <v>12549.761166854199</v>
      </c>
      <c r="AS331" s="6">
        <v>12549.761166854199</v>
      </c>
      <c r="AT331" s="6">
        <v>0</v>
      </c>
      <c r="AU331" t="s">
        <v>2973</v>
      </c>
      <c r="AV331" t="s">
        <v>2973</v>
      </c>
    </row>
    <row r="332" spans="1:48" x14ac:dyDescent="0.45">
      <c r="A332" s="5" t="s">
        <v>680</v>
      </c>
      <c r="B332">
        <v>1998</v>
      </c>
      <c r="C332" t="s">
        <v>681</v>
      </c>
      <c r="D332">
        <v>302</v>
      </c>
      <c r="E332" t="s">
        <v>682</v>
      </c>
      <c r="F332" t="s">
        <v>3</v>
      </c>
      <c r="G332" t="s">
        <v>2748</v>
      </c>
      <c r="H332" t="s">
        <v>2741</v>
      </c>
      <c r="I332" t="s">
        <v>2742</v>
      </c>
      <c r="J332">
        <v>247.76158940394501</v>
      </c>
      <c r="K332">
        <v>1</v>
      </c>
      <c r="L332">
        <v>1</v>
      </c>
      <c r="M332">
        <v>1</v>
      </c>
      <c r="N332" s="6">
        <v>2073086.98</v>
      </c>
      <c r="O332" s="6">
        <v>582206.04</v>
      </c>
      <c r="P332" s="6">
        <v>1762020.81</v>
      </c>
      <c r="Q332" s="6">
        <v>417561.57</v>
      </c>
      <c r="R332" s="6">
        <v>343849.95</v>
      </c>
      <c r="S332" s="6">
        <v>101853.49</v>
      </c>
      <c r="T332" s="6">
        <v>3031430.88</v>
      </c>
      <c r="U332" s="6">
        <v>2147294.4700000002</v>
      </c>
      <c r="V332" s="6">
        <v>4191602.46</v>
      </c>
      <c r="W332" s="6">
        <v>982022.89</v>
      </c>
      <c r="X332" s="6">
        <v>0</v>
      </c>
      <c r="Y332" s="6">
        <v>0</v>
      </c>
      <c r="Z332" s="6">
        <v>0</v>
      </c>
      <c r="AA332" s="6">
        <v>0</v>
      </c>
      <c r="AB332" s="6">
        <v>5100</v>
      </c>
      <c r="AC332" s="6">
        <v>101853.49</v>
      </c>
      <c r="AD332" s="6">
        <v>0</v>
      </c>
      <c r="AE332" s="6">
        <v>0</v>
      </c>
      <c r="AF332" s="6">
        <v>0</v>
      </c>
      <c r="AG332" s="6">
        <v>0</v>
      </c>
      <c r="AH332" s="6">
        <v>0</v>
      </c>
      <c r="AI332" s="6">
        <v>0</v>
      </c>
      <c r="AJ332" s="6">
        <v>5280578.84</v>
      </c>
      <c r="AK332" s="6">
        <v>21313.1456441808</v>
      </c>
      <c r="AL332" s="6">
        <v>330.98244656580999</v>
      </c>
      <c r="AM332" s="6">
        <v>93035.839999999997</v>
      </c>
      <c r="AN332" s="6">
        <v>21313.1456441808</v>
      </c>
      <c r="AO332" s="6">
        <v>21313.1456441808</v>
      </c>
      <c r="AP332" s="6">
        <v>330.98244656580999</v>
      </c>
      <c r="AQ332" s="6">
        <v>56162.493707719797</v>
      </c>
      <c r="AR332" s="6">
        <v>21313.1456441808</v>
      </c>
      <c r="AS332" s="6">
        <v>21313.1456441808</v>
      </c>
      <c r="AT332" s="6">
        <v>0</v>
      </c>
      <c r="AU332" t="s">
        <v>2973</v>
      </c>
      <c r="AV332" t="s">
        <v>2973</v>
      </c>
    </row>
    <row r="333" spans="1:48" x14ac:dyDescent="0.45">
      <c r="A333" s="5" t="s">
        <v>683</v>
      </c>
      <c r="B333">
        <v>2221</v>
      </c>
      <c r="C333" t="s">
        <v>684</v>
      </c>
      <c r="D333">
        <v>1090</v>
      </c>
      <c r="E333" t="s">
        <v>685</v>
      </c>
      <c r="F333" t="s">
        <v>2739</v>
      </c>
      <c r="G333" t="s">
        <v>2740</v>
      </c>
      <c r="H333" t="s">
        <v>2741</v>
      </c>
      <c r="I333" t="s">
        <v>2742</v>
      </c>
      <c r="J333">
        <v>214.013422818777</v>
      </c>
      <c r="K333">
        <v>1</v>
      </c>
      <c r="L333">
        <v>1</v>
      </c>
      <c r="M333">
        <v>2</v>
      </c>
      <c r="N333" s="6">
        <v>1587577.6298947099</v>
      </c>
      <c r="O333" s="6">
        <v>248285.00362908799</v>
      </c>
      <c r="P333" s="6">
        <v>567524.66735754895</v>
      </c>
      <c r="Q333" s="6">
        <v>113801.35234807601</v>
      </c>
      <c r="R333" s="6">
        <v>175331.39641166199</v>
      </c>
      <c r="S333" s="6">
        <v>266659.60240598099</v>
      </c>
      <c r="T333" s="6">
        <v>1378001.15</v>
      </c>
      <c r="U333" s="6">
        <v>1314518.8996410901</v>
      </c>
      <c r="V333" s="6">
        <v>2192890.6067589</v>
      </c>
      <c r="W333" s="6">
        <v>499629.44288219302</v>
      </c>
      <c r="X333" s="6">
        <v>0</v>
      </c>
      <c r="Y333" s="6">
        <v>0</v>
      </c>
      <c r="Z333" s="6">
        <v>0</v>
      </c>
      <c r="AA333" s="6">
        <v>0</v>
      </c>
      <c r="AB333" s="6">
        <v>0</v>
      </c>
      <c r="AC333" s="6">
        <v>266537.72213800001</v>
      </c>
      <c r="AD333" s="6">
        <v>121.880267981001</v>
      </c>
      <c r="AE333" s="6">
        <v>0</v>
      </c>
      <c r="AF333" s="6">
        <v>0</v>
      </c>
      <c r="AG333" s="6">
        <v>0</v>
      </c>
      <c r="AH333" s="6">
        <v>0</v>
      </c>
      <c r="AI333" s="6">
        <v>0</v>
      </c>
      <c r="AJ333" s="6">
        <v>2959179.6520470702</v>
      </c>
      <c r="AK333" s="6">
        <v>13827.0750174061</v>
      </c>
      <c r="AL333" s="6">
        <v>330.98244656580999</v>
      </c>
      <c r="AM333" s="6">
        <v>93035.839999999997</v>
      </c>
      <c r="AN333" s="6">
        <v>13827.0750174061</v>
      </c>
      <c r="AO333" s="6">
        <v>15786.0440662867</v>
      </c>
      <c r="AP333" s="6">
        <v>330.98244656580999</v>
      </c>
      <c r="AQ333" s="6">
        <v>93035.839999999997</v>
      </c>
      <c r="AR333" s="6">
        <v>13827.0750174061</v>
      </c>
      <c r="AS333" s="6">
        <v>13827.0750174061</v>
      </c>
      <c r="AT333" s="6">
        <v>0</v>
      </c>
      <c r="AU333" t="s">
        <v>2973</v>
      </c>
      <c r="AV333" t="s">
        <v>2973</v>
      </c>
    </row>
    <row r="334" spans="1:48" x14ac:dyDescent="0.45">
      <c r="A334" s="5" t="s">
        <v>686</v>
      </c>
      <c r="B334">
        <v>2221</v>
      </c>
      <c r="C334" t="s">
        <v>684</v>
      </c>
      <c r="D334">
        <v>1091</v>
      </c>
      <c r="E334" t="s">
        <v>687</v>
      </c>
      <c r="F334" t="s">
        <v>2739</v>
      </c>
      <c r="G334" t="s">
        <v>2744</v>
      </c>
      <c r="H334" t="s">
        <v>2741</v>
      </c>
      <c r="I334" t="s">
        <v>2742</v>
      </c>
      <c r="J334">
        <v>215.08360002643801</v>
      </c>
      <c r="K334">
        <v>1</v>
      </c>
      <c r="L334">
        <v>1</v>
      </c>
      <c r="M334">
        <v>2</v>
      </c>
      <c r="N334" s="6">
        <v>1671974.2101052899</v>
      </c>
      <c r="O334" s="6">
        <v>532410.79637091199</v>
      </c>
      <c r="P334" s="6">
        <v>570362.58264245</v>
      </c>
      <c r="Q334" s="6">
        <v>114370.417651924</v>
      </c>
      <c r="R334" s="6">
        <v>238208.14358833799</v>
      </c>
      <c r="S334" s="6">
        <v>267993.03759401903</v>
      </c>
      <c r="T334" s="6">
        <v>1806233.98</v>
      </c>
      <c r="U334" s="6">
        <v>1321092.17035891</v>
      </c>
      <c r="V334" s="6">
        <v>2625198.3032411002</v>
      </c>
      <c r="W334" s="6">
        <v>502127.84711780702</v>
      </c>
      <c r="X334" s="6">
        <v>0</v>
      </c>
      <c r="Y334" s="6">
        <v>0</v>
      </c>
      <c r="Z334" s="6">
        <v>0</v>
      </c>
      <c r="AA334" s="6">
        <v>0</v>
      </c>
      <c r="AB334" s="6">
        <v>0</v>
      </c>
      <c r="AC334" s="6">
        <v>267870.54786199902</v>
      </c>
      <c r="AD334" s="6">
        <v>122.48973201899901</v>
      </c>
      <c r="AE334" s="6">
        <v>0</v>
      </c>
      <c r="AF334" s="6">
        <v>0</v>
      </c>
      <c r="AG334" s="6">
        <v>0</v>
      </c>
      <c r="AH334" s="6">
        <v>0</v>
      </c>
      <c r="AI334" s="6">
        <v>0</v>
      </c>
      <c r="AJ334" s="6">
        <v>3395319.1879529301</v>
      </c>
      <c r="AK334" s="6">
        <v>15786.0440662867</v>
      </c>
      <c r="AL334" s="6">
        <v>330.98244656580999</v>
      </c>
      <c r="AM334" s="6">
        <v>93035.839999999997</v>
      </c>
      <c r="AN334" s="6">
        <v>13827.0750174061</v>
      </c>
      <c r="AO334" s="6">
        <v>15786.0440662867</v>
      </c>
      <c r="AP334" s="6">
        <v>330.98244656580999</v>
      </c>
      <c r="AQ334" s="6">
        <v>40734.411818744898</v>
      </c>
      <c r="AR334" s="6">
        <v>15786.0440662867</v>
      </c>
      <c r="AS334" s="6">
        <v>15786.0440662867</v>
      </c>
      <c r="AT334" s="6">
        <v>0</v>
      </c>
      <c r="AU334" t="s">
        <v>2973</v>
      </c>
      <c r="AV334" t="s">
        <v>2973</v>
      </c>
    </row>
    <row r="335" spans="1:48" x14ac:dyDescent="0.45">
      <c r="A335" s="5" t="s">
        <v>688</v>
      </c>
      <c r="B335">
        <v>1930</v>
      </c>
      <c r="C335" t="s">
        <v>689</v>
      </c>
      <c r="D335">
        <v>131</v>
      </c>
      <c r="E335" t="s">
        <v>690</v>
      </c>
      <c r="F335" t="s">
        <v>2739</v>
      </c>
      <c r="G335" t="s">
        <v>2740</v>
      </c>
      <c r="H335" t="s">
        <v>2745</v>
      </c>
      <c r="I335" t="s">
        <v>2742</v>
      </c>
      <c r="J335">
        <v>410.93356956100303</v>
      </c>
      <c r="K335">
        <v>1</v>
      </c>
      <c r="L335">
        <v>1</v>
      </c>
      <c r="M335">
        <v>1</v>
      </c>
      <c r="N335" s="6">
        <v>2618400.5819951198</v>
      </c>
      <c r="O335" s="6">
        <v>572552.313819804</v>
      </c>
      <c r="P335" s="6">
        <v>902947.05937698996</v>
      </c>
      <c r="Q335" s="6">
        <v>231657.430556329</v>
      </c>
      <c r="R335" s="6">
        <v>277576.19217856502</v>
      </c>
      <c r="S335" s="6">
        <v>150703.345462436</v>
      </c>
      <c r="T335" s="6">
        <v>2983995.95</v>
      </c>
      <c r="U335" s="6">
        <v>1619137.6279267999</v>
      </c>
      <c r="V335" s="6">
        <v>4188137.1250178898</v>
      </c>
      <c r="W335" s="6">
        <v>414996.45290891599</v>
      </c>
      <c r="X335" s="6">
        <v>0</v>
      </c>
      <c r="Y335" s="6">
        <v>0</v>
      </c>
      <c r="Z335" s="6">
        <v>0</v>
      </c>
      <c r="AA335" s="6">
        <v>0</v>
      </c>
      <c r="AB335" s="6">
        <v>0</v>
      </c>
      <c r="AC335" s="6">
        <v>143116.78567687501</v>
      </c>
      <c r="AD335" s="6">
        <v>7586.5597855616097</v>
      </c>
      <c r="AE335" s="6">
        <v>0</v>
      </c>
      <c r="AF335" s="6">
        <v>0</v>
      </c>
      <c r="AG335" s="6">
        <v>0</v>
      </c>
      <c r="AH335" s="6">
        <v>0</v>
      </c>
      <c r="AI335" s="6">
        <v>0</v>
      </c>
      <c r="AJ335" s="6">
        <v>4753836.9233892402</v>
      </c>
      <c r="AK335" s="6">
        <v>11568.3830076665</v>
      </c>
      <c r="AL335" s="6">
        <v>330.98244656580999</v>
      </c>
      <c r="AM335" s="6">
        <v>93035.839999999997</v>
      </c>
      <c r="AN335" s="6">
        <v>4306.8785431181605</v>
      </c>
      <c r="AO335" s="6">
        <v>14554.0676185144</v>
      </c>
      <c r="AP335" s="6">
        <v>330.98244656580999</v>
      </c>
      <c r="AQ335" s="6">
        <v>93035.839999999997</v>
      </c>
      <c r="AR335" s="6">
        <v>10703.8588760814</v>
      </c>
      <c r="AS335" s="6">
        <v>11568.3830076665</v>
      </c>
      <c r="AT335" s="6">
        <v>0</v>
      </c>
      <c r="AU335" t="s">
        <v>2973</v>
      </c>
      <c r="AV335" t="s">
        <v>2973</v>
      </c>
    </row>
    <row r="336" spans="1:48" x14ac:dyDescent="0.45">
      <c r="A336" s="5" t="s">
        <v>691</v>
      </c>
      <c r="B336">
        <v>1930</v>
      </c>
      <c r="C336" t="s">
        <v>689</v>
      </c>
      <c r="D336">
        <v>135</v>
      </c>
      <c r="E336" t="s">
        <v>692</v>
      </c>
      <c r="F336" t="s">
        <v>2739</v>
      </c>
      <c r="G336" t="s">
        <v>2744</v>
      </c>
      <c r="H336" t="s">
        <v>2745</v>
      </c>
      <c r="I336" t="s">
        <v>2742</v>
      </c>
      <c r="J336">
        <v>468.57982951918302</v>
      </c>
      <c r="K336">
        <v>1</v>
      </c>
      <c r="L336">
        <v>1</v>
      </c>
      <c r="M336">
        <v>1</v>
      </c>
      <c r="N336" s="6">
        <v>3400693.0283244099</v>
      </c>
      <c r="O336" s="6">
        <v>1455035.0426465201</v>
      </c>
      <c r="P336" s="6">
        <v>1201952.7653491001</v>
      </c>
      <c r="Q336" s="6">
        <v>273702.57611690601</v>
      </c>
      <c r="R336" s="6">
        <v>316514.91735894303</v>
      </c>
      <c r="S336" s="6">
        <v>171844.19369826201</v>
      </c>
      <c r="T336" s="6">
        <v>4801626.1100000003</v>
      </c>
      <c r="U336" s="6">
        <v>1846272.2197958799</v>
      </c>
      <c r="V336" s="6">
        <v>4942191.0946010798</v>
      </c>
      <c r="W336" s="6">
        <v>1705707.2351948</v>
      </c>
      <c r="X336" s="6">
        <v>0</v>
      </c>
      <c r="Y336" s="6">
        <v>0</v>
      </c>
      <c r="Z336" s="6">
        <v>0</v>
      </c>
      <c r="AA336" s="6">
        <v>0</v>
      </c>
      <c r="AB336" s="6">
        <v>0</v>
      </c>
      <c r="AC336" s="6">
        <v>163193.38209688</v>
      </c>
      <c r="AD336" s="6">
        <v>8650.8116013817798</v>
      </c>
      <c r="AE336" s="6">
        <v>0</v>
      </c>
      <c r="AF336" s="6">
        <v>0</v>
      </c>
      <c r="AG336" s="6">
        <v>0</v>
      </c>
      <c r="AH336" s="6">
        <v>0</v>
      </c>
      <c r="AI336" s="6">
        <v>0</v>
      </c>
      <c r="AJ336" s="6">
        <v>6819742.5234941402</v>
      </c>
      <c r="AK336" s="6">
        <v>14554.0676185144</v>
      </c>
      <c r="AL336" s="6">
        <v>330.98244656580999</v>
      </c>
      <c r="AM336" s="6">
        <v>93035.839999999997</v>
      </c>
      <c r="AN336" s="6">
        <v>4306.8785431181605</v>
      </c>
      <c r="AO336" s="6">
        <v>14554.0676185144</v>
      </c>
      <c r="AP336" s="6">
        <v>330.98244656580999</v>
      </c>
      <c r="AQ336" s="6">
        <v>40734.411818744898</v>
      </c>
      <c r="AR336" s="6">
        <v>4306.8785431181605</v>
      </c>
      <c r="AS336" s="6">
        <v>14554.0676185144</v>
      </c>
      <c r="AT336" s="6">
        <v>0</v>
      </c>
      <c r="AU336" t="s">
        <v>2973</v>
      </c>
      <c r="AV336" t="s">
        <v>2973</v>
      </c>
    </row>
    <row r="337" spans="1:48" x14ac:dyDescent="0.45">
      <c r="A337" s="5" t="s">
        <v>693</v>
      </c>
      <c r="B337">
        <v>1930</v>
      </c>
      <c r="C337" t="s">
        <v>689</v>
      </c>
      <c r="D337">
        <v>134</v>
      </c>
      <c r="E337" t="s">
        <v>694</v>
      </c>
      <c r="F337" t="s">
        <v>2739</v>
      </c>
      <c r="G337" t="s">
        <v>2747</v>
      </c>
      <c r="H337" t="s">
        <v>2745</v>
      </c>
      <c r="I337" t="s">
        <v>2742</v>
      </c>
      <c r="J337">
        <v>404.15550095273699</v>
      </c>
      <c r="K337">
        <v>1</v>
      </c>
      <c r="L337">
        <v>1</v>
      </c>
      <c r="M337">
        <v>1</v>
      </c>
      <c r="N337" s="6">
        <v>1924336.4984062901</v>
      </c>
      <c r="O337" s="6">
        <v>756450.97396840097</v>
      </c>
      <c r="P337" s="6">
        <v>926815.60419180698</v>
      </c>
      <c r="Q337" s="6">
        <v>227836.39943540399</v>
      </c>
      <c r="R337" s="6">
        <v>272997.76244205702</v>
      </c>
      <c r="S337" s="6">
        <v>148217.59669255401</v>
      </c>
      <c r="T337" s="6">
        <v>2516006.1800000002</v>
      </c>
      <c r="U337" s="6">
        <v>1592431.05844396</v>
      </c>
      <c r="V337" s="6">
        <v>3674896.60379154</v>
      </c>
      <c r="W337" s="6">
        <v>433540.63465242402</v>
      </c>
      <c r="X337" s="6">
        <v>0</v>
      </c>
      <c r="Y337" s="6">
        <v>0</v>
      </c>
      <c r="Z337" s="6">
        <v>0</v>
      </c>
      <c r="AA337" s="6">
        <v>0</v>
      </c>
      <c r="AB337" s="6">
        <v>0</v>
      </c>
      <c r="AC337" s="6">
        <v>140756.17202988401</v>
      </c>
      <c r="AD337" s="6">
        <v>7461.4246626701397</v>
      </c>
      <c r="AE337" s="6">
        <v>0</v>
      </c>
      <c r="AF337" s="6">
        <v>0</v>
      </c>
      <c r="AG337" s="6">
        <v>0</v>
      </c>
      <c r="AH337" s="6">
        <v>0</v>
      </c>
      <c r="AI337" s="6">
        <v>0</v>
      </c>
      <c r="AJ337" s="6">
        <v>4256654.8351365197</v>
      </c>
      <c r="AK337" s="6">
        <v>10532.220457477601</v>
      </c>
      <c r="AL337" s="6">
        <v>330.98244656580999</v>
      </c>
      <c r="AM337" s="6">
        <v>93035.839999999997</v>
      </c>
      <c r="AN337" s="6">
        <v>4306.8785431181605</v>
      </c>
      <c r="AO337" s="6">
        <v>14554.0676185144</v>
      </c>
      <c r="AP337" s="6">
        <v>3753.1860850462999</v>
      </c>
      <c r="AQ337" s="6">
        <v>20687.885194392002</v>
      </c>
      <c r="AR337" s="6">
        <v>10532.220457477601</v>
      </c>
      <c r="AS337" s="6">
        <v>10532.220457477601</v>
      </c>
      <c r="AT337" s="6">
        <v>0</v>
      </c>
      <c r="AU337" t="s">
        <v>2973</v>
      </c>
      <c r="AV337" t="s">
        <v>2973</v>
      </c>
    </row>
    <row r="338" spans="1:48" x14ac:dyDescent="0.45">
      <c r="A338" s="5" t="s">
        <v>695</v>
      </c>
      <c r="B338">
        <v>1930</v>
      </c>
      <c r="C338" t="s">
        <v>689</v>
      </c>
      <c r="D338">
        <v>1930</v>
      </c>
      <c r="E338" t="s">
        <v>689</v>
      </c>
      <c r="F338" t="s">
        <v>1</v>
      </c>
      <c r="G338" t="s">
        <v>1</v>
      </c>
      <c r="H338" t="s">
        <v>2743</v>
      </c>
      <c r="I338" t="s">
        <v>2742</v>
      </c>
      <c r="J338">
        <v>25.404324166542999</v>
      </c>
      <c r="K338">
        <v>1</v>
      </c>
      <c r="L338">
        <v>1</v>
      </c>
      <c r="M338">
        <v>1</v>
      </c>
      <c r="N338" s="6">
        <v>27284.9859009418</v>
      </c>
      <c r="O338" s="6">
        <v>11937.6996124623</v>
      </c>
      <c r="P338" s="6">
        <v>29392.6898908531</v>
      </c>
      <c r="Q338" s="6">
        <v>14321.2939934024</v>
      </c>
      <c r="R338" s="6">
        <v>17160.037751484098</v>
      </c>
      <c r="S338" s="6">
        <v>9316.6315061585901</v>
      </c>
      <c r="T338" s="6">
        <v>0</v>
      </c>
      <c r="U338" s="6">
        <v>100096.707149144</v>
      </c>
      <c r="V338" s="6">
        <v>84829.986313319707</v>
      </c>
      <c r="W338" s="6">
        <v>15266.720835824</v>
      </c>
      <c r="X338" s="6">
        <v>0</v>
      </c>
      <c r="Y338" s="6">
        <v>0</v>
      </c>
      <c r="Z338" s="6">
        <v>0</v>
      </c>
      <c r="AA338" s="6">
        <v>0</v>
      </c>
      <c r="AB338" s="6">
        <v>0</v>
      </c>
      <c r="AC338" s="6">
        <v>8847.6227943437807</v>
      </c>
      <c r="AD338" s="6">
        <v>469.00871181480602</v>
      </c>
      <c r="AE338" s="6">
        <v>0</v>
      </c>
      <c r="AF338" s="6">
        <v>0</v>
      </c>
      <c r="AG338" s="6">
        <v>0</v>
      </c>
      <c r="AH338" s="6">
        <v>0</v>
      </c>
      <c r="AI338" s="6">
        <v>0</v>
      </c>
      <c r="AJ338" s="6">
        <v>109413.338655302</v>
      </c>
      <c r="AK338" s="6">
        <v>4306.8785431181695</v>
      </c>
      <c r="AL338" s="6">
        <v>330.98244656580999</v>
      </c>
      <c r="AM338" s="6">
        <v>93035.839999999997</v>
      </c>
      <c r="AN338" s="6">
        <v>4306.8785431181605</v>
      </c>
      <c r="AO338" s="6">
        <v>14554.0676185144</v>
      </c>
      <c r="AP338" s="6">
        <v>634.54287297753501</v>
      </c>
      <c r="AQ338" s="6">
        <v>40331.279999999999</v>
      </c>
      <c r="AR338" s="6">
        <v>4306.8785431181695</v>
      </c>
      <c r="AS338" s="6">
        <v>4306.8785431181695</v>
      </c>
      <c r="AT338" s="6">
        <v>0</v>
      </c>
      <c r="AU338" t="s">
        <v>2973</v>
      </c>
      <c r="AV338" t="s">
        <v>2977</v>
      </c>
    </row>
    <row r="339" spans="1:48" x14ac:dyDescent="0.45">
      <c r="A339" s="5" t="s">
        <v>696</v>
      </c>
      <c r="B339">
        <v>1930</v>
      </c>
      <c r="C339" t="s">
        <v>689</v>
      </c>
      <c r="D339">
        <v>132</v>
      </c>
      <c r="E339" t="s">
        <v>697</v>
      </c>
      <c r="F339" t="s">
        <v>2739</v>
      </c>
      <c r="G339" t="s">
        <v>2740</v>
      </c>
      <c r="H339" t="s">
        <v>2745</v>
      </c>
      <c r="I339" t="s">
        <v>2742</v>
      </c>
      <c r="J339">
        <v>395.81099490845497</v>
      </c>
      <c r="K339">
        <v>2</v>
      </c>
      <c r="L339">
        <v>1</v>
      </c>
      <c r="M339">
        <v>1</v>
      </c>
      <c r="N339" s="6">
        <v>2157949.8352749301</v>
      </c>
      <c r="O339" s="6">
        <v>564706.782359801</v>
      </c>
      <c r="P339" s="6">
        <v>878397.47787123604</v>
      </c>
      <c r="Q339" s="6">
        <v>223132.313488994</v>
      </c>
      <c r="R339" s="6">
        <v>267361.24017920799</v>
      </c>
      <c r="S339" s="6">
        <v>145157.38192731101</v>
      </c>
      <c r="T339" s="6">
        <v>2531995.15</v>
      </c>
      <c r="U339" s="6">
        <v>1559552.49917417</v>
      </c>
      <c r="V339" s="6">
        <v>3686041.8128761798</v>
      </c>
      <c r="W339" s="6">
        <v>405505.83629798499</v>
      </c>
      <c r="X339" s="6">
        <v>0</v>
      </c>
      <c r="Y339" s="6">
        <v>0</v>
      </c>
      <c r="Z339" s="6">
        <v>0</v>
      </c>
      <c r="AA339" s="6">
        <v>0</v>
      </c>
      <c r="AB339" s="6">
        <v>0</v>
      </c>
      <c r="AC339" s="6">
        <v>137850.01159038799</v>
      </c>
      <c r="AD339" s="6">
        <v>7307.3703369221703</v>
      </c>
      <c r="AE339" s="6">
        <v>0</v>
      </c>
      <c r="AF339" s="6">
        <v>0</v>
      </c>
      <c r="AG339" s="6">
        <v>0</v>
      </c>
      <c r="AH339" s="6">
        <v>0</v>
      </c>
      <c r="AI339" s="6">
        <v>0</v>
      </c>
      <c r="AJ339" s="6">
        <v>4236705.0311014801</v>
      </c>
      <c r="AK339" s="6">
        <v>10703.8588760814</v>
      </c>
      <c r="AL339" s="6">
        <v>330.98244656580999</v>
      </c>
      <c r="AM339" s="6">
        <v>93035.839999999997</v>
      </c>
      <c r="AN339" s="6">
        <v>4306.8785431181605</v>
      </c>
      <c r="AO339" s="6">
        <v>14554.0676185144</v>
      </c>
      <c r="AP339" s="6">
        <v>330.98244656580999</v>
      </c>
      <c r="AQ339" s="6">
        <v>93035.839999999997</v>
      </c>
      <c r="AR339" s="6">
        <v>10703.8588760814</v>
      </c>
      <c r="AS339" s="6">
        <v>11568.3830076665</v>
      </c>
      <c r="AT339" s="6">
        <v>0</v>
      </c>
      <c r="AU339" t="s">
        <v>2973</v>
      </c>
      <c r="AV339" t="s">
        <v>2973</v>
      </c>
    </row>
    <row r="340" spans="1:48" x14ac:dyDescent="0.45">
      <c r="A340" s="5" t="s">
        <v>698</v>
      </c>
      <c r="B340">
        <v>1930</v>
      </c>
      <c r="C340" t="s">
        <v>689</v>
      </c>
      <c r="D340">
        <v>4760</v>
      </c>
      <c r="E340" t="s">
        <v>699</v>
      </c>
      <c r="F340" t="s">
        <v>3</v>
      </c>
      <c r="G340" t="s">
        <v>2744</v>
      </c>
      <c r="H340" t="s">
        <v>2745</v>
      </c>
      <c r="I340" t="s">
        <v>2742</v>
      </c>
      <c r="J340">
        <v>166.33707865153599</v>
      </c>
      <c r="K340">
        <v>1</v>
      </c>
      <c r="L340">
        <v>1</v>
      </c>
      <c r="M340">
        <v>1</v>
      </c>
      <c r="N340" s="6">
        <v>178650.87912033999</v>
      </c>
      <c r="O340" s="6">
        <v>78163.153104921206</v>
      </c>
      <c r="P340" s="6">
        <v>192451.259010223</v>
      </c>
      <c r="Q340" s="6">
        <v>93769.949940632898</v>
      </c>
      <c r="R340" s="6">
        <v>112356.877924391</v>
      </c>
      <c r="S340" s="6">
        <v>61001.475868750102</v>
      </c>
      <c r="T340" s="6">
        <v>0</v>
      </c>
      <c r="U340" s="6">
        <v>655392.11910050805</v>
      </c>
      <c r="V340" s="6">
        <v>555431.90257312404</v>
      </c>
      <c r="W340" s="6">
        <v>99960.2165273844</v>
      </c>
      <c r="X340" s="6">
        <v>0</v>
      </c>
      <c r="Y340" s="6">
        <v>0</v>
      </c>
      <c r="Z340" s="6">
        <v>0</v>
      </c>
      <c r="AA340" s="6">
        <v>0</v>
      </c>
      <c r="AB340" s="6">
        <v>0</v>
      </c>
      <c r="AC340" s="6">
        <v>57930.599490620101</v>
      </c>
      <c r="AD340" s="6">
        <v>3070.8763781300399</v>
      </c>
      <c r="AE340" s="6">
        <v>0</v>
      </c>
      <c r="AF340" s="6">
        <v>0</v>
      </c>
      <c r="AG340" s="6">
        <v>0</v>
      </c>
      <c r="AH340" s="6">
        <v>0</v>
      </c>
      <c r="AI340" s="6">
        <v>0</v>
      </c>
      <c r="AJ340" s="6">
        <v>716393.59496925795</v>
      </c>
      <c r="AK340" s="6">
        <v>4306.8785431181605</v>
      </c>
      <c r="AL340" s="6">
        <v>330.98244656580999</v>
      </c>
      <c r="AM340" s="6">
        <v>93035.839999999997</v>
      </c>
      <c r="AN340" s="6">
        <v>4306.8785431181605</v>
      </c>
      <c r="AO340" s="6">
        <v>14554.0676185144</v>
      </c>
      <c r="AP340" s="6">
        <v>330.98244656580999</v>
      </c>
      <c r="AQ340" s="6">
        <v>40734.411818744898</v>
      </c>
      <c r="AR340" s="6">
        <v>4306.8785431181605</v>
      </c>
      <c r="AS340" s="6">
        <v>14554.0676185144</v>
      </c>
      <c r="AT340" s="6">
        <v>0</v>
      </c>
      <c r="AU340" t="s">
        <v>2973</v>
      </c>
      <c r="AV340" t="s">
        <v>2976</v>
      </c>
    </row>
    <row r="341" spans="1:48" x14ac:dyDescent="0.45">
      <c r="A341" s="5" t="s">
        <v>700</v>
      </c>
      <c r="B341">
        <v>1930</v>
      </c>
      <c r="C341" t="s">
        <v>689</v>
      </c>
      <c r="D341">
        <v>4670</v>
      </c>
      <c r="E341" t="s">
        <v>701</v>
      </c>
      <c r="F341" t="s">
        <v>3</v>
      </c>
      <c r="G341" t="s">
        <v>2748</v>
      </c>
      <c r="H341" t="s">
        <v>2749</v>
      </c>
      <c r="I341" t="s">
        <v>2742</v>
      </c>
      <c r="J341">
        <v>1103.6835531035499</v>
      </c>
      <c r="K341">
        <v>1</v>
      </c>
      <c r="L341">
        <v>1</v>
      </c>
      <c r="M341">
        <v>1</v>
      </c>
      <c r="N341" s="6">
        <v>1185388.3609779801</v>
      </c>
      <c r="O341" s="6">
        <v>518629.92448809301</v>
      </c>
      <c r="P341" s="6">
        <v>1276956.9543097999</v>
      </c>
      <c r="Q341" s="6">
        <v>622184.49646833295</v>
      </c>
      <c r="R341" s="6">
        <v>745512.90216535504</v>
      </c>
      <c r="S341" s="6">
        <v>404758.37484453002</v>
      </c>
      <c r="T341" s="6">
        <v>0</v>
      </c>
      <c r="U341" s="6">
        <v>4348672.6384095596</v>
      </c>
      <c r="V341" s="6">
        <v>3685414.3448268902</v>
      </c>
      <c r="W341" s="6">
        <v>663258.29358266597</v>
      </c>
      <c r="X341" s="6">
        <v>0</v>
      </c>
      <c r="Y341" s="6">
        <v>0</v>
      </c>
      <c r="Z341" s="6">
        <v>0</v>
      </c>
      <c r="AA341" s="6">
        <v>0</v>
      </c>
      <c r="AB341" s="6">
        <v>0</v>
      </c>
      <c r="AC341" s="6">
        <v>384382.42632100999</v>
      </c>
      <c r="AD341" s="6">
        <v>20375.948523519499</v>
      </c>
      <c r="AE341" s="6">
        <v>0</v>
      </c>
      <c r="AF341" s="6">
        <v>0</v>
      </c>
      <c r="AG341" s="6">
        <v>0</v>
      </c>
      <c r="AH341" s="6">
        <v>0</v>
      </c>
      <c r="AI341" s="6">
        <v>0</v>
      </c>
      <c r="AJ341" s="6">
        <v>4753431.0132540902</v>
      </c>
      <c r="AK341" s="6">
        <v>4306.8785431181695</v>
      </c>
      <c r="AL341" s="6">
        <v>330.98244656580999</v>
      </c>
      <c r="AM341" s="6">
        <v>93035.839999999997</v>
      </c>
      <c r="AN341" s="6">
        <v>4306.8785431181605</v>
      </c>
      <c r="AO341" s="6">
        <v>14554.0676185144</v>
      </c>
      <c r="AP341" s="6">
        <v>330.98244656580999</v>
      </c>
      <c r="AQ341" s="6">
        <v>56162.493707719797</v>
      </c>
      <c r="AR341" s="6">
        <v>4306.8785431181695</v>
      </c>
      <c r="AS341" s="6">
        <v>4306.8785431181695</v>
      </c>
      <c r="AT341" s="6">
        <v>0</v>
      </c>
      <c r="AU341" t="s">
        <v>2973</v>
      </c>
      <c r="AV341" t="s">
        <v>2976</v>
      </c>
    </row>
    <row r="342" spans="1:48" x14ac:dyDescent="0.45">
      <c r="A342" s="5" t="s">
        <v>702</v>
      </c>
      <c r="B342">
        <v>2082</v>
      </c>
      <c r="C342" t="s">
        <v>703</v>
      </c>
      <c r="D342">
        <v>503</v>
      </c>
      <c r="E342" t="s">
        <v>482</v>
      </c>
      <c r="F342" t="s">
        <v>2739</v>
      </c>
      <c r="G342" t="s">
        <v>2740</v>
      </c>
      <c r="H342" t="s">
        <v>2741</v>
      </c>
      <c r="I342" t="s">
        <v>2742</v>
      </c>
      <c r="J342">
        <v>462.13592074276301</v>
      </c>
      <c r="K342">
        <v>1</v>
      </c>
      <c r="L342">
        <v>1</v>
      </c>
      <c r="M342">
        <v>2</v>
      </c>
      <c r="N342" s="6">
        <v>3056353.6390555101</v>
      </c>
      <c r="O342" s="6">
        <v>1092691.88503811</v>
      </c>
      <c r="P342" s="6">
        <v>964350.83690611995</v>
      </c>
      <c r="Q342" s="6">
        <v>200094.04296259</v>
      </c>
      <c r="R342" s="6">
        <v>1088420.1575144499</v>
      </c>
      <c r="S342" s="6">
        <v>207548.14181080999</v>
      </c>
      <c r="T342" s="6">
        <v>2932329.1</v>
      </c>
      <c r="U342" s="6">
        <v>3469581.46147678</v>
      </c>
      <c r="V342" s="6">
        <v>4871661.9918436697</v>
      </c>
      <c r="W342" s="6">
        <v>591904.59372967598</v>
      </c>
      <c r="X342" s="6">
        <v>0</v>
      </c>
      <c r="Y342" s="6">
        <v>0</v>
      </c>
      <c r="Z342" s="6">
        <v>0</v>
      </c>
      <c r="AA342" s="6">
        <v>938343.97590343805</v>
      </c>
      <c r="AB342" s="6">
        <v>0</v>
      </c>
      <c r="AC342" s="6">
        <v>171373.137532733</v>
      </c>
      <c r="AD342" s="6">
        <v>36175.004278076602</v>
      </c>
      <c r="AE342" s="6">
        <v>0</v>
      </c>
      <c r="AF342" s="6">
        <v>0</v>
      </c>
      <c r="AG342" s="6">
        <v>0</v>
      </c>
      <c r="AH342" s="6">
        <v>0</v>
      </c>
      <c r="AI342" s="6">
        <v>0</v>
      </c>
      <c r="AJ342" s="6">
        <v>6609458.7032875903</v>
      </c>
      <c r="AK342" s="6">
        <v>14301.980016322101</v>
      </c>
      <c r="AL342" s="6">
        <v>330.98244656580999</v>
      </c>
      <c r="AM342" s="6">
        <v>93035.839999999997</v>
      </c>
      <c r="AN342" s="6">
        <v>7956.8140848639496</v>
      </c>
      <c r="AO342" s="6">
        <v>19398.220093063599</v>
      </c>
      <c r="AP342" s="6">
        <v>330.98244656580999</v>
      </c>
      <c r="AQ342" s="6">
        <v>93035.839999999997</v>
      </c>
      <c r="AR342" s="6">
        <v>7975.4133215255497</v>
      </c>
      <c r="AS342" s="6">
        <v>16833.049324641801</v>
      </c>
      <c r="AT342" s="6">
        <v>0</v>
      </c>
      <c r="AU342" t="s">
        <v>2973</v>
      </c>
      <c r="AV342" t="s">
        <v>2973</v>
      </c>
    </row>
    <row r="343" spans="1:48" x14ac:dyDescent="0.45">
      <c r="A343" s="5" t="s">
        <v>704</v>
      </c>
      <c r="B343">
        <v>2082</v>
      </c>
      <c r="C343" t="s">
        <v>703</v>
      </c>
      <c r="D343">
        <v>4554</v>
      </c>
      <c r="E343" t="s">
        <v>705</v>
      </c>
      <c r="F343" t="s">
        <v>2739</v>
      </c>
      <c r="G343" t="s">
        <v>2747</v>
      </c>
      <c r="H343" t="s">
        <v>2745</v>
      </c>
      <c r="I343" t="s">
        <v>2742</v>
      </c>
      <c r="J343">
        <v>422.32385631088499</v>
      </c>
      <c r="K343">
        <v>1</v>
      </c>
      <c r="L343">
        <v>1</v>
      </c>
      <c r="M343">
        <v>2</v>
      </c>
      <c r="N343" s="6">
        <v>2842113.99086317</v>
      </c>
      <c r="O343" s="6">
        <v>1168425.23321522</v>
      </c>
      <c r="P343" s="6">
        <v>1005884.54963175</v>
      </c>
      <c r="Q343" s="6">
        <v>185244.44376246701</v>
      </c>
      <c r="R343" s="6">
        <v>994654.98693373997</v>
      </c>
      <c r="S343" s="6">
        <v>189668.293862163</v>
      </c>
      <c r="T343" s="6">
        <v>3025639.09</v>
      </c>
      <c r="U343" s="6">
        <v>3170684.1144063501</v>
      </c>
      <c r="V343" s="6">
        <v>4528324.0655180002</v>
      </c>
      <c r="W343" s="6">
        <v>810491.57744905597</v>
      </c>
      <c r="X343" s="6">
        <v>0</v>
      </c>
      <c r="Y343" s="6">
        <v>0</v>
      </c>
      <c r="Z343" s="6">
        <v>0</v>
      </c>
      <c r="AA343" s="6">
        <v>857507.56143929099</v>
      </c>
      <c r="AB343" s="6">
        <v>0</v>
      </c>
      <c r="AC343" s="6">
        <v>156609.69221911099</v>
      </c>
      <c r="AD343" s="6">
        <v>33058.601643052098</v>
      </c>
      <c r="AE343" s="6">
        <v>0</v>
      </c>
      <c r="AF343" s="6">
        <v>0</v>
      </c>
      <c r="AG343" s="6">
        <v>0</v>
      </c>
      <c r="AH343" s="6">
        <v>0</v>
      </c>
      <c r="AI343" s="6">
        <v>0</v>
      </c>
      <c r="AJ343" s="6">
        <v>6385991.4982685102</v>
      </c>
      <c r="AK343" s="6">
        <v>15121.0768770012</v>
      </c>
      <c r="AL343" s="6">
        <v>330.98244656580999</v>
      </c>
      <c r="AM343" s="6">
        <v>93035.839999999997</v>
      </c>
      <c r="AN343" s="6">
        <v>7956.8140848639496</v>
      </c>
      <c r="AO343" s="6">
        <v>19398.220093063599</v>
      </c>
      <c r="AP343" s="6">
        <v>3753.1860850462999</v>
      </c>
      <c r="AQ343" s="6">
        <v>20687.885194392002</v>
      </c>
      <c r="AR343" s="6">
        <v>13831.6915874156</v>
      </c>
      <c r="AS343" s="6">
        <v>15798.646368121201</v>
      </c>
      <c r="AT343" s="6">
        <v>0</v>
      </c>
      <c r="AU343" t="s">
        <v>2973</v>
      </c>
      <c r="AV343" t="s">
        <v>2973</v>
      </c>
    </row>
    <row r="344" spans="1:48" x14ac:dyDescent="0.45">
      <c r="A344" s="5" t="s">
        <v>706</v>
      </c>
      <c r="B344">
        <v>2082</v>
      </c>
      <c r="C344" t="s">
        <v>703</v>
      </c>
      <c r="D344">
        <v>504</v>
      </c>
      <c r="E344" t="s">
        <v>707</v>
      </c>
      <c r="F344" t="s">
        <v>2739</v>
      </c>
      <c r="G344" t="s">
        <v>2740</v>
      </c>
      <c r="H344" t="s">
        <v>2741</v>
      </c>
      <c r="I344" t="s">
        <v>2742</v>
      </c>
      <c r="J344">
        <v>452.68625144383401</v>
      </c>
      <c r="K344">
        <v>1</v>
      </c>
      <c r="L344">
        <v>1</v>
      </c>
      <c r="M344">
        <v>2</v>
      </c>
      <c r="N344" s="6">
        <v>3061325.6262840298</v>
      </c>
      <c r="O344" s="6">
        <v>1015984.39654962</v>
      </c>
      <c r="P344" s="6">
        <v>983762.56619563501</v>
      </c>
      <c r="Q344" s="6">
        <v>198095.181749101</v>
      </c>
      <c r="R344" s="6">
        <v>1066164.34470019</v>
      </c>
      <c r="S344" s="6">
        <v>203304.236033983</v>
      </c>
      <c r="T344" s="6">
        <v>2926696.01</v>
      </c>
      <c r="U344" s="6">
        <v>3398636.1054785801</v>
      </c>
      <c r="V344" s="6">
        <v>4621250.5613854704</v>
      </c>
      <c r="W344" s="6">
        <v>784924.66117313504</v>
      </c>
      <c r="X344" s="6">
        <v>0</v>
      </c>
      <c r="Y344" s="6">
        <v>0</v>
      </c>
      <c r="Z344" s="6">
        <v>0</v>
      </c>
      <c r="AA344" s="6">
        <v>919156.89291997696</v>
      </c>
      <c r="AB344" s="6">
        <v>0</v>
      </c>
      <c r="AC344" s="6">
        <v>167868.931510831</v>
      </c>
      <c r="AD344" s="6">
        <v>35435.304523152299</v>
      </c>
      <c r="AE344" s="6">
        <v>0</v>
      </c>
      <c r="AF344" s="6">
        <v>0</v>
      </c>
      <c r="AG344" s="6">
        <v>0</v>
      </c>
      <c r="AH344" s="6">
        <v>0</v>
      </c>
      <c r="AI344" s="6">
        <v>0</v>
      </c>
      <c r="AJ344" s="6">
        <v>6528636.3515125597</v>
      </c>
      <c r="AK344" s="6">
        <v>14421.9894699466</v>
      </c>
      <c r="AL344" s="6">
        <v>330.98244656580999</v>
      </c>
      <c r="AM344" s="6">
        <v>93035.839999999997</v>
      </c>
      <c r="AN344" s="6">
        <v>7956.8140848639496</v>
      </c>
      <c r="AO344" s="6">
        <v>19398.220093063599</v>
      </c>
      <c r="AP344" s="6">
        <v>330.98244656580999</v>
      </c>
      <c r="AQ344" s="6">
        <v>93035.839999999997</v>
      </c>
      <c r="AR344" s="6">
        <v>7975.4133215255497</v>
      </c>
      <c r="AS344" s="6">
        <v>16833.049324641801</v>
      </c>
      <c r="AT344" s="6">
        <v>0</v>
      </c>
      <c r="AU344" t="s">
        <v>2973</v>
      </c>
      <c r="AV344" t="s">
        <v>2973</v>
      </c>
    </row>
    <row r="345" spans="1:48" x14ac:dyDescent="0.45">
      <c r="A345" s="5" t="s">
        <v>708</v>
      </c>
      <c r="B345">
        <v>2082</v>
      </c>
      <c r="C345" t="s">
        <v>703</v>
      </c>
      <c r="D345">
        <v>1241</v>
      </c>
      <c r="E345" t="s">
        <v>709</v>
      </c>
      <c r="F345" t="s">
        <v>2739</v>
      </c>
      <c r="G345" t="s">
        <v>2740</v>
      </c>
      <c r="H345" t="s">
        <v>2741</v>
      </c>
      <c r="I345" t="s">
        <v>2742</v>
      </c>
      <c r="J345">
        <v>446.27906976741798</v>
      </c>
      <c r="K345">
        <v>2</v>
      </c>
      <c r="L345">
        <v>1</v>
      </c>
      <c r="M345">
        <v>2</v>
      </c>
      <c r="N345" s="6">
        <v>2651582.1018652399</v>
      </c>
      <c r="O345" s="6">
        <v>1039361.6706012</v>
      </c>
      <c r="P345" s="6">
        <v>861290.49331891199</v>
      </c>
      <c r="Q345" s="6">
        <v>193227.238603181</v>
      </c>
      <c r="R345" s="6">
        <v>1051074.18317745</v>
      </c>
      <c r="S345" s="6">
        <v>200426.73053939399</v>
      </c>
      <c r="T345" s="6">
        <v>2446002.83</v>
      </c>
      <c r="U345" s="6">
        <v>3350532.8575659799</v>
      </c>
      <c r="V345" s="6">
        <v>4342387.1983016999</v>
      </c>
      <c r="W345" s="6">
        <v>548001.05970503902</v>
      </c>
      <c r="X345" s="6">
        <v>0</v>
      </c>
      <c r="Y345" s="6">
        <v>0</v>
      </c>
      <c r="Z345" s="6">
        <v>0</v>
      </c>
      <c r="AA345" s="6">
        <v>906147.42955924</v>
      </c>
      <c r="AB345" s="6">
        <v>0</v>
      </c>
      <c r="AC345" s="6">
        <v>165492.966394627</v>
      </c>
      <c r="AD345" s="6">
        <v>34933.764144767003</v>
      </c>
      <c r="AE345" s="6">
        <v>0</v>
      </c>
      <c r="AF345" s="6">
        <v>0</v>
      </c>
      <c r="AG345" s="6">
        <v>0</v>
      </c>
      <c r="AH345" s="6">
        <v>0</v>
      </c>
      <c r="AI345" s="6">
        <v>0</v>
      </c>
      <c r="AJ345" s="6">
        <v>5996962.4181053797</v>
      </c>
      <c r="AK345" s="6">
        <v>13437.695882154499</v>
      </c>
      <c r="AL345" s="6">
        <v>330.98244656580999</v>
      </c>
      <c r="AM345" s="6">
        <v>93035.839999999997</v>
      </c>
      <c r="AN345" s="6">
        <v>7956.8140848639496</v>
      </c>
      <c r="AO345" s="6">
        <v>19398.220093063599</v>
      </c>
      <c r="AP345" s="6">
        <v>330.98244656580999</v>
      </c>
      <c r="AQ345" s="6">
        <v>93035.839999999997</v>
      </c>
      <c r="AR345" s="6">
        <v>7975.4133215255497</v>
      </c>
      <c r="AS345" s="6">
        <v>16833.049324641801</v>
      </c>
      <c r="AT345" s="6">
        <v>0</v>
      </c>
      <c r="AU345" t="s">
        <v>2973</v>
      </c>
      <c r="AV345" t="s">
        <v>2973</v>
      </c>
    </row>
    <row r="346" spans="1:48" x14ac:dyDescent="0.45">
      <c r="A346" s="5" t="s">
        <v>710</v>
      </c>
      <c r="B346">
        <v>2082</v>
      </c>
      <c r="C346" t="s">
        <v>703</v>
      </c>
      <c r="D346">
        <v>506</v>
      </c>
      <c r="E346" t="s">
        <v>711</v>
      </c>
      <c r="F346" t="s">
        <v>2739</v>
      </c>
      <c r="G346" t="s">
        <v>2747</v>
      </c>
      <c r="H346" t="s">
        <v>2745</v>
      </c>
      <c r="I346" t="s">
        <v>2742</v>
      </c>
      <c r="J346">
        <v>505.07082113148601</v>
      </c>
      <c r="K346">
        <v>1</v>
      </c>
      <c r="L346">
        <v>1</v>
      </c>
      <c r="M346">
        <v>2</v>
      </c>
      <c r="N346" s="6">
        <v>3167479.87712871</v>
      </c>
      <c r="O346" s="6">
        <v>1416434.0412804</v>
      </c>
      <c r="P346" s="6">
        <v>1124634.23569719</v>
      </c>
      <c r="Q346" s="6">
        <v>218682.538970828</v>
      </c>
      <c r="R346" s="6">
        <v>1189540.21537287</v>
      </c>
      <c r="S346" s="6">
        <v>226830.47498281201</v>
      </c>
      <c r="T346" s="6">
        <v>3324846.76</v>
      </c>
      <c r="U346" s="6">
        <v>3791924.1484500002</v>
      </c>
      <c r="V346" s="6">
        <v>5388143.9568428705</v>
      </c>
      <c r="W346" s="6">
        <v>703105.79832474701</v>
      </c>
      <c r="X346" s="6">
        <v>0</v>
      </c>
      <c r="Y346" s="6">
        <v>0</v>
      </c>
      <c r="Z346" s="6">
        <v>0</v>
      </c>
      <c r="AA346" s="6">
        <v>1025521.15328238</v>
      </c>
      <c r="AB346" s="6">
        <v>0</v>
      </c>
      <c r="AC346" s="6">
        <v>187294.61919865699</v>
      </c>
      <c r="AD346" s="6">
        <v>39535.855784154301</v>
      </c>
      <c r="AE346" s="6">
        <v>0</v>
      </c>
      <c r="AF346" s="6">
        <v>0</v>
      </c>
      <c r="AG346" s="6">
        <v>0</v>
      </c>
      <c r="AH346" s="6">
        <v>0</v>
      </c>
      <c r="AI346" s="6">
        <v>0</v>
      </c>
      <c r="AJ346" s="6">
        <v>7343601.3834328</v>
      </c>
      <c r="AK346" s="6">
        <v>14539.745865701199</v>
      </c>
      <c r="AL346" s="6">
        <v>330.98244656580999</v>
      </c>
      <c r="AM346" s="6">
        <v>93035.839999999997</v>
      </c>
      <c r="AN346" s="6">
        <v>7956.8140848639496</v>
      </c>
      <c r="AO346" s="6">
        <v>19398.220093063599</v>
      </c>
      <c r="AP346" s="6">
        <v>3753.1860850462999</v>
      </c>
      <c r="AQ346" s="6">
        <v>20687.885194392002</v>
      </c>
      <c r="AR346" s="6">
        <v>13831.6915874156</v>
      </c>
      <c r="AS346" s="6">
        <v>15798.646368121201</v>
      </c>
      <c r="AT346" s="6">
        <v>0</v>
      </c>
      <c r="AU346" t="s">
        <v>2973</v>
      </c>
      <c r="AV346" t="s">
        <v>2973</v>
      </c>
    </row>
    <row r="347" spans="1:48" x14ac:dyDescent="0.45">
      <c r="A347" s="5" t="s">
        <v>712</v>
      </c>
      <c r="B347">
        <v>2082</v>
      </c>
      <c r="C347" t="s">
        <v>703</v>
      </c>
      <c r="D347">
        <v>4739</v>
      </c>
      <c r="E347" t="s">
        <v>713</v>
      </c>
      <c r="F347" t="s">
        <v>2739</v>
      </c>
      <c r="G347" t="s">
        <v>2740</v>
      </c>
      <c r="H347" t="s">
        <v>2741</v>
      </c>
      <c r="I347" t="s">
        <v>2742</v>
      </c>
      <c r="J347">
        <v>359.91197175584699</v>
      </c>
      <c r="K347">
        <v>1</v>
      </c>
      <c r="L347">
        <v>1</v>
      </c>
      <c r="M347">
        <v>2</v>
      </c>
      <c r="N347" s="6">
        <v>2466766.3208626201</v>
      </c>
      <c r="O347" s="6">
        <v>816374.42045841005</v>
      </c>
      <c r="P347" s="6">
        <v>743104.614603461</v>
      </c>
      <c r="Q347" s="6">
        <v>156813.089808875</v>
      </c>
      <c r="R347" s="6">
        <v>847662.83555760898</v>
      </c>
      <c r="S347" s="6">
        <v>161638.72488711</v>
      </c>
      <c r="T347" s="6">
        <v>2328607.36</v>
      </c>
      <c r="U347" s="6">
        <v>2702113.9212909699</v>
      </c>
      <c r="V347" s="6">
        <v>3719435.7999421698</v>
      </c>
      <c r="W347" s="6">
        <v>580502.14381938695</v>
      </c>
      <c r="X347" s="6">
        <v>0</v>
      </c>
      <c r="Y347" s="6">
        <v>0</v>
      </c>
      <c r="Z347" s="6">
        <v>0</v>
      </c>
      <c r="AA347" s="6">
        <v>730783.33752942004</v>
      </c>
      <c r="AB347" s="6">
        <v>0</v>
      </c>
      <c r="AC347" s="6">
        <v>133465.59111063799</v>
      </c>
      <c r="AD347" s="6">
        <v>28173.133776471699</v>
      </c>
      <c r="AE347" s="6">
        <v>0</v>
      </c>
      <c r="AF347" s="6">
        <v>0</v>
      </c>
      <c r="AG347" s="6">
        <v>0</v>
      </c>
      <c r="AH347" s="6">
        <v>0</v>
      </c>
      <c r="AI347" s="6">
        <v>0</v>
      </c>
      <c r="AJ347" s="6">
        <v>5192360.0061780801</v>
      </c>
      <c r="AK347" s="6">
        <v>14426.749910115301</v>
      </c>
      <c r="AL347" s="6">
        <v>330.98244656580999</v>
      </c>
      <c r="AM347" s="6">
        <v>93035.839999999997</v>
      </c>
      <c r="AN347" s="6">
        <v>7956.8140848639496</v>
      </c>
      <c r="AO347" s="6">
        <v>19398.220093063599</v>
      </c>
      <c r="AP347" s="6">
        <v>330.98244656580999</v>
      </c>
      <c r="AQ347" s="6">
        <v>93035.839999999997</v>
      </c>
      <c r="AR347" s="6">
        <v>7975.4133215255497</v>
      </c>
      <c r="AS347" s="6">
        <v>16833.049324641801</v>
      </c>
      <c r="AT347" s="6">
        <v>0</v>
      </c>
      <c r="AU347" t="s">
        <v>2973</v>
      </c>
      <c r="AV347" t="s">
        <v>2973</v>
      </c>
    </row>
    <row r="348" spans="1:48" x14ac:dyDescent="0.45">
      <c r="A348" s="5" t="s">
        <v>714</v>
      </c>
      <c r="B348">
        <v>2082</v>
      </c>
      <c r="C348" t="s">
        <v>703</v>
      </c>
      <c r="D348">
        <v>4146</v>
      </c>
      <c r="E348" t="s">
        <v>715</v>
      </c>
      <c r="F348" t="s">
        <v>2739</v>
      </c>
      <c r="G348" t="s">
        <v>2740</v>
      </c>
      <c r="H348" t="s">
        <v>2741</v>
      </c>
      <c r="I348" t="s">
        <v>2742</v>
      </c>
      <c r="J348">
        <v>408.49418604645899</v>
      </c>
      <c r="K348">
        <v>2</v>
      </c>
      <c r="L348">
        <v>2</v>
      </c>
      <c r="M348">
        <v>2</v>
      </c>
      <c r="N348" s="6">
        <v>3326396.4995487202</v>
      </c>
      <c r="O348" s="6">
        <v>1068965.6301814499</v>
      </c>
      <c r="P348" s="6">
        <v>1011623.25701428</v>
      </c>
      <c r="Q348" s="6">
        <v>181064.05596530801</v>
      </c>
      <c r="R348" s="6">
        <v>962083.41824159794</v>
      </c>
      <c r="S348" s="6">
        <v>183457.30216815101</v>
      </c>
      <c r="T348" s="6">
        <v>3483277.87</v>
      </c>
      <c r="U348" s="6">
        <v>3066854.99095135</v>
      </c>
      <c r="V348" s="6">
        <v>4582641.05610481</v>
      </c>
      <c r="W348" s="6">
        <v>1138064.7002574699</v>
      </c>
      <c r="X348" s="6">
        <v>0</v>
      </c>
      <c r="Y348" s="6">
        <v>0</v>
      </c>
      <c r="Z348" s="6">
        <v>0</v>
      </c>
      <c r="AA348" s="6">
        <v>829427.10458906903</v>
      </c>
      <c r="AB348" s="6">
        <v>0</v>
      </c>
      <c r="AC348" s="6">
        <v>151481.25731959299</v>
      </c>
      <c r="AD348" s="6">
        <v>31976.0448485577</v>
      </c>
      <c r="AE348" s="6">
        <v>0</v>
      </c>
      <c r="AF348" s="6">
        <v>0</v>
      </c>
      <c r="AG348" s="6">
        <v>0</v>
      </c>
      <c r="AH348" s="6">
        <v>0</v>
      </c>
      <c r="AI348" s="6">
        <v>0</v>
      </c>
      <c r="AJ348" s="6">
        <v>6733590.1631194996</v>
      </c>
      <c r="AK348" s="6">
        <v>16483.9314563798</v>
      </c>
      <c r="AL348" s="6">
        <v>330.98244656580999</v>
      </c>
      <c r="AM348" s="6">
        <v>93035.839999999997</v>
      </c>
      <c r="AN348" s="6">
        <v>7956.8140848639496</v>
      </c>
      <c r="AO348" s="6">
        <v>19398.220093063599</v>
      </c>
      <c r="AP348" s="6">
        <v>330.98244656580999</v>
      </c>
      <c r="AQ348" s="6">
        <v>93035.839999999997</v>
      </c>
      <c r="AR348" s="6">
        <v>7975.4133215255497</v>
      </c>
      <c r="AS348" s="6">
        <v>16833.049324641801</v>
      </c>
      <c r="AT348" s="6">
        <v>0</v>
      </c>
      <c r="AU348" t="s">
        <v>2973</v>
      </c>
      <c r="AV348" t="s">
        <v>2973</v>
      </c>
    </row>
    <row r="349" spans="1:48" x14ac:dyDescent="0.45">
      <c r="A349" s="5" t="s">
        <v>716</v>
      </c>
      <c r="B349">
        <v>2082</v>
      </c>
      <c r="C349" t="s">
        <v>703</v>
      </c>
      <c r="D349">
        <v>1240</v>
      </c>
      <c r="E349" t="s">
        <v>717</v>
      </c>
      <c r="F349" t="s">
        <v>2739</v>
      </c>
      <c r="G349" t="s">
        <v>2740</v>
      </c>
      <c r="H349" t="s">
        <v>2741</v>
      </c>
      <c r="I349" t="s">
        <v>2742</v>
      </c>
      <c r="J349">
        <v>339.91860465115298</v>
      </c>
      <c r="K349">
        <v>1</v>
      </c>
      <c r="L349">
        <v>1</v>
      </c>
      <c r="M349">
        <v>2</v>
      </c>
      <c r="N349" s="6">
        <v>2175016.3356216098</v>
      </c>
      <c r="O349" s="6">
        <v>808566.57779950905</v>
      </c>
      <c r="P349" s="6">
        <v>690476.79845263797</v>
      </c>
      <c r="Q349" s="6">
        <v>147175.92147177999</v>
      </c>
      <c r="R349" s="6">
        <v>800574.55958382203</v>
      </c>
      <c r="S349" s="6">
        <v>152659.578266239</v>
      </c>
      <c r="T349" s="6">
        <v>2069800.63</v>
      </c>
      <c r="U349" s="6">
        <v>2552009.5629293602</v>
      </c>
      <c r="V349" s="6">
        <v>3503450.76328752</v>
      </c>
      <c r="W349" s="6">
        <v>428171.62848743302</v>
      </c>
      <c r="X349" s="6">
        <v>0</v>
      </c>
      <c r="Y349" s="6">
        <v>0</v>
      </c>
      <c r="Z349" s="6">
        <v>0</v>
      </c>
      <c r="AA349" s="6">
        <v>690187.80115440104</v>
      </c>
      <c r="AB349" s="6">
        <v>0</v>
      </c>
      <c r="AC349" s="6">
        <v>126051.482194222</v>
      </c>
      <c r="AD349" s="6">
        <v>26608.0960720166</v>
      </c>
      <c r="AE349" s="6">
        <v>0</v>
      </c>
      <c r="AF349" s="6">
        <v>0</v>
      </c>
      <c r="AG349" s="6">
        <v>0</v>
      </c>
      <c r="AH349" s="6">
        <v>0</v>
      </c>
      <c r="AI349" s="6">
        <v>0</v>
      </c>
      <c r="AJ349" s="6">
        <v>4774469.7711955998</v>
      </c>
      <c r="AK349" s="6">
        <v>14045.920717094799</v>
      </c>
      <c r="AL349" s="6">
        <v>330.98244656580999</v>
      </c>
      <c r="AM349" s="6">
        <v>93035.839999999997</v>
      </c>
      <c r="AN349" s="6">
        <v>7956.8140848639496</v>
      </c>
      <c r="AO349" s="6">
        <v>19398.220093063599</v>
      </c>
      <c r="AP349" s="6">
        <v>330.98244656580999</v>
      </c>
      <c r="AQ349" s="6">
        <v>93035.839999999997</v>
      </c>
      <c r="AR349" s="6">
        <v>7975.4133215255497</v>
      </c>
      <c r="AS349" s="6">
        <v>16833.049324641801</v>
      </c>
      <c r="AT349" s="6">
        <v>0</v>
      </c>
      <c r="AU349" t="s">
        <v>2973</v>
      </c>
      <c r="AV349" t="s">
        <v>2973</v>
      </c>
    </row>
    <row r="350" spans="1:48" x14ac:dyDescent="0.45">
      <c r="A350" s="5" t="s">
        <v>2811</v>
      </c>
      <c r="B350">
        <v>2082</v>
      </c>
      <c r="C350" t="s">
        <v>703</v>
      </c>
      <c r="D350">
        <v>5408</v>
      </c>
      <c r="E350" t="s">
        <v>2812</v>
      </c>
      <c r="F350" t="s">
        <v>2739</v>
      </c>
      <c r="G350" t="s">
        <v>2740</v>
      </c>
      <c r="H350" t="s">
        <v>2741</v>
      </c>
      <c r="I350" t="s">
        <v>2742</v>
      </c>
      <c r="J350">
        <v>55.057930126295602</v>
      </c>
      <c r="K350">
        <v>1</v>
      </c>
      <c r="L350">
        <v>1</v>
      </c>
      <c r="M350">
        <v>2</v>
      </c>
      <c r="N350" s="6">
        <v>367804.87763881998</v>
      </c>
      <c r="O350" s="6">
        <v>71107.216055373196</v>
      </c>
      <c r="P350" s="6">
        <v>86927.260001231596</v>
      </c>
      <c r="Q350" s="6">
        <v>23838.652812141601</v>
      </c>
      <c r="R350" s="6">
        <v>129672.155508204</v>
      </c>
      <c r="S350" s="6">
        <v>24726.861896595001</v>
      </c>
      <c r="T350" s="6">
        <v>265991.31</v>
      </c>
      <c r="U350" s="6">
        <v>413358.85201576899</v>
      </c>
      <c r="V350" s="6">
        <v>507413.40841884702</v>
      </c>
      <c r="W350" s="6">
        <v>60144.367978668401</v>
      </c>
      <c r="X350" s="6">
        <v>0</v>
      </c>
      <c r="Y350" s="6">
        <v>0</v>
      </c>
      <c r="Z350" s="6">
        <v>0</v>
      </c>
      <c r="AA350" s="6">
        <v>111792.385618254</v>
      </c>
      <c r="AB350" s="6">
        <v>0</v>
      </c>
      <c r="AC350" s="6">
        <v>20417.045739781999</v>
      </c>
      <c r="AD350" s="6">
        <v>4309.8161568129499</v>
      </c>
      <c r="AE350" s="6">
        <v>0</v>
      </c>
      <c r="AF350" s="6">
        <v>0</v>
      </c>
      <c r="AG350" s="6">
        <v>0</v>
      </c>
      <c r="AH350" s="6">
        <v>0</v>
      </c>
      <c r="AI350" s="6">
        <v>0</v>
      </c>
      <c r="AJ350" s="6">
        <v>704077.02391236403</v>
      </c>
      <c r="AK350" s="6">
        <v>12787.9312262067</v>
      </c>
      <c r="AL350" s="6">
        <v>330.98244656580999</v>
      </c>
      <c r="AM350" s="6">
        <v>93035.839999999997</v>
      </c>
      <c r="AN350" s="6">
        <v>7956.8140848639496</v>
      </c>
      <c r="AO350" s="6">
        <v>19398.220093063599</v>
      </c>
      <c r="AP350" s="6">
        <v>330.98244656580999</v>
      </c>
      <c r="AQ350" s="6">
        <v>93035.839999999997</v>
      </c>
      <c r="AR350" s="6">
        <v>7975.4133215255497</v>
      </c>
      <c r="AS350" s="6">
        <v>16833.049324641801</v>
      </c>
      <c r="AT350" s="6">
        <v>0</v>
      </c>
      <c r="AU350" t="s">
        <v>2973</v>
      </c>
      <c r="AV350" t="s">
        <v>2973</v>
      </c>
    </row>
    <row r="351" spans="1:48" x14ac:dyDescent="0.45">
      <c r="A351" s="5" t="s">
        <v>718</v>
      </c>
      <c r="B351">
        <v>2082</v>
      </c>
      <c r="C351" t="s">
        <v>703</v>
      </c>
      <c r="D351">
        <v>540</v>
      </c>
      <c r="E351" t="s">
        <v>719</v>
      </c>
      <c r="F351" t="s">
        <v>2739</v>
      </c>
      <c r="G351" t="s">
        <v>2744</v>
      </c>
      <c r="H351" t="s">
        <v>2745</v>
      </c>
      <c r="I351" t="s">
        <v>2742</v>
      </c>
      <c r="J351">
        <v>1061.5719654156101</v>
      </c>
      <c r="K351">
        <v>1</v>
      </c>
      <c r="L351">
        <v>1</v>
      </c>
      <c r="M351">
        <v>2</v>
      </c>
      <c r="N351" s="6">
        <v>7406495.7698426004</v>
      </c>
      <c r="O351" s="6">
        <v>3823653.40738096</v>
      </c>
      <c r="P351" s="6">
        <v>2222907.3324115202</v>
      </c>
      <c r="Q351" s="6">
        <v>460084.92121418798</v>
      </c>
      <c r="R351" s="6">
        <v>2509499.22485846</v>
      </c>
      <c r="S351" s="6">
        <v>476758.63080788002</v>
      </c>
      <c r="T351" s="6">
        <v>8452668.5199999996</v>
      </c>
      <c r="U351" s="6">
        <v>7969972.1357077304</v>
      </c>
      <c r="V351" s="6">
        <v>12548782.7108783</v>
      </c>
      <c r="W351" s="6">
        <v>1713588.5679768</v>
      </c>
      <c r="X351" s="6">
        <v>0</v>
      </c>
      <c r="Y351" s="6">
        <v>0</v>
      </c>
      <c r="Z351" s="6">
        <v>0</v>
      </c>
      <c r="AA351" s="6">
        <v>2159144.3768526702</v>
      </c>
      <c r="AB351" s="6">
        <v>1125</v>
      </c>
      <c r="AC351" s="6">
        <v>393661.06434155902</v>
      </c>
      <c r="AD351" s="6">
        <v>83097.566466320204</v>
      </c>
      <c r="AE351" s="6">
        <v>0</v>
      </c>
      <c r="AF351" s="6">
        <v>0</v>
      </c>
      <c r="AG351" s="6">
        <v>0</v>
      </c>
      <c r="AH351" s="6">
        <v>0</v>
      </c>
      <c r="AI351" s="6">
        <v>0</v>
      </c>
      <c r="AJ351" s="6">
        <v>16899399.286515601</v>
      </c>
      <c r="AK351" s="6">
        <v>15919.221529083499</v>
      </c>
      <c r="AL351" s="6">
        <v>330.98244656580999</v>
      </c>
      <c r="AM351" s="6">
        <v>93035.839999999997</v>
      </c>
      <c r="AN351" s="6">
        <v>7956.8140848639496</v>
      </c>
      <c r="AO351" s="6">
        <v>19398.220093063599</v>
      </c>
      <c r="AP351" s="6">
        <v>330.98244656580999</v>
      </c>
      <c r="AQ351" s="6">
        <v>40734.411818744898</v>
      </c>
      <c r="AR351" s="6">
        <v>7956.8140848639696</v>
      </c>
      <c r="AS351" s="6">
        <v>19398.220093063599</v>
      </c>
      <c r="AT351" s="6">
        <v>0</v>
      </c>
      <c r="AU351" t="s">
        <v>2973</v>
      </c>
      <c r="AV351" t="s">
        <v>2973</v>
      </c>
    </row>
    <row r="352" spans="1:48" x14ac:dyDescent="0.45">
      <c r="A352" s="5" t="s">
        <v>720</v>
      </c>
      <c r="B352">
        <v>2082</v>
      </c>
      <c r="C352" t="s">
        <v>703</v>
      </c>
      <c r="D352">
        <v>507</v>
      </c>
      <c r="E352" t="s">
        <v>721</v>
      </c>
      <c r="F352" t="s">
        <v>3</v>
      </c>
      <c r="G352" t="s">
        <v>2740</v>
      </c>
      <c r="H352" t="s">
        <v>2741</v>
      </c>
      <c r="I352" t="s">
        <v>2742</v>
      </c>
      <c r="J352">
        <v>224.353293413155</v>
      </c>
      <c r="K352">
        <v>1</v>
      </c>
      <c r="L352">
        <v>1</v>
      </c>
      <c r="M352">
        <v>2</v>
      </c>
      <c r="N352" s="6">
        <v>454119.05268984602</v>
      </c>
      <c r="O352" s="6">
        <v>257535.21911475901</v>
      </c>
      <c r="P352" s="6">
        <v>351362.62669867103</v>
      </c>
      <c r="Q352" s="6">
        <v>97139.145199764796</v>
      </c>
      <c r="R352" s="6">
        <v>528395.72947101796</v>
      </c>
      <c r="S352" s="6">
        <v>100758.471841349</v>
      </c>
      <c r="T352" s="6">
        <v>4172.8</v>
      </c>
      <c r="U352" s="6">
        <v>1684378.97317406</v>
      </c>
      <c r="V352" s="6">
        <v>1030067.66834927</v>
      </c>
      <c r="W352" s="6">
        <v>202945.91378788999</v>
      </c>
      <c r="X352" s="6">
        <v>0</v>
      </c>
      <c r="Y352" s="6">
        <v>0</v>
      </c>
      <c r="Z352" s="6">
        <v>0</v>
      </c>
      <c r="AA352" s="6">
        <v>455538.19103690097</v>
      </c>
      <c r="AB352" s="6">
        <v>0</v>
      </c>
      <c r="AC352" s="6">
        <v>83196.579366128703</v>
      </c>
      <c r="AD352" s="6">
        <v>17561.8924752206</v>
      </c>
      <c r="AE352" s="6">
        <v>0</v>
      </c>
      <c r="AF352" s="6">
        <v>0</v>
      </c>
      <c r="AG352" s="6">
        <v>0</v>
      </c>
      <c r="AH352" s="6">
        <v>0</v>
      </c>
      <c r="AI352" s="6">
        <v>0</v>
      </c>
      <c r="AJ352" s="6">
        <v>1789310.24501541</v>
      </c>
      <c r="AK352" s="6">
        <v>7975.4133215255497</v>
      </c>
      <c r="AL352" s="6">
        <v>330.98244656580999</v>
      </c>
      <c r="AM352" s="6">
        <v>93035.839999999997</v>
      </c>
      <c r="AN352" s="6">
        <v>7956.8140848639496</v>
      </c>
      <c r="AO352" s="6">
        <v>19398.220093063599</v>
      </c>
      <c r="AP352" s="6">
        <v>330.98244656580999</v>
      </c>
      <c r="AQ352" s="6">
        <v>93035.839999999997</v>
      </c>
      <c r="AR352" s="6">
        <v>7975.4133215255497</v>
      </c>
      <c r="AS352" s="6">
        <v>16833.049324641801</v>
      </c>
      <c r="AT352" s="6">
        <v>0</v>
      </c>
      <c r="AU352" t="s">
        <v>2973</v>
      </c>
      <c r="AV352" t="s">
        <v>2973</v>
      </c>
    </row>
    <row r="353" spans="1:48" x14ac:dyDescent="0.45">
      <c r="A353" s="5" t="s">
        <v>722</v>
      </c>
      <c r="B353">
        <v>2082</v>
      </c>
      <c r="C353" t="s">
        <v>703</v>
      </c>
      <c r="D353">
        <v>1242</v>
      </c>
      <c r="E353" t="s">
        <v>723</v>
      </c>
      <c r="F353" t="s">
        <v>2750</v>
      </c>
      <c r="G353" t="s">
        <v>2740</v>
      </c>
      <c r="H353" t="s">
        <v>2741</v>
      </c>
      <c r="I353" t="s">
        <v>2742</v>
      </c>
      <c r="J353">
        <v>174.49127906975801</v>
      </c>
      <c r="K353">
        <v>1</v>
      </c>
      <c r="L353">
        <v>1</v>
      </c>
      <c r="M353">
        <v>2</v>
      </c>
      <c r="N353" s="6">
        <v>1296451.92457733</v>
      </c>
      <c r="O353" s="6">
        <v>487576.08649125102</v>
      </c>
      <c r="P353" s="6">
        <v>433326.30046487501</v>
      </c>
      <c r="Q353" s="6">
        <v>76680.918881943202</v>
      </c>
      <c r="R353" s="6">
        <v>410960.96824665403</v>
      </c>
      <c r="S353" s="6">
        <v>78365.128326127495</v>
      </c>
      <c r="T353" s="6">
        <v>1394966.66</v>
      </c>
      <c r="U353" s="6">
        <v>1310029.5386620499</v>
      </c>
      <c r="V353" s="6">
        <v>1971414.1281928101</v>
      </c>
      <c r="W353" s="6">
        <v>379286.21677400399</v>
      </c>
      <c r="X353" s="6">
        <v>0</v>
      </c>
      <c r="Y353" s="6">
        <v>0</v>
      </c>
      <c r="Z353" s="6">
        <v>0</v>
      </c>
      <c r="AA353" s="6">
        <v>354295.85369524098</v>
      </c>
      <c r="AB353" s="6">
        <v>0</v>
      </c>
      <c r="AC353" s="6">
        <v>64706.326914001198</v>
      </c>
      <c r="AD353" s="6">
        <v>13658.8014121264</v>
      </c>
      <c r="AE353" s="6">
        <v>0</v>
      </c>
      <c r="AF353" s="6">
        <v>0</v>
      </c>
      <c r="AG353" s="6">
        <v>0</v>
      </c>
      <c r="AH353" s="6">
        <v>0</v>
      </c>
      <c r="AI353" s="6">
        <v>0</v>
      </c>
      <c r="AJ353" s="6">
        <v>2783361.3269881802</v>
      </c>
      <c r="AK353" s="6">
        <v>15951.2919031068</v>
      </c>
      <c r="AL353" s="6">
        <v>330.98244656580999</v>
      </c>
      <c r="AM353" s="6">
        <v>93035.839999999997</v>
      </c>
      <c r="AN353" s="6">
        <v>7956.8140848639496</v>
      </c>
      <c r="AO353" s="6">
        <v>19398.220093063599</v>
      </c>
      <c r="AP353" s="6">
        <v>330.98244656580999</v>
      </c>
      <c r="AQ353" s="6">
        <v>93035.839999999997</v>
      </c>
      <c r="AR353" s="6">
        <v>7975.4133215255497</v>
      </c>
      <c r="AS353" s="6">
        <v>16833.049324641801</v>
      </c>
      <c r="AT353" s="6">
        <v>0</v>
      </c>
      <c r="AU353" t="s">
        <v>2973</v>
      </c>
      <c r="AV353" t="s">
        <v>2973</v>
      </c>
    </row>
    <row r="354" spans="1:48" x14ac:dyDescent="0.45">
      <c r="A354" s="5" t="s">
        <v>724</v>
      </c>
      <c r="B354">
        <v>2082</v>
      </c>
      <c r="C354" t="s">
        <v>703</v>
      </c>
      <c r="D354">
        <v>1774</v>
      </c>
      <c r="E354" t="s">
        <v>725</v>
      </c>
      <c r="F354" t="s">
        <v>2739</v>
      </c>
      <c r="G354" t="s">
        <v>2740</v>
      </c>
      <c r="H354" t="s">
        <v>2741</v>
      </c>
      <c r="I354" t="s">
        <v>2742</v>
      </c>
      <c r="J354">
        <v>391.17352631081798</v>
      </c>
      <c r="K354">
        <v>1</v>
      </c>
      <c r="L354">
        <v>1</v>
      </c>
      <c r="M354">
        <v>2</v>
      </c>
      <c r="N354" s="6">
        <v>2673227.4706153399</v>
      </c>
      <c r="O354" s="6">
        <v>919784.399188346</v>
      </c>
      <c r="P354" s="6">
        <v>851372.60932109796</v>
      </c>
      <c r="Q354" s="6">
        <v>169367.970456468</v>
      </c>
      <c r="R354" s="6">
        <v>921289.88899716898</v>
      </c>
      <c r="S354" s="6">
        <v>175678.485197395</v>
      </c>
      <c r="T354" s="6">
        <v>2598225.7999999998</v>
      </c>
      <c r="U354" s="6">
        <v>2936816.5385784199</v>
      </c>
      <c r="V354" s="6">
        <v>4188853.2939895201</v>
      </c>
      <c r="W354" s="6">
        <v>551930.67714428401</v>
      </c>
      <c r="X354" s="6">
        <v>0</v>
      </c>
      <c r="Y354" s="6">
        <v>0</v>
      </c>
      <c r="Z354" s="6">
        <v>0</v>
      </c>
      <c r="AA354" s="6">
        <v>794258.367444615</v>
      </c>
      <c r="AB354" s="6">
        <v>0</v>
      </c>
      <c r="AC354" s="6">
        <v>145058.26427836201</v>
      </c>
      <c r="AD354" s="6">
        <v>30620.220919033101</v>
      </c>
      <c r="AE354" s="6">
        <v>0</v>
      </c>
      <c r="AF354" s="6">
        <v>0</v>
      </c>
      <c r="AG354" s="6">
        <v>0</v>
      </c>
      <c r="AH354" s="6">
        <v>0</v>
      </c>
      <c r="AI354" s="6">
        <v>0</v>
      </c>
      <c r="AJ354" s="6">
        <v>5710720.8237758102</v>
      </c>
      <c r="AK354" s="6">
        <v>14598.945070833401</v>
      </c>
      <c r="AL354" s="6">
        <v>330.98244656580999</v>
      </c>
      <c r="AM354" s="6">
        <v>93035.839999999997</v>
      </c>
      <c r="AN354" s="6">
        <v>7956.8140848639496</v>
      </c>
      <c r="AO354" s="6">
        <v>19398.220093063599</v>
      </c>
      <c r="AP354" s="6">
        <v>330.98244656580999</v>
      </c>
      <c r="AQ354" s="6">
        <v>93035.839999999997</v>
      </c>
      <c r="AR354" s="6">
        <v>7975.4133215255497</v>
      </c>
      <c r="AS354" s="6">
        <v>16833.049324641801</v>
      </c>
      <c r="AT354" s="6">
        <v>0</v>
      </c>
      <c r="AU354" t="s">
        <v>2973</v>
      </c>
      <c r="AV354" t="s">
        <v>2973</v>
      </c>
    </row>
    <row r="355" spans="1:48" x14ac:dyDescent="0.45">
      <c r="A355" s="5" t="s">
        <v>726</v>
      </c>
      <c r="B355">
        <v>2082</v>
      </c>
      <c r="C355" t="s">
        <v>703</v>
      </c>
      <c r="D355">
        <v>510</v>
      </c>
      <c r="E355" t="s">
        <v>727</v>
      </c>
      <c r="F355" t="s">
        <v>2739</v>
      </c>
      <c r="G355" t="s">
        <v>2740</v>
      </c>
      <c r="H355" t="s">
        <v>2741</v>
      </c>
      <c r="I355" t="s">
        <v>2742</v>
      </c>
      <c r="J355">
        <v>318.54625235161501</v>
      </c>
      <c r="K355">
        <v>1</v>
      </c>
      <c r="L355">
        <v>1</v>
      </c>
      <c r="M355">
        <v>2</v>
      </c>
      <c r="N355" s="6">
        <v>2390694.3104184498</v>
      </c>
      <c r="O355" s="6">
        <v>770606.25758303097</v>
      </c>
      <c r="P355" s="6">
        <v>652310.03553415299</v>
      </c>
      <c r="Q355" s="6">
        <v>137922.248384565</v>
      </c>
      <c r="R355" s="6">
        <v>750238.50473024102</v>
      </c>
      <c r="S355" s="6">
        <v>143061.120741522</v>
      </c>
      <c r="T355" s="6">
        <v>2310219.17</v>
      </c>
      <c r="U355" s="6">
        <v>2391552.1866504401</v>
      </c>
      <c r="V355" s="6">
        <v>3606670.27637546</v>
      </c>
      <c r="W355" s="6">
        <v>448308.77626982698</v>
      </c>
      <c r="X355" s="6">
        <v>0</v>
      </c>
      <c r="Y355" s="6">
        <v>0</v>
      </c>
      <c r="Z355" s="6">
        <v>0</v>
      </c>
      <c r="AA355" s="6">
        <v>646792.30400515301</v>
      </c>
      <c r="AB355" s="6">
        <v>0</v>
      </c>
      <c r="AC355" s="6">
        <v>118126.006364211</v>
      </c>
      <c r="AD355" s="6">
        <v>24935.1143773115</v>
      </c>
      <c r="AE355" s="6">
        <v>0</v>
      </c>
      <c r="AF355" s="6">
        <v>0</v>
      </c>
      <c r="AG355" s="6">
        <v>0</v>
      </c>
      <c r="AH355" s="6">
        <v>0</v>
      </c>
      <c r="AI355" s="6">
        <v>0</v>
      </c>
      <c r="AJ355" s="6">
        <v>4844832.4773919601</v>
      </c>
      <c r="AK355" s="6">
        <v>15209.1962835092</v>
      </c>
      <c r="AL355" s="6">
        <v>330.98244656580999</v>
      </c>
      <c r="AM355" s="6">
        <v>93035.839999999997</v>
      </c>
      <c r="AN355" s="6">
        <v>7956.8140848639496</v>
      </c>
      <c r="AO355" s="6">
        <v>19398.220093063599</v>
      </c>
      <c r="AP355" s="6">
        <v>330.98244656580999</v>
      </c>
      <c r="AQ355" s="6">
        <v>93035.839999999997</v>
      </c>
      <c r="AR355" s="6">
        <v>7975.4133215255497</v>
      </c>
      <c r="AS355" s="6">
        <v>16833.049324641801</v>
      </c>
      <c r="AT355" s="6">
        <v>0</v>
      </c>
      <c r="AU355" t="s">
        <v>2973</v>
      </c>
      <c r="AV355" t="s">
        <v>2973</v>
      </c>
    </row>
    <row r="356" spans="1:48" x14ac:dyDescent="0.45">
      <c r="A356" s="5" t="s">
        <v>728</v>
      </c>
      <c r="B356">
        <v>2082</v>
      </c>
      <c r="C356" t="s">
        <v>703</v>
      </c>
      <c r="D356">
        <v>537</v>
      </c>
      <c r="E356" t="s">
        <v>729</v>
      </c>
      <c r="F356" t="s">
        <v>2750</v>
      </c>
      <c r="G356" t="s">
        <v>2744</v>
      </c>
      <c r="H356" t="s">
        <v>2745</v>
      </c>
      <c r="I356" t="s">
        <v>2742</v>
      </c>
      <c r="J356">
        <v>189.17193992144499</v>
      </c>
      <c r="K356">
        <v>1</v>
      </c>
      <c r="L356">
        <v>2</v>
      </c>
      <c r="M356">
        <v>2</v>
      </c>
      <c r="N356" s="6">
        <v>1914029.5819057701</v>
      </c>
      <c r="O356" s="6">
        <v>811301.381899331</v>
      </c>
      <c r="P356" s="6">
        <v>328968.58788514201</v>
      </c>
      <c r="Q356" s="6">
        <v>84804.283486496599</v>
      </c>
      <c r="R356" s="6">
        <v>445536.78561858</v>
      </c>
      <c r="S356" s="6">
        <v>84958.305232664206</v>
      </c>
      <c r="T356" s="6">
        <v>2164392.9700000002</v>
      </c>
      <c r="U356" s="6">
        <v>1420247.6507953301</v>
      </c>
      <c r="V356" s="6">
        <v>2773490.9794188198</v>
      </c>
      <c r="W356" s="6">
        <v>427045.43681703502</v>
      </c>
      <c r="X356" s="6">
        <v>0</v>
      </c>
      <c r="Y356" s="6">
        <v>0</v>
      </c>
      <c r="Z356" s="6">
        <v>0</v>
      </c>
      <c r="AA356" s="6">
        <v>384104.204559465</v>
      </c>
      <c r="AB356" s="6">
        <v>0</v>
      </c>
      <c r="AC356" s="6">
        <v>70150.333316195305</v>
      </c>
      <c r="AD356" s="6">
        <v>14807.9719164689</v>
      </c>
      <c r="AE356" s="6">
        <v>0</v>
      </c>
      <c r="AF356" s="6">
        <v>0</v>
      </c>
      <c r="AG356" s="6">
        <v>0</v>
      </c>
      <c r="AH356" s="6">
        <v>0</v>
      </c>
      <c r="AI356" s="6">
        <v>0</v>
      </c>
      <c r="AJ356" s="6">
        <v>3669598.9260279899</v>
      </c>
      <c r="AK356" s="6">
        <v>19398.220093063599</v>
      </c>
      <c r="AL356" s="6">
        <v>330.98244656580999</v>
      </c>
      <c r="AM356" s="6">
        <v>93035.839999999997</v>
      </c>
      <c r="AN356" s="6">
        <v>7956.8140848639496</v>
      </c>
      <c r="AO356" s="6">
        <v>19398.220093063599</v>
      </c>
      <c r="AP356" s="6">
        <v>330.98244656580999</v>
      </c>
      <c r="AQ356" s="6">
        <v>40734.411818744898</v>
      </c>
      <c r="AR356" s="6">
        <v>7956.8140848639696</v>
      </c>
      <c r="AS356" s="6">
        <v>19398.220093063599</v>
      </c>
      <c r="AT356" s="6">
        <v>0</v>
      </c>
      <c r="AU356" t="s">
        <v>2973</v>
      </c>
      <c r="AV356" t="s">
        <v>2973</v>
      </c>
    </row>
    <row r="357" spans="1:48" x14ac:dyDescent="0.45">
      <c r="A357" s="5" t="s">
        <v>730</v>
      </c>
      <c r="B357">
        <v>2082</v>
      </c>
      <c r="C357" t="s">
        <v>703</v>
      </c>
      <c r="D357">
        <v>2082</v>
      </c>
      <c r="E357" t="s">
        <v>703</v>
      </c>
      <c r="F357" t="s">
        <v>1</v>
      </c>
      <c r="G357" t="s">
        <v>1</v>
      </c>
      <c r="H357" t="s">
        <v>2743</v>
      </c>
      <c r="I357" t="s">
        <v>2742</v>
      </c>
      <c r="J357">
        <v>214.62736976329501</v>
      </c>
      <c r="K357">
        <v>1</v>
      </c>
      <c r="L357">
        <v>4</v>
      </c>
      <c r="M357">
        <v>2</v>
      </c>
      <c r="N357" s="6">
        <v>430683.46225780202</v>
      </c>
      <c r="O357" s="6">
        <v>246370.828166205</v>
      </c>
      <c r="P357" s="6">
        <v>335887.93294974399</v>
      </c>
      <c r="Q357" s="6">
        <v>92928.073032057393</v>
      </c>
      <c r="R357" s="6">
        <v>505489.28382199601</v>
      </c>
      <c r="S357" s="6">
        <v>96390.498502081493</v>
      </c>
      <c r="T357" s="6">
        <v>0</v>
      </c>
      <c r="U357" s="6">
        <v>1611359.5802277999</v>
      </c>
      <c r="V357" s="6">
        <v>985413.27819460398</v>
      </c>
      <c r="W357" s="6">
        <v>190156.11468377701</v>
      </c>
      <c r="X357" s="6">
        <v>0</v>
      </c>
      <c r="Y357" s="6">
        <v>0</v>
      </c>
      <c r="Z357" s="6">
        <v>0</v>
      </c>
      <c r="AA357" s="6">
        <v>435790.187349424</v>
      </c>
      <c r="AB357" s="6">
        <v>0</v>
      </c>
      <c r="AC357" s="6">
        <v>79589.930377230499</v>
      </c>
      <c r="AD357" s="6">
        <v>16800.568124851001</v>
      </c>
      <c r="AE357" s="6">
        <v>0</v>
      </c>
      <c r="AF357" s="6">
        <v>0</v>
      </c>
      <c r="AG357" s="6">
        <v>0</v>
      </c>
      <c r="AH357" s="6">
        <v>0</v>
      </c>
      <c r="AI357" s="6">
        <v>0</v>
      </c>
      <c r="AJ357" s="6">
        <v>1707750.0787298901</v>
      </c>
      <c r="AK357" s="6">
        <v>7956.8140848639496</v>
      </c>
      <c r="AL357" s="6">
        <v>330.98244656580999</v>
      </c>
      <c r="AM357" s="6">
        <v>93035.839999999997</v>
      </c>
      <c r="AN357" s="6">
        <v>7956.8140848639496</v>
      </c>
      <c r="AO357" s="6">
        <v>19398.220093063599</v>
      </c>
      <c r="AP357" s="6">
        <v>634.54287297753501</v>
      </c>
      <c r="AQ357" s="6">
        <v>40331.279999999999</v>
      </c>
      <c r="AR357" s="6">
        <v>7956.8140848639496</v>
      </c>
      <c r="AS357" s="6">
        <v>7956.8140848639496</v>
      </c>
      <c r="AT357" s="6">
        <v>0</v>
      </c>
      <c r="AU357" t="s">
        <v>2973</v>
      </c>
      <c r="AV357" t="s">
        <v>2977</v>
      </c>
    </row>
    <row r="358" spans="1:48" x14ac:dyDescent="0.45">
      <c r="A358" s="5" t="s">
        <v>731</v>
      </c>
      <c r="B358">
        <v>2082</v>
      </c>
      <c r="C358" t="s">
        <v>703</v>
      </c>
      <c r="D358">
        <v>1339</v>
      </c>
      <c r="E358" t="s">
        <v>732</v>
      </c>
      <c r="F358" t="s">
        <v>2750</v>
      </c>
      <c r="G358" t="s">
        <v>2740</v>
      </c>
      <c r="H358" t="s">
        <v>2741</v>
      </c>
      <c r="I358" t="s">
        <v>2742</v>
      </c>
      <c r="J358">
        <v>164.87117797890099</v>
      </c>
      <c r="K358">
        <v>1</v>
      </c>
      <c r="L358">
        <v>1</v>
      </c>
      <c r="M358">
        <v>2</v>
      </c>
      <c r="N358" s="6">
        <v>1339622.8636985901</v>
      </c>
      <c r="O358" s="6">
        <v>467671.18929289503</v>
      </c>
      <c r="P358" s="6">
        <v>433544.937097524</v>
      </c>
      <c r="Q358" s="6">
        <v>72097.245132000404</v>
      </c>
      <c r="R358" s="6">
        <v>388303.75534749898</v>
      </c>
      <c r="S358" s="6">
        <v>74044.680562122405</v>
      </c>
      <c r="T358" s="6">
        <v>1463435.36</v>
      </c>
      <c r="U358" s="6">
        <v>1237804.6305685099</v>
      </c>
      <c r="V358" s="6">
        <v>2032794.66850826</v>
      </c>
      <c r="W358" s="6">
        <v>333682.604615652</v>
      </c>
      <c r="X358" s="6">
        <v>0</v>
      </c>
      <c r="Y358" s="6">
        <v>0</v>
      </c>
      <c r="Z358" s="6">
        <v>0</v>
      </c>
      <c r="AA358" s="6">
        <v>334762.71744459099</v>
      </c>
      <c r="AB358" s="6">
        <v>0</v>
      </c>
      <c r="AC358" s="6">
        <v>61138.919938424602</v>
      </c>
      <c r="AD358" s="6">
        <v>12905.760623697801</v>
      </c>
      <c r="AE358" s="6">
        <v>0</v>
      </c>
      <c r="AF358" s="6">
        <v>0</v>
      </c>
      <c r="AG358" s="6">
        <v>0</v>
      </c>
      <c r="AH358" s="6">
        <v>0</v>
      </c>
      <c r="AI358" s="6">
        <v>0</v>
      </c>
      <c r="AJ358" s="6">
        <v>2775284.6711306302</v>
      </c>
      <c r="AK358" s="6">
        <v>16833.049324641801</v>
      </c>
      <c r="AL358" s="6">
        <v>330.98244656580999</v>
      </c>
      <c r="AM358" s="6">
        <v>93035.839999999997</v>
      </c>
      <c r="AN358" s="6">
        <v>7956.8140848639496</v>
      </c>
      <c r="AO358" s="6">
        <v>19398.220093063599</v>
      </c>
      <c r="AP358" s="6">
        <v>330.98244656580999</v>
      </c>
      <c r="AQ358" s="6">
        <v>93035.839999999997</v>
      </c>
      <c r="AR358" s="6">
        <v>7975.4133215255497</v>
      </c>
      <c r="AS358" s="6">
        <v>16833.049324641801</v>
      </c>
      <c r="AT358" s="6">
        <v>0</v>
      </c>
      <c r="AU358" t="s">
        <v>2973</v>
      </c>
      <c r="AV358" t="s">
        <v>2973</v>
      </c>
    </row>
    <row r="359" spans="1:48" x14ac:dyDescent="0.45">
      <c r="A359" s="5" t="s">
        <v>733</v>
      </c>
      <c r="B359">
        <v>2082</v>
      </c>
      <c r="C359" t="s">
        <v>703</v>
      </c>
      <c r="D359">
        <v>513</v>
      </c>
      <c r="E359" t="s">
        <v>734</v>
      </c>
      <c r="F359" t="s">
        <v>2739</v>
      </c>
      <c r="G359" t="s">
        <v>2740</v>
      </c>
      <c r="H359" t="s">
        <v>2741</v>
      </c>
      <c r="I359" t="s">
        <v>2742</v>
      </c>
      <c r="J359">
        <v>539.37209302321003</v>
      </c>
      <c r="K359">
        <v>1</v>
      </c>
      <c r="L359">
        <v>1</v>
      </c>
      <c r="M359">
        <v>2</v>
      </c>
      <c r="N359" s="6">
        <v>3600060.1562214699</v>
      </c>
      <c r="O359" s="6">
        <v>1126251.7725384701</v>
      </c>
      <c r="P359" s="6">
        <v>1097838.0028017201</v>
      </c>
      <c r="Q359" s="6">
        <v>233534.95822425399</v>
      </c>
      <c r="R359" s="6">
        <v>1270326.3955411001</v>
      </c>
      <c r="S359" s="6">
        <v>242235.39142261699</v>
      </c>
      <c r="T359" s="6">
        <v>3278563.21</v>
      </c>
      <c r="U359" s="6">
        <v>4049448.0753270099</v>
      </c>
      <c r="V359" s="6">
        <v>5547536.4091208996</v>
      </c>
      <c r="W359" s="6">
        <v>685306.698313114</v>
      </c>
      <c r="X359" s="6">
        <v>0</v>
      </c>
      <c r="Y359" s="6">
        <v>0</v>
      </c>
      <c r="Z359" s="6">
        <v>0</v>
      </c>
      <c r="AA359" s="6">
        <v>1095168.17789301</v>
      </c>
      <c r="AB359" s="6">
        <v>0</v>
      </c>
      <c r="AC359" s="6">
        <v>200014.50597136299</v>
      </c>
      <c r="AD359" s="6">
        <v>42220.885451253598</v>
      </c>
      <c r="AE359" s="6">
        <v>0</v>
      </c>
      <c r="AF359" s="6">
        <v>0</v>
      </c>
      <c r="AG359" s="6">
        <v>0</v>
      </c>
      <c r="AH359" s="6">
        <v>0</v>
      </c>
      <c r="AI359" s="6">
        <v>0</v>
      </c>
      <c r="AJ359" s="6">
        <v>7570246.6767496401</v>
      </c>
      <c r="AK359" s="6">
        <v>14035.295438290101</v>
      </c>
      <c r="AL359" s="6">
        <v>330.98244656580999</v>
      </c>
      <c r="AM359" s="6">
        <v>93035.839999999997</v>
      </c>
      <c r="AN359" s="6">
        <v>7956.8140848639496</v>
      </c>
      <c r="AO359" s="6">
        <v>19398.220093063599</v>
      </c>
      <c r="AP359" s="6">
        <v>330.98244656580999</v>
      </c>
      <c r="AQ359" s="6">
        <v>93035.839999999997</v>
      </c>
      <c r="AR359" s="6">
        <v>7975.4133215255497</v>
      </c>
      <c r="AS359" s="6">
        <v>16833.049324641801</v>
      </c>
      <c r="AT359" s="6">
        <v>0</v>
      </c>
      <c r="AU359" t="s">
        <v>2973</v>
      </c>
      <c r="AV359" t="s">
        <v>2973</v>
      </c>
    </row>
    <row r="360" spans="1:48" x14ac:dyDescent="0.45">
      <c r="A360" s="5" t="s">
        <v>735</v>
      </c>
      <c r="B360">
        <v>2082</v>
      </c>
      <c r="C360" t="s">
        <v>703</v>
      </c>
      <c r="D360">
        <v>4157</v>
      </c>
      <c r="E360" t="s">
        <v>736</v>
      </c>
      <c r="F360" t="s">
        <v>2739</v>
      </c>
      <c r="G360" t="s">
        <v>2740</v>
      </c>
      <c r="H360" t="s">
        <v>2741</v>
      </c>
      <c r="I360" t="s">
        <v>2742</v>
      </c>
      <c r="J360">
        <v>547.63662790690103</v>
      </c>
      <c r="K360">
        <v>1</v>
      </c>
      <c r="L360">
        <v>1</v>
      </c>
      <c r="M360">
        <v>2</v>
      </c>
      <c r="N360" s="6">
        <v>3871312.4810079699</v>
      </c>
      <c r="O360" s="6">
        <v>1191457.83484288</v>
      </c>
      <c r="P360" s="6">
        <v>1184973.0696914999</v>
      </c>
      <c r="Q360" s="6">
        <v>239070.947037092</v>
      </c>
      <c r="R360" s="6">
        <v>1289790.9858405001</v>
      </c>
      <c r="S360" s="6">
        <v>245947.045897092</v>
      </c>
      <c r="T360" s="6">
        <v>3665109.53</v>
      </c>
      <c r="U360" s="6">
        <v>4111495.78841994</v>
      </c>
      <c r="V360" s="6">
        <v>5711969.0915607698</v>
      </c>
      <c r="W360" s="6">
        <v>952687.32240136096</v>
      </c>
      <c r="X360" s="6">
        <v>0</v>
      </c>
      <c r="Y360" s="6">
        <v>0</v>
      </c>
      <c r="Z360" s="6">
        <v>0</v>
      </c>
      <c r="AA360" s="6">
        <v>1111948.9044578001</v>
      </c>
      <c r="AB360" s="6">
        <v>0</v>
      </c>
      <c r="AC360" s="6">
        <v>203079.230459757</v>
      </c>
      <c r="AD360" s="6">
        <v>42867.815437334997</v>
      </c>
      <c r="AE360" s="6">
        <v>0</v>
      </c>
      <c r="AF360" s="6">
        <v>0</v>
      </c>
      <c r="AG360" s="6">
        <v>0</v>
      </c>
      <c r="AH360" s="6">
        <v>0</v>
      </c>
      <c r="AI360" s="6">
        <v>0</v>
      </c>
      <c r="AJ360" s="6">
        <v>8022552.3643170204</v>
      </c>
      <c r="AK360" s="6">
        <v>14649.4079385809</v>
      </c>
      <c r="AL360" s="6">
        <v>330.98244656580999</v>
      </c>
      <c r="AM360" s="6">
        <v>93035.839999999997</v>
      </c>
      <c r="AN360" s="6">
        <v>7956.8140848639496</v>
      </c>
      <c r="AO360" s="6">
        <v>19398.220093063599</v>
      </c>
      <c r="AP360" s="6">
        <v>330.98244656580999</v>
      </c>
      <c r="AQ360" s="6">
        <v>93035.839999999997</v>
      </c>
      <c r="AR360" s="6">
        <v>7975.4133215255497</v>
      </c>
      <c r="AS360" s="6">
        <v>16833.049324641801</v>
      </c>
      <c r="AT360" s="6">
        <v>0</v>
      </c>
      <c r="AU360" t="s">
        <v>2973</v>
      </c>
      <c r="AV360" t="s">
        <v>2973</v>
      </c>
    </row>
    <row r="361" spans="1:48" x14ac:dyDescent="0.45">
      <c r="A361" s="5" t="s">
        <v>737</v>
      </c>
      <c r="B361">
        <v>2082</v>
      </c>
      <c r="C361" t="s">
        <v>703</v>
      </c>
      <c r="D361">
        <v>515</v>
      </c>
      <c r="E361" t="s">
        <v>738</v>
      </c>
      <c r="F361" t="s">
        <v>2739</v>
      </c>
      <c r="G361" t="s">
        <v>2740</v>
      </c>
      <c r="H361" t="s">
        <v>2741</v>
      </c>
      <c r="I361" t="s">
        <v>2742</v>
      </c>
      <c r="J361">
        <v>487.76493596179199</v>
      </c>
      <c r="K361">
        <v>1</v>
      </c>
      <c r="L361">
        <v>1</v>
      </c>
      <c r="M361">
        <v>2</v>
      </c>
      <c r="N361" s="6">
        <v>3942914.4056779598</v>
      </c>
      <c r="O361" s="6">
        <v>1009551.2600164</v>
      </c>
      <c r="P361" s="6">
        <v>1108896.5099311899</v>
      </c>
      <c r="Q361" s="6">
        <v>226754.630465058</v>
      </c>
      <c r="R361" s="6">
        <v>1148781.4831106199</v>
      </c>
      <c r="S361" s="6">
        <v>219058.29336233001</v>
      </c>
      <c r="T361" s="6">
        <v>3774901.67</v>
      </c>
      <c r="U361" s="6">
        <v>3661996.6192012201</v>
      </c>
      <c r="V361" s="6">
        <v>5132267.0588229299</v>
      </c>
      <c r="W361" s="6">
        <v>1314248.8152198801</v>
      </c>
      <c r="X361" s="6">
        <v>0</v>
      </c>
      <c r="Y361" s="6">
        <v>0</v>
      </c>
      <c r="Z361" s="6">
        <v>0</v>
      </c>
      <c r="AA361" s="6">
        <v>990382.415158413</v>
      </c>
      <c r="AB361" s="6">
        <v>0</v>
      </c>
      <c r="AC361" s="6">
        <v>180877.10498650701</v>
      </c>
      <c r="AD361" s="6">
        <v>38181.188375822501</v>
      </c>
      <c r="AE361" s="6">
        <v>0</v>
      </c>
      <c r="AF361" s="6">
        <v>0</v>
      </c>
      <c r="AG361" s="6">
        <v>0</v>
      </c>
      <c r="AH361" s="6">
        <v>0</v>
      </c>
      <c r="AI361" s="6">
        <v>0</v>
      </c>
      <c r="AJ361" s="6">
        <v>7655956.5825635605</v>
      </c>
      <c r="AK361" s="6">
        <v>15695.996202488999</v>
      </c>
      <c r="AL361" s="6">
        <v>330.98244656580999</v>
      </c>
      <c r="AM361" s="6">
        <v>93035.839999999997</v>
      </c>
      <c r="AN361" s="6">
        <v>7956.8140848639496</v>
      </c>
      <c r="AO361" s="6">
        <v>19398.220093063599</v>
      </c>
      <c r="AP361" s="6">
        <v>330.98244656580999</v>
      </c>
      <c r="AQ361" s="6">
        <v>93035.839999999997</v>
      </c>
      <c r="AR361" s="6">
        <v>7975.4133215255497</v>
      </c>
      <c r="AS361" s="6">
        <v>16833.049324641801</v>
      </c>
      <c r="AT361" s="6">
        <v>0</v>
      </c>
      <c r="AU361" t="s">
        <v>2973</v>
      </c>
      <c r="AV361" t="s">
        <v>2973</v>
      </c>
    </row>
    <row r="362" spans="1:48" x14ac:dyDescent="0.45">
      <c r="A362" s="5" t="s">
        <v>739</v>
      </c>
      <c r="B362">
        <v>2082</v>
      </c>
      <c r="C362" t="s">
        <v>703</v>
      </c>
      <c r="D362">
        <v>518</v>
      </c>
      <c r="E362" t="s">
        <v>740</v>
      </c>
      <c r="F362" t="s">
        <v>2739</v>
      </c>
      <c r="G362" t="s">
        <v>2747</v>
      </c>
      <c r="H362" t="s">
        <v>2745</v>
      </c>
      <c r="I362" t="s">
        <v>2742</v>
      </c>
      <c r="J362">
        <v>405.78093423317603</v>
      </c>
      <c r="K362">
        <v>1</v>
      </c>
      <c r="L362">
        <v>1</v>
      </c>
      <c r="M362">
        <v>2</v>
      </c>
      <c r="N362" s="6">
        <v>2805484.4344580099</v>
      </c>
      <c r="O362" s="6">
        <v>1345159.34753482</v>
      </c>
      <c r="P362" s="6">
        <v>944582.83723829605</v>
      </c>
      <c r="Q362" s="6">
        <v>177630.91844643501</v>
      </c>
      <c r="R362" s="6">
        <v>955693.18144450197</v>
      </c>
      <c r="S362" s="6">
        <v>182238.76375372399</v>
      </c>
      <c r="T362" s="6">
        <v>3182066.03</v>
      </c>
      <c r="U362" s="6">
        <v>3046484.6891220598</v>
      </c>
      <c r="V362" s="6">
        <v>4635102.7808720702</v>
      </c>
      <c r="W362" s="6">
        <v>769529.95636667195</v>
      </c>
      <c r="X362" s="6">
        <v>0</v>
      </c>
      <c r="Y362" s="6">
        <v>0</v>
      </c>
      <c r="Z362" s="6">
        <v>0</v>
      </c>
      <c r="AA362" s="6">
        <v>823917.98188332596</v>
      </c>
      <c r="AB362" s="6">
        <v>0</v>
      </c>
      <c r="AC362" s="6">
        <v>150475.106411844</v>
      </c>
      <c r="AD362" s="6">
        <v>31763.6573418794</v>
      </c>
      <c r="AE362" s="6">
        <v>0</v>
      </c>
      <c r="AF362" s="6">
        <v>0</v>
      </c>
      <c r="AG362" s="6">
        <v>0</v>
      </c>
      <c r="AH362" s="6">
        <v>0</v>
      </c>
      <c r="AI362" s="6">
        <v>0</v>
      </c>
      <c r="AJ362" s="6">
        <v>6410789.4828757904</v>
      </c>
      <c r="AK362" s="6">
        <v>15798.646368121201</v>
      </c>
      <c r="AL362" s="6">
        <v>330.98244656580999</v>
      </c>
      <c r="AM362" s="6">
        <v>93035.839999999997</v>
      </c>
      <c r="AN362" s="6">
        <v>7956.8140848639496</v>
      </c>
      <c r="AO362" s="6">
        <v>19398.220093063599</v>
      </c>
      <c r="AP362" s="6">
        <v>3753.1860850462999</v>
      </c>
      <c r="AQ362" s="6">
        <v>20687.885194392002</v>
      </c>
      <c r="AR362" s="6">
        <v>13831.6915874156</v>
      </c>
      <c r="AS362" s="6">
        <v>15798.646368121201</v>
      </c>
      <c r="AT362" s="6">
        <v>0</v>
      </c>
      <c r="AU362" t="s">
        <v>2973</v>
      </c>
      <c r="AV362" t="s">
        <v>2973</v>
      </c>
    </row>
    <row r="363" spans="1:48" x14ac:dyDescent="0.45">
      <c r="A363" s="5" t="s">
        <v>741</v>
      </c>
      <c r="B363">
        <v>2082</v>
      </c>
      <c r="C363" t="s">
        <v>703</v>
      </c>
      <c r="D363">
        <v>519</v>
      </c>
      <c r="E363" t="s">
        <v>742</v>
      </c>
      <c r="F363" t="s">
        <v>2739</v>
      </c>
      <c r="G363" t="s">
        <v>2747</v>
      </c>
      <c r="H363" t="s">
        <v>2745</v>
      </c>
      <c r="I363" t="s">
        <v>2742</v>
      </c>
      <c r="J363">
        <v>374.983466759446</v>
      </c>
      <c r="K363">
        <v>1</v>
      </c>
      <c r="L363">
        <v>1</v>
      </c>
      <c r="M363">
        <v>2</v>
      </c>
      <c r="N363" s="6">
        <v>2216281.3281837502</v>
      </c>
      <c r="O363" s="6">
        <v>1116298.97451769</v>
      </c>
      <c r="P363" s="6">
        <v>924768.480368283</v>
      </c>
      <c r="Q363" s="6">
        <v>162358.09544359101</v>
      </c>
      <c r="R363" s="6">
        <v>883159.14352568495</v>
      </c>
      <c r="S363" s="6">
        <v>168407.427863672</v>
      </c>
      <c r="T363" s="6">
        <v>2487599.7200000002</v>
      </c>
      <c r="U363" s="6">
        <v>2815266.3020390002</v>
      </c>
      <c r="V363" s="6">
        <v>4050570.8582409802</v>
      </c>
      <c r="W363" s="6">
        <v>490909.90611975302</v>
      </c>
      <c r="X363" s="6">
        <v>0</v>
      </c>
      <c r="Y363" s="6">
        <v>0</v>
      </c>
      <c r="Z363" s="6">
        <v>0</v>
      </c>
      <c r="AA363" s="6">
        <v>761385.25767827104</v>
      </c>
      <c r="AB363" s="6">
        <v>0</v>
      </c>
      <c r="AC363" s="6">
        <v>139054.529927436</v>
      </c>
      <c r="AD363" s="6">
        <v>29352.897936236499</v>
      </c>
      <c r="AE363" s="6">
        <v>0</v>
      </c>
      <c r="AF363" s="6">
        <v>0</v>
      </c>
      <c r="AG363" s="6">
        <v>0</v>
      </c>
      <c r="AH363" s="6">
        <v>0</v>
      </c>
      <c r="AI363" s="6">
        <v>0</v>
      </c>
      <c r="AJ363" s="6">
        <v>5471273.4499026798</v>
      </c>
      <c r="AK363" s="6">
        <v>14590.7058174715</v>
      </c>
      <c r="AL363" s="6">
        <v>330.98244656580999</v>
      </c>
      <c r="AM363" s="6">
        <v>93035.839999999997</v>
      </c>
      <c r="AN363" s="6">
        <v>7956.8140848639496</v>
      </c>
      <c r="AO363" s="6">
        <v>19398.220093063599</v>
      </c>
      <c r="AP363" s="6">
        <v>3753.1860850462999</v>
      </c>
      <c r="AQ363" s="6">
        <v>20687.885194392002</v>
      </c>
      <c r="AR363" s="6">
        <v>13831.6915874156</v>
      </c>
      <c r="AS363" s="6">
        <v>15798.646368121201</v>
      </c>
      <c r="AT363" s="6">
        <v>0</v>
      </c>
      <c r="AU363" t="s">
        <v>2973</v>
      </c>
      <c r="AV363" t="s">
        <v>2973</v>
      </c>
    </row>
    <row r="364" spans="1:48" x14ac:dyDescent="0.45">
      <c r="A364" s="5" t="s">
        <v>743</v>
      </c>
      <c r="B364">
        <v>2082</v>
      </c>
      <c r="C364" t="s">
        <v>703</v>
      </c>
      <c r="D364">
        <v>520</v>
      </c>
      <c r="E364" t="s">
        <v>744</v>
      </c>
      <c r="F364" t="s">
        <v>2739</v>
      </c>
      <c r="G364" t="s">
        <v>2747</v>
      </c>
      <c r="H364" t="s">
        <v>2745</v>
      </c>
      <c r="I364" t="s">
        <v>2742</v>
      </c>
      <c r="J364">
        <v>416.09301521315399</v>
      </c>
      <c r="K364">
        <v>1</v>
      </c>
      <c r="L364">
        <v>1</v>
      </c>
      <c r="M364">
        <v>2</v>
      </c>
      <c r="N364" s="6">
        <v>2637811.8114585299</v>
      </c>
      <c r="O364" s="6">
        <v>1280668.7486749201</v>
      </c>
      <c r="P364" s="6">
        <v>971614.02655578102</v>
      </c>
      <c r="Q364" s="6">
        <v>181666.32150409999</v>
      </c>
      <c r="R364" s="6">
        <v>979980.14184024499</v>
      </c>
      <c r="S364" s="6">
        <v>186869.98402796101</v>
      </c>
      <c r="T364" s="6">
        <v>2927836.27</v>
      </c>
      <c r="U364" s="6">
        <v>3123904.7800335698</v>
      </c>
      <c r="V364" s="6">
        <v>4589844.2305255299</v>
      </c>
      <c r="W364" s="6">
        <v>617040.67066501197</v>
      </c>
      <c r="X364" s="6">
        <v>0</v>
      </c>
      <c r="Y364" s="6">
        <v>0</v>
      </c>
      <c r="Z364" s="6">
        <v>0</v>
      </c>
      <c r="AA364" s="6">
        <v>844856.14884303499</v>
      </c>
      <c r="AB364" s="6">
        <v>0</v>
      </c>
      <c r="AC364" s="6">
        <v>154299.119202692</v>
      </c>
      <c r="AD364" s="6">
        <v>32570.8648252688</v>
      </c>
      <c r="AE364" s="6">
        <v>0</v>
      </c>
      <c r="AF364" s="6">
        <v>0</v>
      </c>
      <c r="AG364" s="6">
        <v>0</v>
      </c>
      <c r="AH364" s="6">
        <v>0</v>
      </c>
      <c r="AI364" s="6">
        <v>0</v>
      </c>
      <c r="AJ364" s="6">
        <v>6238611.0340615399</v>
      </c>
      <c r="AK364" s="6">
        <v>14993.3087217666</v>
      </c>
      <c r="AL364" s="6">
        <v>330.98244656580999</v>
      </c>
      <c r="AM364" s="6">
        <v>93035.839999999997</v>
      </c>
      <c r="AN364" s="6">
        <v>7956.8140848639496</v>
      </c>
      <c r="AO364" s="6">
        <v>19398.220093063599</v>
      </c>
      <c r="AP364" s="6">
        <v>3753.1860850462999</v>
      </c>
      <c r="AQ364" s="6">
        <v>20687.885194392002</v>
      </c>
      <c r="AR364" s="6">
        <v>13831.6915874156</v>
      </c>
      <c r="AS364" s="6">
        <v>15798.646368121201</v>
      </c>
      <c r="AT364" s="6">
        <v>0</v>
      </c>
      <c r="AU364" t="s">
        <v>2973</v>
      </c>
      <c r="AV364" t="s">
        <v>2973</v>
      </c>
    </row>
    <row r="365" spans="1:48" x14ac:dyDescent="0.45">
      <c r="A365" s="5" t="s">
        <v>745</v>
      </c>
      <c r="B365">
        <v>2082</v>
      </c>
      <c r="C365" t="s">
        <v>703</v>
      </c>
      <c r="D365">
        <v>522</v>
      </c>
      <c r="E365" t="s">
        <v>746</v>
      </c>
      <c r="F365" t="s">
        <v>2739</v>
      </c>
      <c r="G365" t="s">
        <v>2740</v>
      </c>
      <c r="H365" t="s">
        <v>2741</v>
      </c>
      <c r="I365" t="s">
        <v>2742</v>
      </c>
      <c r="J365">
        <v>334.15697674414298</v>
      </c>
      <c r="K365">
        <v>1</v>
      </c>
      <c r="L365">
        <v>1</v>
      </c>
      <c r="M365">
        <v>2</v>
      </c>
      <c r="N365" s="6">
        <v>2670593.7060376601</v>
      </c>
      <c r="O365" s="6">
        <v>842854.48323477898</v>
      </c>
      <c r="P365" s="6">
        <v>814783.58549246297</v>
      </c>
      <c r="Q365" s="6">
        <v>147269.56633034101</v>
      </c>
      <c r="R365" s="6">
        <v>787004.80299790599</v>
      </c>
      <c r="S365" s="6">
        <v>150071.995020203</v>
      </c>
      <c r="T365" s="6">
        <v>2753753.2</v>
      </c>
      <c r="U365" s="6">
        <v>2508752.9440931501</v>
      </c>
      <c r="V365" s="6">
        <v>3761787.4050896498</v>
      </c>
      <c r="W365" s="6">
        <v>822229.63642516197</v>
      </c>
      <c r="X365" s="6">
        <v>0</v>
      </c>
      <c r="Y365" s="6">
        <v>0</v>
      </c>
      <c r="Z365" s="6">
        <v>0</v>
      </c>
      <c r="AA365" s="6">
        <v>678489.10257833998</v>
      </c>
      <c r="AB365" s="6">
        <v>0</v>
      </c>
      <c r="AC365" s="6">
        <v>123914.906768245</v>
      </c>
      <c r="AD365" s="6">
        <v>26157.088251958499</v>
      </c>
      <c r="AE365" s="6">
        <v>0</v>
      </c>
      <c r="AF365" s="6">
        <v>0</v>
      </c>
      <c r="AG365" s="6">
        <v>0</v>
      </c>
      <c r="AH365" s="6">
        <v>0</v>
      </c>
      <c r="AI365" s="6">
        <v>0</v>
      </c>
      <c r="AJ365" s="6">
        <v>5412578.1391133601</v>
      </c>
      <c r="AK365" s="6">
        <v>16197.711003525301</v>
      </c>
      <c r="AL365" s="6">
        <v>330.98244656580999</v>
      </c>
      <c r="AM365" s="6">
        <v>93035.839999999997</v>
      </c>
      <c r="AN365" s="6">
        <v>7956.8140848639496</v>
      </c>
      <c r="AO365" s="6">
        <v>19398.220093063599</v>
      </c>
      <c r="AP365" s="6">
        <v>330.98244656580999</v>
      </c>
      <c r="AQ365" s="6">
        <v>93035.839999999997</v>
      </c>
      <c r="AR365" s="6">
        <v>7975.4133215255497</v>
      </c>
      <c r="AS365" s="6">
        <v>16833.049324641801</v>
      </c>
      <c r="AT365" s="6">
        <v>0</v>
      </c>
      <c r="AU365" t="s">
        <v>2973</v>
      </c>
      <c r="AV365" t="s">
        <v>2973</v>
      </c>
    </row>
    <row r="366" spans="1:48" x14ac:dyDescent="0.45">
      <c r="A366" s="5" t="s">
        <v>747</v>
      </c>
      <c r="B366">
        <v>2082</v>
      </c>
      <c r="C366" t="s">
        <v>703</v>
      </c>
      <c r="D366">
        <v>524</v>
      </c>
      <c r="E366" t="s">
        <v>748</v>
      </c>
      <c r="F366" t="s">
        <v>2739</v>
      </c>
      <c r="G366" t="s">
        <v>2747</v>
      </c>
      <c r="H366" t="s">
        <v>2745</v>
      </c>
      <c r="I366" t="s">
        <v>2742</v>
      </c>
      <c r="J366">
        <v>563.68315740399203</v>
      </c>
      <c r="K366">
        <v>1</v>
      </c>
      <c r="L366">
        <v>1</v>
      </c>
      <c r="M366">
        <v>2</v>
      </c>
      <c r="N366" s="6">
        <v>3190240.25788598</v>
      </c>
      <c r="O366" s="6">
        <v>1539671.02131714</v>
      </c>
      <c r="P366" s="6">
        <v>1241982.8167179399</v>
      </c>
      <c r="Q366" s="6">
        <v>244060.15726675099</v>
      </c>
      <c r="R366" s="6">
        <v>1327583.69006204</v>
      </c>
      <c r="S366" s="6">
        <v>253153.64298281699</v>
      </c>
      <c r="T366" s="6">
        <v>3311569.5</v>
      </c>
      <c r="U366" s="6">
        <v>4231968.4432498496</v>
      </c>
      <c r="V366" s="6">
        <v>5622825.0213586204</v>
      </c>
      <c r="W366" s="6">
        <v>776182.33829549595</v>
      </c>
      <c r="X366" s="6">
        <v>0</v>
      </c>
      <c r="Y366" s="6">
        <v>0</v>
      </c>
      <c r="Z366" s="6">
        <v>0</v>
      </c>
      <c r="AA366" s="6">
        <v>1144530.5835957299</v>
      </c>
      <c r="AB366" s="6">
        <v>0</v>
      </c>
      <c r="AC366" s="6">
        <v>209029.73978612199</v>
      </c>
      <c r="AD366" s="6">
        <v>44123.903196694897</v>
      </c>
      <c r="AE366" s="6">
        <v>0</v>
      </c>
      <c r="AF366" s="6">
        <v>0</v>
      </c>
      <c r="AG366" s="6">
        <v>0</v>
      </c>
      <c r="AH366" s="6">
        <v>0</v>
      </c>
      <c r="AI366" s="6">
        <v>0</v>
      </c>
      <c r="AJ366" s="6">
        <v>7796691.5862326697</v>
      </c>
      <c r="AK366" s="6">
        <v>13831.6915874156</v>
      </c>
      <c r="AL366" s="6">
        <v>330.98244656580999</v>
      </c>
      <c r="AM366" s="6">
        <v>93035.839999999997</v>
      </c>
      <c r="AN366" s="6">
        <v>7956.8140848639496</v>
      </c>
      <c r="AO366" s="6">
        <v>19398.220093063599</v>
      </c>
      <c r="AP366" s="6">
        <v>3753.1860850462999</v>
      </c>
      <c r="AQ366" s="6">
        <v>20687.885194392002</v>
      </c>
      <c r="AR366" s="6">
        <v>13831.6915874156</v>
      </c>
      <c r="AS366" s="6">
        <v>15798.646368121201</v>
      </c>
      <c r="AT366" s="6">
        <v>0</v>
      </c>
      <c r="AU366" t="s">
        <v>2973</v>
      </c>
      <c r="AV366" t="s">
        <v>2973</v>
      </c>
    </row>
    <row r="367" spans="1:48" x14ac:dyDescent="0.45">
      <c r="A367" s="5" t="s">
        <v>749</v>
      </c>
      <c r="B367">
        <v>2082</v>
      </c>
      <c r="C367" t="s">
        <v>703</v>
      </c>
      <c r="D367">
        <v>4041</v>
      </c>
      <c r="E367" t="s">
        <v>750</v>
      </c>
      <c r="F367" t="s">
        <v>3</v>
      </c>
      <c r="G367" t="s">
        <v>2744</v>
      </c>
      <c r="H367" t="s">
        <v>2745</v>
      </c>
      <c r="I367" t="s">
        <v>2742</v>
      </c>
      <c r="J367">
        <v>111.533728294068</v>
      </c>
      <c r="K367">
        <v>1</v>
      </c>
      <c r="L367">
        <v>2</v>
      </c>
      <c r="M367">
        <v>2</v>
      </c>
      <c r="N367" s="6">
        <v>223809.909766806</v>
      </c>
      <c r="O367" s="6">
        <v>128029.603300731</v>
      </c>
      <c r="P367" s="6">
        <v>174548.257718432</v>
      </c>
      <c r="Q367" s="6">
        <v>48291.205636445797</v>
      </c>
      <c r="R367" s="6">
        <v>262683.66657777101</v>
      </c>
      <c r="S367" s="6">
        <v>50090.497227439198</v>
      </c>
      <c r="T367" s="6">
        <v>0</v>
      </c>
      <c r="U367" s="6">
        <v>837362.64300018596</v>
      </c>
      <c r="V367" s="6">
        <v>512082.01893698802</v>
      </c>
      <c r="W367" s="6">
        <v>98816.942368470598</v>
      </c>
      <c r="X367" s="6">
        <v>0</v>
      </c>
      <c r="Y367" s="6">
        <v>0</v>
      </c>
      <c r="Z367" s="6">
        <v>0</v>
      </c>
      <c r="AA367" s="6">
        <v>226463.681694728</v>
      </c>
      <c r="AB367" s="6">
        <v>0</v>
      </c>
      <c r="AC367" s="6">
        <v>41359.877258095701</v>
      </c>
      <c r="AD367" s="6">
        <v>8730.6199693435501</v>
      </c>
      <c r="AE367" s="6">
        <v>0</v>
      </c>
      <c r="AF367" s="6">
        <v>0</v>
      </c>
      <c r="AG367" s="6">
        <v>0</v>
      </c>
      <c r="AH367" s="6">
        <v>0</v>
      </c>
      <c r="AI367" s="6">
        <v>0</v>
      </c>
      <c r="AJ367" s="6">
        <v>887453.14022762596</v>
      </c>
      <c r="AK367" s="6">
        <v>7956.8140848639696</v>
      </c>
      <c r="AL367" s="6">
        <v>330.98244656580999</v>
      </c>
      <c r="AM367" s="6">
        <v>93035.839999999997</v>
      </c>
      <c r="AN367" s="6">
        <v>7956.8140848639496</v>
      </c>
      <c r="AO367" s="6">
        <v>19398.220093063599</v>
      </c>
      <c r="AP367" s="6">
        <v>330.98244656580999</v>
      </c>
      <c r="AQ367" s="6">
        <v>40734.411818744898</v>
      </c>
      <c r="AR367" s="6">
        <v>7956.8140848639696</v>
      </c>
      <c r="AS367" s="6">
        <v>19398.220093063599</v>
      </c>
      <c r="AT367" s="6">
        <v>0</v>
      </c>
      <c r="AU367" t="s">
        <v>2973</v>
      </c>
      <c r="AV367" t="s">
        <v>2976</v>
      </c>
    </row>
    <row r="368" spans="1:48" x14ac:dyDescent="0.45">
      <c r="A368" s="5" t="s">
        <v>751</v>
      </c>
      <c r="B368">
        <v>2082</v>
      </c>
      <c r="C368" t="s">
        <v>703</v>
      </c>
      <c r="D368">
        <v>536</v>
      </c>
      <c r="E368" t="s">
        <v>752</v>
      </c>
      <c r="F368" t="s">
        <v>2739</v>
      </c>
      <c r="G368" t="s">
        <v>2744</v>
      </c>
      <c r="H368" t="s">
        <v>2745</v>
      </c>
      <c r="I368" t="s">
        <v>2742</v>
      </c>
      <c r="J368">
        <v>910.54593922670495</v>
      </c>
      <c r="K368">
        <v>1</v>
      </c>
      <c r="L368">
        <v>1</v>
      </c>
      <c r="M368">
        <v>2</v>
      </c>
      <c r="N368" s="6">
        <v>6628201.9735663999</v>
      </c>
      <c r="O368" s="6">
        <v>3513405.2523701298</v>
      </c>
      <c r="P368" s="6">
        <v>1858912.1162376199</v>
      </c>
      <c r="Q368" s="6">
        <v>394265.47697756102</v>
      </c>
      <c r="R368" s="6">
        <v>2191860.3302129698</v>
      </c>
      <c r="S368" s="6">
        <v>408931.89479004702</v>
      </c>
      <c r="T368" s="6">
        <v>7750532.29</v>
      </c>
      <c r="U368" s="6">
        <v>6836112.85936468</v>
      </c>
      <c r="V368" s="6">
        <v>11123135.421724601</v>
      </c>
      <c r="W368" s="6">
        <v>1581443.3069149801</v>
      </c>
      <c r="X368" s="6">
        <v>0</v>
      </c>
      <c r="Y368" s="6">
        <v>0</v>
      </c>
      <c r="Z368" s="6">
        <v>0</v>
      </c>
      <c r="AA368" s="6">
        <v>1864722.0507251101</v>
      </c>
      <c r="AB368" s="6">
        <v>17344.37</v>
      </c>
      <c r="AC368" s="6">
        <v>337656.32029246102</v>
      </c>
      <c r="AD368" s="6">
        <v>71275.574497586204</v>
      </c>
      <c r="AE368" s="6">
        <v>0</v>
      </c>
      <c r="AF368" s="6">
        <v>0</v>
      </c>
      <c r="AG368" s="6">
        <v>0</v>
      </c>
      <c r="AH368" s="6">
        <v>0</v>
      </c>
      <c r="AI368" s="6">
        <v>0</v>
      </c>
      <c r="AJ368" s="6">
        <v>14995577.0441547</v>
      </c>
      <c r="AK368" s="6">
        <v>16468.775926769798</v>
      </c>
      <c r="AL368" s="6">
        <v>330.98244656580999</v>
      </c>
      <c r="AM368" s="6">
        <v>93035.839999999997</v>
      </c>
      <c r="AN368" s="6">
        <v>7956.8140848639496</v>
      </c>
      <c r="AO368" s="6">
        <v>19398.220093063599</v>
      </c>
      <c r="AP368" s="6">
        <v>330.98244656580999</v>
      </c>
      <c r="AQ368" s="6">
        <v>40734.411818744898</v>
      </c>
      <c r="AR368" s="6">
        <v>7956.8140848639696</v>
      </c>
      <c r="AS368" s="6">
        <v>19398.220093063599</v>
      </c>
      <c r="AT368" s="6">
        <v>0</v>
      </c>
      <c r="AU368" t="s">
        <v>2973</v>
      </c>
      <c r="AV368" t="s">
        <v>2973</v>
      </c>
    </row>
    <row r="369" spans="1:48" x14ac:dyDescent="0.45">
      <c r="A369" s="5" t="s">
        <v>753</v>
      </c>
      <c r="B369">
        <v>2082</v>
      </c>
      <c r="C369" t="s">
        <v>703</v>
      </c>
      <c r="D369">
        <v>3233</v>
      </c>
      <c r="E369" t="s">
        <v>754</v>
      </c>
      <c r="F369" t="s">
        <v>3</v>
      </c>
      <c r="G369" t="s">
        <v>2740</v>
      </c>
      <c r="H369" t="s">
        <v>2741</v>
      </c>
      <c r="I369" t="s">
        <v>2742</v>
      </c>
      <c r="J369">
        <v>243.05453629868899</v>
      </c>
      <c r="K369">
        <v>1</v>
      </c>
      <c r="L369">
        <v>1</v>
      </c>
      <c r="M369">
        <v>2</v>
      </c>
      <c r="N369" s="6">
        <v>491927.028132673</v>
      </c>
      <c r="O369" s="6">
        <v>279002.38195856498</v>
      </c>
      <c r="P369" s="6">
        <v>380903.83193012798</v>
      </c>
      <c r="Q369" s="6">
        <v>105236.297331731</v>
      </c>
      <c r="R369" s="6">
        <v>572440.80109079997</v>
      </c>
      <c r="S369" s="6">
        <v>109157.317367589</v>
      </c>
      <c r="T369" s="6">
        <v>4727.8999999999996</v>
      </c>
      <c r="U369" s="6">
        <v>1824782.4404438999</v>
      </c>
      <c r="V369" s="6">
        <v>1115930.2173730601</v>
      </c>
      <c r="W369" s="6">
        <v>220069.98954709899</v>
      </c>
      <c r="X369" s="6">
        <v>0</v>
      </c>
      <c r="Y369" s="6">
        <v>0</v>
      </c>
      <c r="Z369" s="6">
        <v>0</v>
      </c>
      <c r="AA369" s="6">
        <v>493510.13352374203</v>
      </c>
      <c r="AB369" s="6">
        <v>0</v>
      </c>
      <c r="AC369" s="6">
        <v>90131.531888115394</v>
      </c>
      <c r="AD369" s="6">
        <v>19025.785479474001</v>
      </c>
      <c r="AE369" s="6">
        <v>0</v>
      </c>
      <c r="AF369" s="6">
        <v>0</v>
      </c>
      <c r="AG369" s="6">
        <v>0</v>
      </c>
      <c r="AH369" s="6">
        <v>0</v>
      </c>
      <c r="AI369" s="6">
        <v>0</v>
      </c>
      <c r="AJ369" s="6">
        <v>1938667.6578114899</v>
      </c>
      <c r="AK369" s="6">
        <v>7976.26609786481</v>
      </c>
      <c r="AL369" s="6">
        <v>330.98244656580999</v>
      </c>
      <c r="AM369" s="6">
        <v>93035.839999999997</v>
      </c>
      <c r="AN369" s="6">
        <v>7956.8140848639496</v>
      </c>
      <c r="AO369" s="6">
        <v>19398.220093063599</v>
      </c>
      <c r="AP369" s="6">
        <v>330.98244656580999</v>
      </c>
      <c r="AQ369" s="6">
        <v>93035.839999999997</v>
      </c>
      <c r="AR369" s="6">
        <v>7975.4133215255497</v>
      </c>
      <c r="AS369" s="6">
        <v>16833.049324641801</v>
      </c>
      <c r="AT369" s="6">
        <v>0</v>
      </c>
      <c r="AU369" t="s">
        <v>2973</v>
      </c>
      <c r="AV369" t="s">
        <v>2973</v>
      </c>
    </row>
    <row r="370" spans="1:48" x14ac:dyDescent="0.45">
      <c r="A370" s="5" t="s">
        <v>755</v>
      </c>
      <c r="B370">
        <v>2082</v>
      </c>
      <c r="C370" t="s">
        <v>703</v>
      </c>
      <c r="D370">
        <v>525</v>
      </c>
      <c r="E370" t="s">
        <v>756</v>
      </c>
      <c r="F370" t="s">
        <v>2739</v>
      </c>
      <c r="G370" t="s">
        <v>2740</v>
      </c>
      <c r="H370" t="s">
        <v>2741</v>
      </c>
      <c r="I370" t="s">
        <v>2742</v>
      </c>
      <c r="J370">
        <v>377.09302325578199</v>
      </c>
      <c r="K370">
        <v>3</v>
      </c>
      <c r="L370">
        <v>1</v>
      </c>
      <c r="M370">
        <v>2</v>
      </c>
      <c r="N370" s="6">
        <v>2655351.4739861698</v>
      </c>
      <c r="O370" s="6">
        <v>885461.70511194202</v>
      </c>
      <c r="P370" s="6">
        <v>911821.96794506395</v>
      </c>
      <c r="Q370" s="6">
        <v>165248.998580015</v>
      </c>
      <c r="R370" s="6">
        <v>888127.56019915501</v>
      </c>
      <c r="S370" s="6">
        <v>169354.84292319801</v>
      </c>
      <c r="T370" s="6">
        <v>2674907.4700000002</v>
      </c>
      <c r="U370" s="6">
        <v>2831104.23582234</v>
      </c>
      <c r="V370" s="6">
        <v>3898976.0122543601</v>
      </c>
      <c r="W370" s="6">
        <v>841367.08646519098</v>
      </c>
      <c r="X370" s="6">
        <v>0</v>
      </c>
      <c r="Y370" s="6">
        <v>0</v>
      </c>
      <c r="Z370" s="6">
        <v>0</v>
      </c>
      <c r="AA370" s="6">
        <v>765668.60710279399</v>
      </c>
      <c r="AB370" s="6">
        <v>0</v>
      </c>
      <c r="AC370" s="6">
        <v>139836.813449129</v>
      </c>
      <c r="AD370" s="6">
        <v>29518.0294740688</v>
      </c>
      <c r="AE370" s="6">
        <v>0</v>
      </c>
      <c r="AF370" s="6">
        <v>0</v>
      </c>
      <c r="AG370" s="6">
        <v>0</v>
      </c>
      <c r="AH370" s="6">
        <v>0</v>
      </c>
      <c r="AI370" s="6">
        <v>0</v>
      </c>
      <c r="AJ370" s="6">
        <v>5675366.5487455297</v>
      </c>
      <c r="AK370" s="6">
        <v>15050.309071605199</v>
      </c>
      <c r="AL370" s="6">
        <v>330.98244656580999</v>
      </c>
      <c r="AM370" s="6">
        <v>93035.839999999997</v>
      </c>
      <c r="AN370" s="6">
        <v>7956.8140848639496</v>
      </c>
      <c r="AO370" s="6">
        <v>19398.220093063599</v>
      </c>
      <c r="AP370" s="6">
        <v>330.98244656580999</v>
      </c>
      <c r="AQ370" s="6">
        <v>93035.839999999997</v>
      </c>
      <c r="AR370" s="6">
        <v>7975.4133215255497</v>
      </c>
      <c r="AS370" s="6">
        <v>16833.049324641801</v>
      </c>
      <c r="AT370" s="6">
        <v>0</v>
      </c>
      <c r="AU370" t="s">
        <v>2973</v>
      </c>
      <c r="AV370" t="s">
        <v>2973</v>
      </c>
    </row>
    <row r="371" spans="1:48" x14ac:dyDescent="0.45">
      <c r="A371" s="5" t="s">
        <v>757</v>
      </c>
      <c r="B371">
        <v>2082</v>
      </c>
      <c r="C371" t="s">
        <v>703</v>
      </c>
      <c r="D371">
        <v>526</v>
      </c>
      <c r="E371" t="s">
        <v>758</v>
      </c>
      <c r="F371" t="s">
        <v>2739</v>
      </c>
      <c r="G371" t="s">
        <v>2747</v>
      </c>
      <c r="H371" t="s">
        <v>2745</v>
      </c>
      <c r="I371" t="s">
        <v>2742</v>
      </c>
      <c r="J371">
        <v>569.02034458748005</v>
      </c>
      <c r="K371">
        <v>1</v>
      </c>
      <c r="L371">
        <v>1</v>
      </c>
      <c r="M371">
        <v>2</v>
      </c>
      <c r="N371" s="6">
        <v>3517041.0606231601</v>
      </c>
      <c r="O371" s="6">
        <v>1463520.71023609</v>
      </c>
      <c r="P371" s="6">
        <v>1240623.69765977</v>
      </c>
      <c r="Q371" s="6">
        <v>246371.020605942</v>
      </c>
      <c r="R371" s="6">
        <v>1340153.8060262001</v>
      </c>
      <c r="S371" s="6">
        <v>255550.607236643</v>
      </c>
      <c r="T371" s="6">
        <v>3535671.81</v>
      </c>
      <c r="U371" s="6">
        <v>4272038.4851511596</v>
      </c>
      <c r="V371" s="6">
        <v>5874670.2554714596</v>
      </c>
      <c r="W371" s="6">
        <v>777672.56326280697</v>
      </c>
      <c r="X371" s="6">
        <v>0</v>
      </c>
      <c r="Y371" s="6">
        <v>0</v>
      </c>
      <c r="Z371" s="6">
        <v>0</v>
      </c>
      <c r="AA371" s="6">
        <v>1155367.47641689</v>
      </c>
      <c r="AB371" s="6">
        <v>0</v>
      </c>
      <c r="AC371" s="6">
        <v>211008.92052533699</v>
      </c>
      <c r="AD371" s="6">
        <v>44541.686711305199</v>
      </c>
      <c r="AE371" s="6">
        <v>0</v>
      </c>
      <c r="AF371" s="6">
        <v>0</v>
      </c>
      <c r="AG371" s="6">
        <v>0</v>
      </c>
      <c r="AH371" s="6">
        <v>0</v>
      </c>
      <c r="AI371" s="6">
        <v>0</v>
      </c>
      <c r="AJ371" s="6">
        <v>8063260.9023877904</v>
      </c>
      <c r="AK371" s="6">
        <v>14170.4263812103</v>
      </c>
      <c r="AL371" s="6">
        <v>330.98244656580999</v>
      </c>
      <c r="AM371" s="6">
        <v>93035.839999999997</v>
      </c>
      <c r="AN371" s="6">
        <v>7956.8140848639496</v>
      </c>
      <c r="AO371" s="6">
        <v>19398.220093063599</v>
      </c>
      <c r="AP371" s="6">
        <v>3753.1860850462999</v>
      </c>
      <c r="AQ371" s="6">
        <v>20687.885194392002</v>
      </c>
      <c r="AR371" s="6">
        <v>13831.6915874156</v>
      </c>
      <c r="AS371" s="6">
        <v>15798.646368121201</v>
      </c>
      <c r="AT371" s="6">
        <v>0</v>
      </c>
      <c r="AU371" t="s">
        <v>2973</v>
      </c>
      <c r="AV371" t="s">
        <v>2973</v>
      </c>
    </row>
    <row r="372" spans="1:48" x14ac:dyDescent="0.45">
      <c r="A372" s="5" t="s">
        <v>759</v>
      </c>
      <c r="B372">
        <v>2082</v>
      </c>
      <c r="C372" t="s">
        <v>703</v>
      </c>
      <c r="D372">
        <v>538</v>
      </c>
      <c r="E372" t="s">
        <v>760</v>
      </c>
      <c r="F372" t="s">
        <v>2739</v>
      </c>
      <c r="G372" t="s">
        <v>2744</v>
      </c>
      <c r="H372" t="s">
        <v>2745</v>
      </c>
      <c r="I372" t="s">
        <v>2742</v>
      </c>
      <c r="J372">
        <v>1365.70463400364</v>
      </c>
      <c r="K372">
        <v>1</v>
      </c>
      <c r="L372">
        <v>1</v>
      </c>
      <c r="M372">
        <v>2</v>
      </c>
      <c r="N372" s="6">
        <v>9442632.9649767</v>
      </c>
      <c r="O372" s="6">
        <v>4649651.1474329699</v>
      </c>
      <c r="P372" s="6">
        <v>2711377.61131432</v>
      </c>
      <c r="Q372" s="6">
        <v>591911.06243212905</v>
      </c>
      <c r="R372" s="6">
        <v>3259557.5608090502</v>
      </c>
      <c r="S372" s="6">
        <v>613346.52063898603</v>
      </c>
      <c r="T372" s="6">
        <v>10401819</v>
      </c>
      <c r="U372" s="6">
        <v>10253311.346965199</v>
      </c>
      <c r="V372" s="6">
        <v>15797499.000386801</v>
      </c>
      <c r="W372" s="6">
        <v>2071579.0998559999</v>
      </c>
      <c r="X372" s="6">
        <v>0</v>
      </c>
      <c r="Y372" s="6">
        <v>0</v>
      </c>
      <c r="Z372" s="6">
        <v>0</v>
      </c>
      <c r="AA372" s="6">
        <v>2777067.8467224198</v>
      </c>
      <c r="AB372" s="6">
        <v>8984.4</v>
      </c>
      <c r="AC372" s="6">
        <v>506442.10408061498</v>
      </c>
      <c r="AD372" s="6">
        <v>106904.416558371</v>
      </c>
      <c r="AE372" s="6">
        <v>0</v>
      </c>
      <c r="AF372" s="6">
        <v>0</v>
      </c>
      <c r="AG372" s="6">
        <v>0</v>
      </c>
      <c r="AH372" s="6">
        <v>0</v>
      </c>
      <c r="AI372" s="6">
        <v>0</v>
      </c>
      <c r="AJ372" s="6">
        <v>21268476.8676042</v>
      </c>
      <c r="AK372" s="6">
        <v>15573.262576736201</v>
      </c>
      <c r="AL372" s="6">
        <v>330.98244656580999</v>
      </c>
      <c r="AM372" s="6">
        <v>93035.839999999997</v>
      </c>
      <c r="AN372" s="6">
        <v>7956.8140848639496</v>
      </c>
      <c r="AO372" s="6">
        <v>19398.220093063599</v>
      </c>
      <c r="AP372" s="6">
        <v>330.98244656580999</v>
      </c>
      <c r="AQ372" s="6">
        <v>40734.411818744898</v>
      </c>
      <c r="AR372" s="6">
        <v>7956.8140848639696</v>
      </c>
      <c r="AS372" s="6">
        <v>19398.220093063599</v>
      </c>
      <c r="AT372" s="6">
        <v>0</v>
      </c>
      <c r="AU372" t="s">
        <v>2973</v>
      </c>
      <c r="AV372" t="s">
        <v>2973</v>
      </c>
    </row>
    <row r="373" spans="1:48" x14ac:dyDescent="0.45">
      <c r="A373" s="5" t="s">
        <v>761</v>
      </c>
      <c r="B373">
        <v>2082</v>
      </c>
      <c r="C373" t="s">
        <v>703</v>
      </c>
      <c r="D373">
        <v>539</v>
      </c>
      <c r="E373" t="s">
        <v>762</v>
      </c>
      <c r="F373" t="s">
        <v>2739</v>
      </c>
      <c r="G373" t="s">
        <v>2744</v>
      </c>
      <c r="H373" t="s">
        <v>2745</v>
      </c>
      <c r="I373" t="s">
        <v>2742</v>
      </c>
      <c r="J373">
        <v>1444.93391637322</v>
      </c>
      <c r="K373">
        <v>1</v>
      </c>
      <c r="L373">
        <v>1</v>
      </c>
      <c r="M373">
        <v>2</v>
      </c>
      <c r="N373" s="6">
        <v>9153248.4299749602</v>
      </c>
      <c r="O373" s="6">
        <v>4734121.4866585396</v>
      </c>
      <c r="P373" s="6">
        <v>2837134.90827577</v>
      </c>
      <c r="Q373" s="6">
        <v>627246.73256229004</v>
      </c>
      <c r="R373" s="6">
        <v>3436888.1915263399</v>
      </c>
      <c r="S373" s="6">
        <v>648928.88849816599</v>
      </c>
      <c r="T373" s="6">
        <v>9940498.0999999996</v>
      </c>
      <c r="U373" s="6">
        <v>10848141.648997899</v>
      </c>
      <c r="V373" s="6">
        <v>15413334.674198501</v>
      </c>
      <c r="W373" s="6">
        <v>2422314.62529448</v>
      </c>
      <c r="X373" s="6">
        <v>0</v>
      </c>
      <c r="Y373" s="6">
        <v>0</v>
      </c>
      <c r="Z373" s="6">
        <v>0</v>
      </c>
      <c r="AA373" s="6">
        <v>2938765.4495048998</v>
      </c>
      <c r="AB373" s="6">
        <v>14225</v>
      </c>
      <c r="AC373" s="6">
        <v>535822.57440267596</v>
      </c>
      <c r="AD373" s="6">
        <v>113106.31409549</v>
      </c>
      <c r="AE373" s="6">
        <v>0</v>
      </c>
      <c r="AF373" s="6">
        <v>0</v>
      </c>
      <c r="AG373" s="6">
        <v>0</v>
      </c>
      <c r="AH373" s="6">
        <v>0</v>
      </c>
      <c r="AI373" s="6">
        <v>0</v>
      </c>
      <c r="AJ373" s="6">
        <v>21437568.637496099</v>
      </c>
      <c r="AK373" s="6">
        <v>14836.366144207001</v>
      </c>
      <c r="AL373" s="6">
        <v>330.98244656580999</v>
      </c>
      <c r="AM373" s="6">
        <v>93035.839999999997</v>
      </c>
      <c r="AN373" s="6">
        <v>7956.8140848639496</v>
      </c>
      <c r="AO373" s="6">
        <v>19398.220093063599</v>
      </c>
      <c r="AP373" s="6">
        <v>330.98244656580999</v>
      </c>
      <c r="AQ373" s="6">
        <v>40734.411818744898</v>
      </c>
      <c r="AR373" s="6">
        <v>7956.8140848639696</v>
      </c>
      <c r="AS373" s="6">
        <v>19398.220093063599</v>
      </c>
      <c r="AT373" s="6">
        <v>0</v>
      </c>
      <c r="AU373" t="s">
        <v>2973</v>
      </c>
      <c r="AV373" t="s">
        <v>2973</v>
      </c>
    </row>
    <row r="374" spans="1:48" x14ac:dyDescent="0.45">
      <c r="A374" s="5" t="s">
        <v>763</v>
      </c>
      <c r="B374">
        <v>2082</v>
      </c>
      <c r="C374" t="s">
        <v>703</v>
      </c>
      <c r="D374">
        <v>528</v>
      </c>
      <c r="E374" t="s">
        <v>764</v>
      </c>
      <c r="F374" t="s">
        <v>2739</v>
      </c>
      <c r="G374" t="s">
        <v>2747</v>
      </c>
      <c r="H374" t="s">
        <v>2745</v>
      </c>
      <c r="I374" t="s">
        <v>2742</v>
      </c>
      <c r="J374">
        <v>428.23671174101099</v>
      </c>
      <c r="K374">
        <v>1</v>
      </c>
      <c r="L374">
        <v>1</v>
      </c>
      <c r="M374">
        <v>2</v>
      </c>
      <c r="N374" s="6">
        <v>2616210.00217856</v>
      </c>
      <c r="O374" s="6">
        <v>1239548.28190335</v>
      </c>
      <c r="P374" s="6">
        <v>957477.240917132</v>
      </c>
      <c r="Q374" s="6">
        <v>185415.36649107499</v>
      </c>
      <c r="R374" s="6">
        <v>1008580.91380883</v>
      </c>
      <c r="S374" s="6">
        <v>192323.79433775099</v>
      </c>
      <c r="T374" s="6">
        <v>2792155.7</v>
      </c>
      <c r="U374" s="6">
        <v>3215076.1052989499</v>
      </c>
      <c r="V374" s="6">
        <v>4568117.9308628403</v>
      </c>
      <c r="W374" s="6">
        <v>569600.55446516105</v>
      </c>
      <c r="X374" s="6">
        <v>0</v>
      </c>
      <c r="Y374" s="6">
        <v>0</v>
      </c>
      <c r="Z374" s="6">
        <v>0</v>
      </c>
      <c r="AA374" s="6">
        <v>869513.319970957</v>
      </c>
      <c r="AB374" s="6">
        <v>0</v>
      </c>
      <c r="AC374" s="6">
        <v>158802.34710992599</v>
      </c>
      <c r="AD374" s="6">
        <v>33521.447227824399</v>
      </c>
      <c r="AE374" s="6">
        <v>0</v>
      </c>
      <c r="AF374" s="6">
        <v>0</v>
      </c>
      <c r="AG374" s="6">
        <v>0</v>
      </c>
      <c r="AH374" s="6">
        <v>0</v>
      </c>
      <c r="AI374" s="6">
        <v>0</v>
      </c>
      <c r="AJ374" s="6">
        <v>6199555.5996367</v>
      </c>
      <c r="AK374" s="6">
        <v>14476.936305699201</v>
      </c>
      <c r="AL374" s="6">
        <v>330.98244656580999</v>
      </c>
      <c r="AM374" s="6">
        <v>93035.839999999997</v>
      </c>
      <c r="AN374" s="6">
        <v>7956.8140848639496</v>
      </c>
      <c r="AO374" s="6">
        <v>19398.220093063599</v>
      </c>
      <c r="AP374" s="6">
        <v>3753.1860850462999</v>
      </c>
      <c r="AQ374" s="6">
        <v>20687.885194392002</v>
      </c>
      <c r="AR374" s="6">
        <v>13831.6915874156</v>
      </c>
      <c r="AS374" s="6">
        <v>15798.646368121201</v>
      </c>
      <c r="AT374" s="6">
        <v>0</v>
      </c>
      <c r="AU374" t="s">
        <v>2973</v>
      </c>
      <c r="AV374" t="s">
        <v>2973</v>
      </c>
    </row>
    <row r="375" spans="1:48" x14ac:dyDescent="0.45">
      <c r="A375" s="5" t="s">
        <v>765</v>
      </c>
      <c r="B375">
        <v>2082</v>
      </c>
      <c r="C375" t="s">
        <v>703</v>
      </c>
      <c r="D375">
        <v>529</v>
      </c>
      <c r="E375" t="s">
        <v>766</v>
      </c>
      <c r="F375" t="s">
        <v>2739</v>
      </c>
      <c r="G375" t="s">
        <v>2740</v>
      </c>
      <c r="H375" t="s">
        <v>2741</v>
      </c>
      <c r="I375" t="s">
        <v>2742</v>
      </c>
      <c r="J375">
        <v>287.09302325579301</v>
      </c>
      <c r="K375">
        <v>1</v>
      </c>
      <c r="L375">
        <v>2</v>
      </c>
      <c r="M375">
        <v>2</v>
      </c>
      <c r="N375" s="6">
        <v>1966679.2756527499</v>
      </c>
      <c r="O375" s="6">
        <v>711213.87558476604</v>
      </c>
      <c r="P375" s="6">
        <v>674210.32364365796</v>
      </c>
      <c r="Q375" s="6">
        <v>125964.897642325</v>
      </c>
      <c r="R375" s="6">
        <v>676160.02039214899</v>
      </c>
      <c r="S375" s="6">
        <v>128935.27819222301</v>
      </c>
      <c r="T375" s="6">
        <v>1998817.86</v>
      </c>
      <c r="U375" s="6">
        <v>2155410.5329156402</v>
      </c>
      <c r="V375" s="6">
        <v>3039604.33179959</v>
      </c>
      <c r="W375" s="6">
        <v>531695.97263723903</v>
      </c>
      <c r="X375" s="6">
        <v>0</v>
      </c>
      <c r="Y375" s="6">
        <v>0</v>
      </c>
      <c r="Z375" s="6">
        <v>0</v>
      </c>
      <c r="AA375" s="6">
        <v>582928.08847882203</v>
      </c>
      <c r="AB375" s="6">
        <v>0</v>
      </c>
      <c r="AC375" s="6">
        <v>106462.254827599</v>
      </c>
      <c r="AD375" s="6">
        <v>22473.0233646243</v>
      </c>
      <c r="AE375" s="6">
        <v>0</v>
      </c>
      <c r="AF375" s="6">
        <v>0</v>
      </c>
      <c r="AG375" s="6">
        <v>0</v>
      </c>
      <c r="AH375" s="6">
        <v>0</v>
      </c>
      <c r="AI375" s="6">
        <v>0</v>
      </c>
      <c r="AJ375" s="6">
        <v>4283163.6711078696</v>
      </c>
      <c r="AK375" s="6">
        <v>14919.079615848699</v>
      </c>
      <c r="AL375" s="6">
        <v>330.98244656580999</v>
      </c>
      <c r="AM375" s="6">
        <v>93035.839999999997</v>
      </c>
      <c r="AN375" s="6">
        <v>7956.8140848639496</v>
      </c>
      <c r="AO375" s="6">
        <v>19398.220093063599</v>
      </c>
      <c r="AP375" s="6">
        <v>330.98244656580999</v>
      </c>
      <c r="AQ375" s="6">
        <v>93035.839999999997</v>
      </c>
      <c r="AR375" s="6">
        <v>7975.4133215255497</v>
      </c>
      <c r="AS375" s="6">
        <v>16833.049324641801</v>
      </c>
      <c r="AT375" s="6">
        <v>0</v>
      </c>
      <c r="AU375" t="s">
        <v>2973</v>
      </c>
      <c r="AV375" t="s">
        <v>2973</v>
      </c>
    </row>
    <row r="376" spans="1:48" x14ac:dyDescent="0.45">
      <c r="A376" s="5" t="s">
        <v>767</v>
      </c>
      <c r="B376">
        <v>2082</v>
      </c>
      <c r="C376" t="s">
        <v>703</v>
      </c>
      <c r="D376">
        <v>530</v>
      </c>
      <c r="E376" t="s">
        <v>768</v>
      </c>
      <c r="F376" t="s">
        <v>2739</v>
      </c>
      <c r="G376" t="s">
        <v>2740</v>
      </c>
      <c r="H376" t="s">
        <v>2741</v>
      </c>
      <c r="I376" t="s">
        <v>2742</v>
      </c>
      <c r="J376">
        <v>232.06976744184399</v>
      </c>
      <c r="K376">
        <v>1</v>
      </c>
      <c r="L376">
        <v>1</v>
      </c>
      <c r="M376">
        <v>2</v>
      </c>
      <c r="N376" s="6">
        <v>1539406.4074571701</v>
      </c>
      <c r="O376" s="6">
        <v>454418.91218391102</v>
      </c>
      <c r="P376" s="6">
        <v>582330.60831106303</v>
      </c>
      <c r="Q376" s="6">
        <v>101288.407906259</v>
      </c>
      <c r="R376" s="6">
        <v>546569.529647085</v>
      </c>
      <c r="S376" s="6">
        <v>104223.988746877</v>
      </c>
      <c r="T376" s="6">
        <v>1481701.86</v>
      </c>
      <c r="U376" s="6">
        <v>1742312.0055054899</v>
      </c>
      <c r="V376" s="6">
        <v>2348873.0426843301</v>
      </c>
      <c r="W376" s="6">
        <v>403934.71549591102</v>
      </c>
      <c r="X376" s="6">
        <v>0</v>
      </c>
      <c r="Y376" s="6">
        <v>0</v>
      </c>
      <c r="Z376" s="6">
        <v>0</v>
      </c>
      <c r="AA376" s="6">
        <v>471206.10732524702</v>
      </c>
      <c r="AB376" s="6">
        <v>0</v>
      </c>
      <c r="AC376" s="6">
        <v>86058.067308595593</v>
      </c>
      <c r="AD376" s="6">
        <v>18165.921438281599</v>
      </c>
      <c r="AE376" s="6">
        <v>0</v>
      </c>
      <c r="AF376" s="6">
        <v>0</v>
      </c>
      <c r="AG376" s="6">
        <v>0</v>
      </c>
      <c r="AH376" s="6">
        <v>0</v>
      </c>
      <c r="AI376" s="6">
        <v>0</v>
      </c>
      <c r="AJ376" s="6">
        <v>3328237.8542523701</v>
      </c>
      <c r="AK376" s="6">
        <v>14341.540007301501</v>
      </c>
      <c r="AL376" s="6">
        <v>330.98244656580999</v>
      </c>
      <c r="AM376" s="6">
        <v>93035.839999999997</v>
      </c>
      <c r="AN376" s="6">
        <v>7956.8140848639496</v>
      </c>
      <c r="AO376" s="6">
        <v>19398.220093063599</v>
      </c>
      <c r="AP376" s="6">
        <v>330.98244656580999</v>
      </c>
      <c r="AQ376" s="6">
        <v>93035.839999999997</v>
      </c>
      <c r="AR376" s="6">
        <v>7975.4133215255497</v>
      </c>
      <c r="AS376" s="6">
        <v>16833.049324641801</v>
      </c>
      <c r="AT376" s="6">
        <v>0</v>
      </c>
      <c r="AU376" t="s">
        <v>2973</v>
      </c>
      <c r="AV376" t="s">
        <v>2973</v>
      </c>
    </row>
    <row r="377" spans="1:48" x14ac:dyDescent="0.45">
      <c r="A377" s="5" t="s">
        <v>2753</v>
      </c>
      <c r="B377">
        <v>2082</v>
      </c>
      <c r="C377" t="s">
        <v>703</v>
      </c>
      <c r="D377">
        <v>1861</v>
      </c>
      <c r="E377" t="s">
        <v>2754</v>
      </c>
      <c r="F377" t="s">
        <v>3</v>
      </c>
      <c r="G377" t="s">
        <v>2748</v>
      </c>
      <c r="H377" t="s">
        <v>2741</v>
      </c>
      <c r="I377" t="s">
        <v>2742</v>
      </c>
      <c r="J377">
        <v>36.395953757185502</v>
      </c>
      <c r="K377">
        <v>1</v>
      </c>
      <c r="L377">
        <v>2</v>
      </c>
      <c r="M377">
        <v>2</v>
      </c>
      <c r="N377" s="6">
        <v>73034.186616586201</v>
      </c>
      <c r="O377" s="6">
        <v>41778.927258652897</v>
      </c>
      <c r="P377" s="6">
        <v>56959.006154331699</v>
      </c>
      <c r="Q377" s="6">
        <v>15758.502061266699</v>
      </c>
      <c r="R377" s="6">
        <v>85719.564187123397</v>
      </c>
      <c r="S377" s="6">
        <v>16345.651209269899</v>
      </c>
      <c r="T377" s="6">
        <v>0</v>
      </c>
      <c r="U377" s="6">
        <v>273250.18627796101</v>
      </c>
      <c r="V377" s="6">
        <v>167103.832770451</v>
      </c>
      <c r="W377" s="6">
        <v>32246.181669698701</v>
      </c>
      <c r="X377" s="6">
        <v>0</v>
      </c>
      <c r="Y377" s="6">
        <v>0</v>
      </c>
      <c r="Z377" s="6">
        <v>0</v>
      </c>
      <c r="AA377" s="6">
        <v>73900.171837810907</v>
      </c>
      <c r="AB377" s="6">
        <v>0</v>
      </c>
      <c r="AC377" s="6">
        <v>13496.6543583981</v>
      </c>
      <c r="AD377" s="6">
        <v>2848.9968508717898</v>
      </c>
      <c r="AE377" s="6">
        <v>0</v>
      </c>
      <c r="AF377" s="6">
        <v>0</v>
      </c>
      <c r="AG377" s="6">
        <v>0</v>
      </c>
      <c r="AH377" s="6">
        <v>0</v>
      </c>
      <c r="AI377" s="6">
        <v>0</v>
      </c>
      <c r="AJ377" s="6">
        <v>289595.83748723101</v>
      </c>
      <c r="AK377" s="6">
        <v>7956.8140848639596</v>
      </c>
      <c r="AL377" s="6">
        <v>330.98244656580999</v>
      </c>
      <c r="AM377" s="6">
        <v>93035.839999999997</v>
      </c>
      <c r="AN377" s="6">
        <v>7956.8140848639496</v>
      </c>
      <c r="AO377" s="6">
        <v>19398.220093063599</v>
      </c>
      <c r="AP377" s="6">
        <v>330.98244656580999</v>
      </c>
      <c r="AQ377" s="6">
        <v>56162.493707719797</v>
      </c>
      <c r="AR377" s="6">
        <v>7956.8140848639596</v>
      </c>
      <c r="AS377" s="6">
        <v>7956.8140848639596</v>
      </c>
      <c r="AT377" s="6">
        <v>0</v>
      </c>
      <c r="AU377" t="s">
        <v>2973</v>
      </c>
      <c r="AV377" t="s">
        <v>2976</v>
      </c>
    </row>
    <row r="378" spans="1:48" x14ac:dyDescent="0.45">
      <c r="A378" s="5" t="s">
        <v>769</v>
      </c>
      <c r="B378">
        <v>2082</v>
      </c>
      <c r="C378" t="s">
        <v>703</v>
      </c>
      <c r="D378">
        <v>3229</v>
      </c>
      <c r="E378" t="s">
        <v>770</v>
      </c>
      <c r="F378" t="s">
        <v>3</v>
      </c>
      <c r="G378" t="s">
        <v>2740</v>
      </c>
      <c r="H378" t="s">
        <v>2741</v>
      </c>
      <c r="I378" t="s">
        <v>2742</v>
      </c>
      <c r="J378">
        <v>223.62128286854499</v>
      </c>
      <c r="K378">
        <v>1</v>
      </c>
      <c r="L378">
        <v>1</v>
      </c>
      <c r="M378">
        <v>2</v>
      </c>
      <c r="N378" s="6">
        <v>507314.15878265299</v>
      </c>
      <c r="O378" s="6">
        <v>256694.94397044301</v>
      </c>
      <c r="P378" s="6">
        <v>349963.24350022897</v>
      </c>
      <c r="Q378" s="6">
        <v>96822.203658595899</v>
      </c>
      <c r="R378" s="6">
        <v>526671.70197930804</v>
      </c>
      <c r="S378" s="6">
        <v>100429.721312553</v>
      </c>
      <c r="T378" s="6">
        <v>58583</v>
      </c>
      <c r="U378" s="6">
        <v>1678883.25189123</v>
      </c>
      <c r="V378" s="6">
        <v>1026706.80663236</v>
      </c>
      <c r="W378" s="6">
        <v>256707.565183748</v>
      </c>
      <c r="X378" s="6">
        <v>0</v>
      </c>
      <c r="Y378" s="6">
        <v>0</v>
      </c>
      <c r="Z378" s="6">
        <v>0</v>
      </c>
      <c r="AA378" s="6">
        <v>454051.88007511903</v>
      </c>
      <c r="AB378" s="6">
        <v>0</v>
      </c>
      <c r="AC378" s="6">
        <v>82925.129045765498</v>
      </c>
      <c r="AD378" s="6">
        <v>17504.592266787698</v>
      </c>
      <c r="AE378" s="6">
        <v>0</v>
      </c>
      <c r="AF378" s="6">
        <v>0</v>
      </c>
      <c r="AG378" s="6">
        <v>0</v>
      </c>
      <c r="AH378" s="6">
        <v>0</v>
      </c>
      <c r="AI378" s="6">
        <v>0</v>
      </c>
      <c r="AJ378" s="6">
        <v>1837895.9732037799</v>
      </c>
      <c r="AK378" s="6">
        <v>8218.7882549810092</v>
      </c>
      <c r="AL378" s="6">
        <v>330.98244656580999</v>
      </c>
      <c r="AM378" s="6">
        <v>93035.839999999997</v>
      </c>
      <c r="AN378" s="6">
        <v>7956.8140848639496</v>
      </c>
      <c r="AO378" s="6">
        <v>19398.220093063599</v>
      </c>
      <c r="AP378" s="6">
        <v>330.98244656580999</v>
      </c>
      <c r="AQ378" s="6">
        <v>93035.839999999997</v>
      </c>
      <c r="AR378" s="6">
        <v>7975.4133215255497</v>
      </c>
      <c r="AS378" s="6">
        <v>16833.049324641801</v>
      </c>
      <c r="AT378" s="6">
        <v>0</v>
      </c>
      <c r="AU378" t="s">
        <v>2973</v>
      </c>
      <c r="AV378" t="s">
        <v>2973</v>
      </c>
    </row>
    <row r="379" spans="1:48" x14ac:dyDescent="0.45">
      <c r="A379" s="5" t="s">
        <v>771</v>
      </c>
      <c r="B379">
        <v>2082</v>
      </c>
      <c r="C379" t="s">
        <v>703</v>
      </c>
      <c r="D379">
        <v>534</v>
      </c>
      <c r="E379" t="s">
        <v>772</v>
      </c>
      <c r="F379" t="s">
        <v>2739</v>
      </c>
      <c r="G379" t="s">
        <v>2740</v>
      </c>
      <c r="H379" t="s">
        <v>2741</v>
      </c>
      <c r="I379" t="s">
        <v>2742</v>
      </c>
      <c r="J379">
        <v>509.43604651157898</v>
      </c>
      <c r="K379">
        <v>1</v>
      </c>
      <c r="L379">
        <v>1</v>
      </c>
      <c r="M379">
        <v>2</v>
      </c>
      <c r="N379" s="6">
        <v>3279231.8761433698</v>
      </c>
      <c r="O379" s="6">
        <v>1057972.1449263501</v>
      </c>
      <c r="P379" s="6">
        <v>1072068.6140815599</v>
      </c>
      <c r="Q379" s="6">
        <v>222447.78811002901</v>
      </c>
      <c r="R379" s="6">
        <v>1199821.1718675599</v>
      </c>
      <c r="S379" s="6">
        <v>228790.92509187799</v>
      </c>
      <c r="T379" s="6">
        <v>3006844.61</v>
      </c>
      <c r="U379" s="6">
        <v>3824696.98512886</v>
      </c>
      <c r="V379" s="6">
        <v>4988923.9670219198</v>
      </c>
      <c r="W379" s="6">
        <v>808233.10204824305</v>
      </c>
      <c r="X379" s="6">
        <v>0</v>
      </c>
      <c r="Y379" s="6">
        <v>0</v>
      </c>
      <c r="Z379" s="6">
        <v>0</v>
      </c>
      <c r="AA379" s="6">
        <v>1034384.5260587001</v>
      </c>
      <c r="AB379" s="6">
        <v>0</v>
      </c>
      <c r="AC379" s="6">
        <v>188913.368869147</v>
      </c>
      <c r="AD379" s="6">
        <v>39877.556222730404</v>
      </c>
      <c r="AE379" s="6">
        <v>0</v>
      </c>
      <c r="AF379" s="6">
        <v>0</v>
      </c>
      <c r="AG379" s="6">
        <v>0</v>
      </c>
      <c r="AH379" s="6">
        <v>0</v>
      </c>
      <c r="AI379" s="6">
        <v>0</v>
      </c>
      <c r="AJ379" s="6">
        <v>7060332.5202207305</v>
      </c>
      <c r="AK379" s="6">
        <v>13859.114541593901</v>
      </c>
      <c r="AL379" s="6">
        <v>330.98244656580999</v>
      </c>
      <c r="AM379" s="6">
        <v>93035.839999999997</v>
      </c>
      <c r="AN379" s="6">
        <v>7956.8140848639496</v>
      </c>
      <c r="AO379" s="6">
        <v>19398.220093063599</v>
      </c>
      <c r="AP379" s="6">
        <v>330.98244656580999</v>
      </c>
      <c r="AQ379" s="6">
        <v>93035.839999999997</v>
      </c>
      <c r="AR379" s="6">
        <v>7975.4133215255497</v>
      </c>
      <c r="AS379" s="6">
        <v>16833.049324641801</v>
      </c>
      <c r="AT379" s="6">
        <v>0</v>
      </c>
      <c r="AU379" t="s">
        <v>2973</v>
      </c>
      <c r="AV379" t="s">
        <v>2973</v>
      </c>
    </row>
    <row r="380" spans="1:48" x14ac:dyDescent="0.45">
      <c r="A380" s="5" t="s">
        <v>773</v>
      </c>
      <c r="B380">
        <v>2082</v>
      </c>
      <c r="C380" t="s">
        <v>703</v>
      </c>
      <c r="D380">
        <v>1259</v>
      </c>
      <c r="E380" t="s">
        <v>774</v>
      </c>
      <c r="F380" t="s">
        <v>2739</v>
      </c>
      <c r="G380" t="s">
        <v>2740</v>
      </c>
      <c r="H380" t="s">
        <v>2741</v>
      </c>
      <c r="I380" t="s">
        <v>2742</v>
      </c>
      <c r="J380">
        <v>315.62209302324999</v>
      </c>
      <c r="K380">
        <v>1</v>
      </c>
      <c r="L380">
        <v>1</v>
      </c>
      <c r="M380">
        <v>2</v>
      </c>
      <c r="N380" s="6">
        <v>2094314.9963370301</v>
      </c>
      <c r="O380" s="6">
        <v>640979.66413064301</v>
      </c>
      <c r="P380" s="6">
        <v>539714.99933018605</v>
      </c>
      <c r="Q380" s="6">
        <v>136656.16339306001</v>
      </c>
      <c r="R380" s="6">
        <v>743351.53963204904</v>
      </c>
      <c r="S380" s="6">
        <v>141747.86243867199</v>
      </c>
      <c r="T380" s="6">
        <v>1785418.91</v>
      </c>
      <c r="U380" s="6">
        <v>2369598.4528229702</v>
      </c>
      <c r="V380" s="6">
        <v>3186617.8767403401</v>
      </c>
      <c r="W380" s="6">
        <v>327544.54199085699</v>
      </c>
      <c r="X380" s="6">
        <v>0</v>
      </c>
      <c r="Y380" s="6">
        <v>0</v>
      </c>
      <c r="Z380" s="6">
        <v>0</v>
      </c>
      <c r="AA380" s="6">
        <v>640854.944091768</v>
      </c>
      <c r="AB380" s="6">
        <v>0</v>
      </c>
      <c r="AC380" s="6">
        <v>117041.644953953</v>
      </c>
      <c r="AD380" s="6">
        <v>24706.217484719</v>
      </c>
      <c r="AE380" s="6">
        <v>0</v>
      </c>
      <c r="AF380" s="6">
        <v>0</v>
      </c>
      <c r="AG380" s="6">
        <v>0</v>
      </c>
      <c r="AH380" s="6">
        <v>0</v>
      </c>
      <c r="AI380" s="6">
        <v>0</v>
      </c>
      <c r="AJ380" s="6">
        <v>4296765.2252616398</v>
      </c>
      <c r="AK380" s="6">
        <v>13613.6389696431</v>
      </c>
      <c r="AL380" s="6">
        <v>330.98244656580999</v>
      </c>
      <c r="AM380" s="6">
        <v>93035.839999999997</v>
      </c>
      <c r="AN380" s="6">
        <v>7956.8140848639496</v>
      </c>
      <c r="AO380" s="6">
        <v>19398.220093063599</v>
      </c>
      <c r="AP380" s="6">
        <v>330.98244656580999</v>
      </c>
      <c r="AQ380" s="6">
        <v>93035.839999999997</v>
      </c>
      <c r="AR380" s="6">
        <v>7975.4133215255497</v>
      </c>
      <c r="AS380" s="6">
        <v>16833.049324641801</v>
      </c>
      <c r="AT380" s="6">
        <v>0</v>
      </c>
      <c r="AU380" t="s">
        <v>2973</v>
      </c>
      <c r="AV380" t="s">
        <v>2973</v>
      </c>
    </row>
    <row r="381" spans="1:48" x14ac:dyDescent="0.45">
      <c r="A381" s="5" t="s">
        <v>775</v>
      </c>
      <c r="B381">
        <v>2193</v>
      </c>
      <c r="C381" t="s">
        <v>776</v>
      </c>
      <c r="D381">
        <v>1005</v>
      </c>
      <c r="E381" t="s">
        <v>777</v>
      </c>
      <c r="F381" t="s">
        <v>2739</v>
      </c>
      <c r="G381" t="s">
        <v>2740</v>
      </c>
      <c r="H381" t="s">
        <v>2741</v>
      </c>
      <c r="I381" t="s">
        <v>2742</v>
      </c>
      <c r="J381">
        <v>118.463087248298</v>
      </c>
      <c r="K381">
        <v>1</v>
      </c>
      <c r="L381">
        <v>1</v>
      </c>
      <c r="M381">
        <v>4</v>
      </c>
      <c r="N381" s="6">
        <v>1219998.78508395</v>
      </c>
      <c r="O381" s="6">
        <v>325212.59457508102</v>
      </c>
      <c r="P381" s="6">
        <v>395124.60555825301</v>
      </c>
      <c r="Q381" s="6">
        <v>193702.88960548799</v>
      </c>
      <c r="R381" s="6">
        <v>542878.04970849596</v>
      </c>
      <c r="S381" s="6">
        <v>92931.922314787094</v>
      </c>
      <c r="T381" s="6">
        <v>1445132.35</v>
      </c>
      <c r="U381" s="6">
        <v>1231784.57453127</v>
      </c>
      <c r="V381" s="6">
        <v>2200090.2588476702</v>
      </c>
      <c r="W381" s="6">
        <v>476826.66568359698</v>
      </c>
      <c r="X381" s="6">
        <v>0</v>
      </c>
      <c r="Y381" s="6">
        <v>0</v>
      </c>
      <c r="Z381" s="6">
        <v>0</v>
      </c>
      <c r="AA381" s="6">
        <v>0</v>
      </c>
      <c r="AB381" s="6">
        <v>0</v>
      </c>
      <c r="AC381" s="6">
        <v>50718.433985380601</v>
      </c>
      <c r="AD381" s="6">
        <v>42213.4883294065</v>
      </c>
      <c r="AE381" s="6">
        <v>0</v>
      </c>
      <c r="AF381" s="6">
        <v>0</v>
      </c>
      <c r="AG381" s="6">
        <v>0</v>
      </c>
      <c r="AH381" s="6">
        <v>0</v>
      </c>
      <c r="AI381" s="6">
        <v>0</v>
      </c>
      <c r="AJ381" s="6">
        <v>2769848.8468460501</v>
      </c>
      <c r="AK381" s="6">
        <v>23381.535220675702</v>
      </c>
      <c r="AL381" s="6">
        <v>330.98244656580999</v>
      </c>
      <c r="AM381" s="6">
        <v>93035.839999999997</v>
      </c>
      <c r="AN381" s="6">
        <v>11182.5255243387</v>
      </c>
      <c r="AO381" s="6">
        <v>25992.445418655599</v>
      </c>
      <c r="AP381" s="6">
        <v>330.98244656580999</v>
      </c>
      <c r="AQ381" s="6">
        <v>93035.839999999997</v>
      </c>
      <c r="AR381" s="6">
        <v>23381.535220675702</v>
      </c>
      <c r="AS381" s="6">
        <v>23381.535220675702</v>
      </c>
      <c r="AT381" s="6">
        <v>0</v>
      </c>
      <c r="AU381" t="s">
        <v>2973</v>
      </c>
      <c r="AV381" t="s">
        <v>2973</v>
      </c>
    </row>
    <row r="382" spans="1:48" x14ac:dyDescent="0.45">
      <c r="A382" s="5" t="s">
        <v>778</v>
      </c>
      <c r="B382">
        <v>2193</v>
      </c>
      <c r="C382" t="s">
        <v>776</v>
      </c>
      <c r="D382">
        <v>1006</v>
      </c>
      <c r="E382" t="s">
        <v>779</v>
      </c>
      <c r="F382" t="s">
        <v>2739</v>
      </c>
      <c r="G382" t="s">
        <v>2744</v>
      </c>
      <c r="H382" t="s">
        <v>2745</v>
      </c>
      <c r="I382" t="s">
        <v>2742</v>
      </c>
      <c r="J382">
        <v>76.065455994282004</v>
      </c>
      <c r="K382">
        <v>1</v>
      </c>
      <c r="L382">
        <v>2</v>
      </c>
      <c r="M382">
        <v>4</v>
      </c>
      <c r="N382" s="6">
        <v>704730.55027977901</v>
      </c>
      <c r="O382" s="6">
        <v>441114.614250321</v>
      </c>
      <c r="P382" s="6">
        <v>284129.89490105503</v>
      </c>
      <c r="Q382" s="6">
        <v>124377.128500534</v>
      </c>
      <c r="R382" s="6">
        <v>363103.19656385999</v>
      </c>
      <c r="S382" s="6">
        <v>59671.828680971899</v>
      </c>
      <c r="T382" s="6">
        <v>1126523.31</v>
      </c>
      <c r="U382" s="6">
        <v>790932.07449554699</v>
      </c>
      <c r="V382" s="6">
        <v>1537176.99335667</v>
      </c>
      <c r="W382" s="6">
        <v>380278.391138879</v>
      </c>
      <c r="X382" s="6">
        <v>0</v>
      </c>
      <c r="Y382" s="6">
        <v>0</v>
      </c>
      <c r="Z382" s="6">
        <v>0</v>
      </c>
      <c r="AA382" s="6">
        <v>0</v>
      </c>
      <c r="AB382" s="6">
        <v>0</v>
      </c>
      <c r="AC382" s="6">
        <v>32566.4381878524</v>
      </c>
      <c r="AD382" s="6">
        <v>27105.390493119601</v>
      </c>
      <c r="AE382" s="6">
        <v>0</v>
      </c>
      <c r="AF382" s="6">
        <v>0</v>
      </c>
      <c r="AG382" s="6">
        <v>0</v>
      </c>
      <c r="AH382" s="6">
        <v>0</v>
      </c>
      <c r="AI382" s="6">
        <v>0</v>
      </c>
      <c r="AJ382" s="6">
        <v>1977127.2131765201</v>
      </c>
      <c r="AK382" s="6">
        <v>25992.445418655599</v>
      </c>
      <c r="AL382" s="6">
        <v>330.98244656580999</v>
      </c>
      <c r="AM382" s="6">
        <v>93035.839999999997</v>
      </c>
      <c r="AN382" s="6">
        <v>11182.5255243387</v>
      </c>
      <c r="AO382" s="6">
        <v>25992.445418655599</v>
      </c>
      <c r="AP382" s="6">
        <v>330.98244656580999</v>
      </c>
      <c r="AQ382" s="6">
        <v>40734.411818744898</v>
      </c>
      <c r="AR382" s="6">
        <v>25992.445418655599</v>
      </c>
      <c r="AS382" s="6">
        <v>25992.445418655599</v>
      </c>
      <c r="AT382" s="6">
        <v>0</v>
      </c>
      <c r="AU382" t="s">
        <v>2973</v>
      </c>
      <c r="AV382" t="s">
        <v>2973</v>
      </c>
    </row>
    <row r="383" spans="1:48" x14ac:dyDescent="0.45">
      <c r="A383" s="5" t="s">
        <v>2943</v>
      </c>
      <c r="B383">
        <v>2193</v>
      </c>
      <c r="C383" t="s">
        <v>776</v>
      </c>
      <c r="D383">
        <v>2193</v>
      </c>
      <c r="E383" t="s">
        <v>776</v>
      </c>
      <c r="F383" t="s">
        <v>1</v>
      </c>
      <c r="G383" t="s">
        <v>1</v>
      </c>
      <c r="H383" t="s">
        <v>2743</v>
      </c>
      <c r="I383" t="s">
        <v>2742</v>
      </c>
      <c r="J383">
        <v>0.51461988303999995</v>
      </c>
      <c r="K383">
        <v>0</v>
      </c>
      <c r="L383">
        <v>0</v>
      </c>
      <c r="M383">
        <v>4</v>
      </c>
      <c r="N383" s="6">
        <v>37.624636273129397</v>
      </c>
      <c r="O383" s="6">
        <v>567.15117459862404</v>
      </c>
      <c r="P383" s="6">
        <v>1565.0495406923901</v>
      </c>
      <c r="Q383" s="6">
        <v>841.47189397783097</v>
      </c>
      <c r="R383" s="6">
        <v>2339.7437276440801</v>
      </c>
      <c r="S383" s="6">
        <v>403.709004240941</v>
      </c>
      <c r="T383" s="6">
        <v>0</v>
      </c>
      <c r="U383" s="6">
        <v>5351.04097318605</v>
      </c>
      <c r="V383" s="6">
        <v>4414.0277956616101</v>
      </c>
      <c r="W383" s="6">
        <v>937.01317752444299</v>
      </c>
      <c r="X383" s="6">
        <v>0</v>
      </c>
      <c r="Y383" s="6">
        <v>0</v>
      </c>
      <c r="Z383" s="6">
        <v>0</v>
      </c>
      <c r="AA383" s="6">
        <v>0</v>
      </c>
      <c r="AB383" s="6">
        <v>0</v>
      </c>
      <c r="AC383" s="6">
        <v>220.32782676701299</v>
      </c>
      <c r="AD383" s="6">
        <v>183.38117747392801</v>
      </c>
      <c r="AE383" s="6">
        <v>0</v>
      </c>
      <c r="AF383" s="6">
        <v>0</v>
      </c>
      <c r="AG383" s="6">
        <v>0</v>
      </c>
      <c r="AH383" s="6">
        <v>0</v>
      </c>
      <c r="AI383" s="6">
        <v>0</v>
      </c>
      <c r="AJ383" s="6">
        <v>5754.74997742699</v>
      </c>
      <c r="AK383" s="6">
        <v>11182.5255243387</v>
      </c>
      <c r="AL383" s="6">
        <v>330.98244656580999</v>
      </c>
      <c r="AM383" s="6">
        <v>93035.839999999997</v>
      </c>
      <c r="AN383" s="6">
        <v>11182.5255243387</v>
      </c>
      <c r="AO383" s="6">
        <v>25992.445418655599</v>
      </c>
      <c r="AP383" s="6">
        <v>634.54287297753501</v>
      </c>
      <c r="AQ383" s="6">
        <v>40331.279999999999</v>
      </c>
      <c r="AR383" s="6">
        <v>11182.5255243387</v>
      </c>
      <c r="AS383" s="6">
        <v>11182.5255243387</v>
      </c>
      <c r="AT383" s="6">
        <v>0</v>
      </c>
      <c r="AU383" t="s">
        <v>2973</v>
      </c>
      <c r="AV383" t="s">
        <v>2977</v>
      </c>
    </row>
    <row r="384" spans="1:48" x14ac:dyDescent="0.45">
      <c r="A384" s="5" t="s">
        <v>780</v>
      </c>
      <c r="B384">
        <v>2084</v>
      </c>
      <c r="C384" t="s">
        <v>781</v>
      </c>
      <c r="D384">
        <v>563</v>
      </c>
      <c r="E384" t="s">
        <v>782</v>
      </c>
      <c r="F384" t="s">
        <v>2739</v>
      </c>
      <c r="G384" t="s">
        <v>2740</v>
      </c>
      <c r="H384" t="s">
        <v>2741</v>
      </c>
      <c r="I384" t="s">
        <v>2742</v>
      </c>
      <c r="J384">
        <v>274.42948481939698</v>
      </c>
      <c r="K384">
        <v>1</v>
      </c>
      <c r="L384">
        <v>1</v>
      </c>
      <c r="M384">
        <v>2</v>
      </c>
      <c r="N384" s="6">
        <v>1579543.2293506199</v>
      </c>
      <c r="O384" s="6">
        <v>372481.19544801197</v>
      </c>
      <c r="P384" s="6">
        <v>608495.52585638396</v>
      </c>
      <c r="Q384" s="6">
        <v>239356.302659251</v>
      </c>
      <c r="R384" s="6">
        <v>186895.479153477</v>
      </c>
      <c r="S384" s="6">
        <v>163949.821950807</v>
      </c>
      <c r="T384" s="6">
        <v>1392961.73</v>
      </c>
      <c r="U384" s="6">
        <v>1593810.0024677501</v>
      </c>
      <c r="V384" s="6">
        <v>2517196.9756062701</v>
      </c>
      <c r="W384" s="6">
        <v>469574.75686147902</v>
      </c>
      <c r="X384" s="6">
        <v>0</v>
      </c>
      <c r="Y384" s="6">
        <v>0</v>
      </c>
      <c r="Z384" s="6">
        <v>0</v>
      </c>
      <c r="AA384" s="6">
        <v>0</v>
      </c>
      <c r="AB384" s="6">
        <v>0</v>
      </c>
      <c r="AC384" s="6">
        <v>117490.536072353</v>
      </c>
      <c r="AD384" s="6">
        <v>46459.285878454</v>
      </c>
      <c r="AE384" s="6">
        <v>0</v>
      </c>
      <c r="AF384" s="6">
        <v>0</v>
      </c>
      <c r="AG384" s="6">
        <v>0</v>
      </c>
      <c r="AH384" s="6">
        <v>0</v>
      </c>
      <c r="AI384" s="6">
        <v>0</v>
      </c>
      <c r="AJ384" s="6">
        <v>3150721.5544185499</v>
      </c>
      <c r="AK384" s="6">
        <v>11480.987753528199</v>
      </c>
      <c r="AL384" s="6">
        <v>330.98244656580999</v>
      </c>
      <c r="AM384" s="6">
        <v>93035.839999999997</v>
      </c>
      <c r="AN384" s="6">
        <v>6405.1420188152897</v>
      </c>
      <c r="AO384" s="6">
        <v>17058.946726620201</v>
      </c>
      <c r="AP384" s="6">
        <v>330.98244656580999</v>
      </c>
      <c r="AQ384" s="6">
        <v>93035.839999999997</v>
      </c>
      <c r="AR384" s="6">
        <v>11259.423793492801</v>
      </c>
      <c r="AS384" s="6">
        <v>11480.987753528199</v>
      </c>
      <c r="AT384" s="6">
        <v>0</v>
      </c>
      <c r="AU384" t="s">
        <v>2973</v>
      </c>
      <c r="AV384" t="s">
        <v>2973</v>
      </c>
    </row>
    <row r="385" spans="1:48" x14ac:dyDescent="0.45">
      <c r="A385" s="5" t="s">
        <v>783</v>
      </c>
      <c r="B385">
        <v>2084</v>
      </c>
      <c r="C385" t="s">
        <v>781</v>
      </c>
      <c r="D385">
        <v>567</v>
      </c>
      <c r="E385" t="s">
        <v>784</v>
      </c>
      <c r="F385" t="s">
        <v>2739</v>
      </c>
      <c r="G385" t="s">
        <v>2744</v>
      </c>
      <c r="H385" t="s">
        <v>2741</v>
      </c>
      <c r="I385" t="s">
        <v>2742</v>
      </c>
      <c r="J385">
        <v>380.31706335218001</v>
      </c>
      <c r="K385">
        <v>1</v>
      </c>
      <c r="L385">
        <v>1</v>
      </c>
      <c r="M385">
        <v>2</v>
      </c>
      <c r="N385" s="6">
        <v>2770777.5013908399</v>
      </c>
      <c r="O385" s="6">
        <v>1542417.28442583</v>
      </c>
      <c r="P385" s="6">
        <v>1184485.07732858</v>
      </c>
      <c r="Q385" s="6">
        <v>331711.02653969597</v>
      </c>
      <c r="R385" s="6">
        <v>431208.39274696202</v>
      </c>
      <c r="S385" s="6">
        <v>227209.24051757201</v>
      </c>
      <c r="T385" s="6">
        <v>4051823.72</v>
      </c>
      <c r="U385" s="6">
        <v>2208775.5624319101</v>
      </c>
      <c r="V385" s="6">
        <v>4662678.5230003996</v>
      </c>
      <c r="W385" s="6">
        <v>1597920.75943152</v>
      </c>
      <c r="X385" s="6">
        <v>0</v>
      </c>
      <c r="Y385" s="6">
        <v>0</v>
      </c>
      <c r="Z385" s="6">
        <v>0</v>
      </c>
      <c r="AA385" s="6">
        <v>0</v>
      </c>
      <c r="AB385" s="6">
        <v>0</v>
      </c>
      <c r="AC385" s="6">
        <v>162823.814941449</v>
      </c>
      <c r="AD385" s="6">
        <v>64385.4255761229</v>
      </c>
      <c r="AE385" s="6">
        <v>0</v>
      </c>
      <c r="AF385" s="6">
        <v>0</v>
      </c>
      <c r="AG385" s="6">
        <v>0</v>
      </c>
      <c r="AH385" s="6">
        <v>0</v>
      </c>
      <c r="AI385" s="6">
        <v>0</v>
      </c>
      <c r="AJ385" s="6">
        <v>6487808.5229494898</v>
      </c>
      <c r="AK385" s="6">
        <v>17058.946726620201</v>
      </c>
      <c r="AL385" s="6">
        <v>330.98244656580999</v>
      </c>
      <c r="AM385" s="6">
        <v>93035.839999999997</v>
      </c>
      <c r="AN385" s="6">
        <v>6405.1420188152897</v>
      </c>
      <c r="AO385" s="6">
        <v>17058.946726620201</v>
      </c>
      <c r="AP385" s="6">
        <v>330.98244656580999</v>
      </c>
      <c r="AQ385" s="6">
        <v>40734.411818744898</v>
      </c>
      <c r="AR385" s="6">
        <v>6405.1420188152897</v>
      </c>
      <c r="AS385" s="6">
        <v>17058.946726620201</v>
      </c>
      <c r="AT385" s="6">
        <v>0</v>
      </c>
      <c r="AU385" t="s">
        <v>2973</v>
      </c>
      <c r="AV385" t="s">
        <v>2973</v>
      </c>
    </row>
    <row r="386" spans="1:48" x14ac:dyDescent="0.45">
      <c r="A386" s="5" t="s">
        <v>785</v>
      </c>
      <c r="B386">
        <v>2084</v>
      </c>
      <c r="C386" t="s">
        <v>781</v>
      </c>
      <c r="D386">
        <v>564</v>
      </c>
      <c r="E386" t="s">
        <v>786</v>
      </c>
      <c r="F386" t="s">
        <v>2739</v>
      </c>
      <c r="G386" t="s">
        <v>2747</v>
      </c>
      <c r="H386" t="s">
        <v>2741</v>
      </c>
      <c r="I386" t="s">
        <v>2742</v>
      </c>
      <c r="J386">
        <v>356.747687707534</v>
      </c>
      <c r="K386">
        <v>1</v>
      </c>
      <c r="L386">
        <v>1</v>
      </c>
      <c r="M386">
        <v>2</v>
      </c>
      <c r="N386" s="6">
        <v>1879405.97075929</v>
      </c>
      <c r="O386" s="6">
        <v>676574.125527494</v>
      </c>
      <c r="P386" s="6">
        <v>819557.51188151794</v>
      </c>
      <c r="Q386" s="6">
        <v>311153.91106064199</v>
      </c>
      <c r="R386" s="6">
        <v>242956.874968713</v>
      </c>
      <c r="S386" s="6">
        <v>213128.41045306801</v>
      </c>
      <c r="T386" s="6">
        <v>1857757.2</v>
      </c>
      <c r="U386" s="6">
        <v>2071891.1941976601</v>
      </c>
      <c r="V386" s="6">
        <v>3315910.9471253399</v>
      </c>
      <c r="W386" s="6">
        <v>613737.44707231305</v>
      </c>
      <c r="X386" s="6">
        <v>0</v>
      </c>
      <c r="Y386" s="6">
        <v>0</v>
      </c>
      <c r="Z386" s="6">
        <v>0</v>
      </c>
      <c r="AA386" s="6">
        <v>0</v>
      </c>
      <c r="AB386" s="6">
        <v>0</v>
      </c>
      <c r="AC386" s="6">
        <v>152733.14053303999</v>
      </c>
      <c r="AD386" s="6">
        <v>60395.2699200282</v>
      </c>
      <c r="AE386" s="6">
        <v>0</v>
      </c>
      <c r="AF386" s="6">
        <v>0</v>
      </c>
      <c r="AG386" s="6">
        <v>0</v>
      </c>
      <c r="AH386" s="6">
        <v>0</v>
      </c>
      <c r="AI386" s="6">
        <v>0</v>
      </c>
      <c r="AJ386" s="6">
        <v>4142776.8046507202</v>
      </c>
      <c r="AK386" s="6">
        <v>11612.6241245522</v>
      </c>
      <c r="AL386" s="6">
        <v>330.98244656580999</v>
      </c>
      <c r="AM386" s="6">
        <v>93035.839999999997</v>
      </c>
      <c r="AN386" s="6">
        <v>6405.1420188152897</v>
      </c>
      <c r="AO386" s="6">
        <v>17058.946726620201</v>
      </c>
      <c r="AP386" s="6">
        <v>3753.1860850462999</v>
      </c>
      <c r="AQ386" s="6">
        <v>20687.885194392002</v>
      </c>
      <c r="AR386" s="6">
        <v>11612.6241245522</v>
      </c>
      <c r="AS386" s="6">
        <v>11612.6241245522</v>
      </c>
      <c r="AT386" s="6">
        <v>0</v>
      </c>
      <c r="AU386" t="s">
        <v>2973</v>
      </c>
      <c r="AV386" t="s">
        <v>2973</v>
      </c>
    </row>
    <row r="387" spans="1:48" x14ac:dyDescent="0.45">
      <c r="A387" s="5" t="s">
        <v>787</v>
      </c>
      <c r="B387">
        <v>2084</v>
      </c>
      <c r="C387" t="s">
        <v>781</v>
      </c>
      <c r="D387">
        <v>2084</v>
      </c>
      <c r="E387" t="s">
        <v>781</v>
      </c>
      <c r="F387" t="s">
        <v>1</v>
      </c>
      <c r="G387" t="s">
        <v>1</v>
      </c>
      <c r="H387" t="s">
        <v>2743</v>
      </c>
      <c r="I387" t="s">
        <v>2742</v>
      </c>
      <c r="J387">
        <v>7.1103687272693596</v>
      </c>
      <c r="K387">
        <v>0</v>
      </c>
      <c r="L387">
        <v>0</v>
      </c>
      <c r="M387">
        <v>2</v>
      </c>
      <c r="N387" s="6">
        <v>12225.289283628499</v>
      </c>
      <c r="O387" s="6">
        <v>3382.3290668337399</v>
      </c>
      <c r="P387" s="6">
        <v>14643.392997225599</v>
      </c>
      <c r="Q387" s="6">
        <v>6201.6352587740103</v>
      </c>
      <c r="R387" s="6">
        <v>4842.3942897952602</v>
      </c>
      <c r="S387" s="6">
        <v>4247.88060804611</v>
      </c>
      <c r="T387" s="6">
        <v>0</v>
      </c>
      <c r="U387" s="6">
        <v>41295.040896257102</v>
      </c>
      <c r="V387" s="6">
        <v>30719.6748616277</v>
      </c>
      <c r="W387" s="6">
        <v>10575.3660346294</v>
      </c>
      <c r="X387" s="6">
        <v>0</v>
      </c>
      <c r="Y387" s="6">
        <v>0</v>
      </c>
      <c r="Z387" s="6">
        <v>0</v>
      </c>
      <c r="AA387" s="6">
        <v>0</v>
      </c>
      <c r="AB387" s="6">
        <v>0</v>
      </c>
      <c r="AC387" s="6">
        <v>3044.1373090386201</v>
      </c>
      <c r="AD387" s="6">
        <v>1203.7432990074899</v>
      </c>
      <c r="AE387" s="6">
        <v>0</v>
      </c>
      <c r="AF387" s="6">
        <v>0</v>
      </c>
      <c r="AG387" s="6">
        <v>0</v>
      </c>
      <c r="AH387" s="6">
        <v>0</v>
      </c>
      <c r="AI387" s="6">
        <v>0</v>
      </c>
      <c r="AJ387" s="6">
        <v>45542.921504303202</v>
      </c>
      <c r="AK387" s="6">
        <v>6405.1420188152897</v>
      </c>
      <c r="AL387" s="6">
        <v>330.98244656580999</v>
      </c>
      <c r="AM387" s="6">
        <v>93035.839999999997</v>
      </c>
      <c r="AN387" s="6">
        <v>6405.1420188152897</v>
      </c>
      <c r="AO387" s="6">
        <v>17058.946726620201</v>
      </c>
      <c r="AP387" s="6">
        <v>634.54287297753501</v>
      </c>
      <c r="AQ387" s="6">
        <v>40331.279999999999</v>
      </c>
      <c r="AR387" s="6">
        <v>6405.1420188152897</v>
      </c>
      <c r="AS387" s="6">
        <v>6405.1420188152897</v>
      </c>
      <c r="AT387" s="6">
        <v>0</v>
      </c>
      <c r="AU387" t="s">
        <v>2973</v>
      </c>
      <c r="AV387" t="s">
        <v>2977</v>
      </c>
    </row>
    <row r="388" spans="1:48" x14ac:dyDescent="0.45">
      <c r="A388" s="5" t="s">
        <v>788</v>
      </c>
      <c r="B388">
        <v>2084</v>
      </c>
      <c r="C388" t="s">
        <v>781</v>
      </c>
      <c r="D388">
        <v>566</v>
      </c>
      <c r="E388" t="s">
        <v>789</v>
      </c>
      <c r="F388" t="s">
        <v>2739</v>
      </c>
      <c r="G388" t="s">
        <v>2740</v>
      </c>
      <c r="H388" t="s">
        <v>2741</v>
      </c>
      <c r="I388" t="s">
        <v>2742</v>
      </c>
      <c r="J388">
        <v>371.25501848720302</v>
      </c>
      <c r="K388">
        <v>1</v>
      </c>
      <c r="L388">
        <v>1</v>
      </c>
      <c r="M388">
        <v>2</v>
      </c>
      <c r="N388" s="6">
        <v>2165667.8566561402</v>
      </c>
      <c r="O388" s="6">
        <v>418026.663149987</v>
      </c>
      <c r="P388" s="6">
        <v>797983.69024716096</v>
      </c>
      <c r="Q388" s="6">
        <v>323807.14713387802</v>
      </c>
      <c r="R388" s="6">
        <v>252836.84300162501</v>
      </c>
      <c r="S388" s="6">
        <v>221795.38841964299</v>
      </c>
      <c r="T388" s="6">
        <v>1802176.47</v>
      </c>
      <c r="U388" s="6">
        <v>2156145.7301887898</v>
      </c>
      <c r="V388" s="6">
        <v>3348877.2461745599</v>
      </c>
      <c r="W388" s="6">
        <v>609444.95401422097</v>
      </c>
      <c r="X388" s="6">
        <v>0</v>
      </c>
      <c r="Y388" s="6">
        <v>0</v>
      </c>
      <c r="Z388" s="6">
        <v>0</v>
      </c>
      <c r="AA388" s="6">
        <v>0</v>
      </c>
      <c r="AB388" s="6">
        <v>0</v>
      </c>
      <c r="AC388" s="6">
        <v>158944.11334962299</v>
      </c>
      <c r="AD388" s="6">
        <v>62851.275070019503</v>
      </c>
      <c r="AE388" s="6">
        <v>0</v>
      </c>
      <c r="AF388" s="6">
        <v>0</v>
      </c>
      <c r="AG388" s="6">
        <v>0</v>
      </c>
      <c r="AH388" s="6">
        <v>0</v>
      </c>
      <c r="AI388" s="6">
        <v>0</v>
      </c>
      <c r="AJ388" s="6">
        <v>4180117.5886084298</v>
      </c>
      <c r="AK388" s="6">
        <v>11259.423793492801</v>
      </c>
      <c r="AL388" s="6">
        <v>330.98244656580999</v>
      </c>
      <c r="AM388" s="6">
        <v>93035.839999999997</v>
      </c>
      <c r="AN388" s="6">
        <v>6405.1420188152897</v>
      </c>
      <c r="AO388" s="6">
        <v>17058.946726620201</v>
      </c>
      <c r="AP388" s="6">
        <v>330.98244656580999</v>
      </c>
      <c r="AQ388" s="6">
        <v>93035.839999999997</v>
      </c>
      <c r="AR388" s="6">
        <v>11259.423793492801</v>
      </c>
      <c r="AS388" s="6">
        <v>11480.987753528199</v>
      </c>
      <c r="AT388" s="6">
        <v>0</v>
      </c>
      <c r="AU388" t="s">
        <v>2973</v>
      </c>
      <c r="AV388" t="s">
        <v>2973</v>
      </c>
    </row>
    <row r="389" spans="1:48" x14ac:dyDescent="0.45">
      <c r="A389" s="5" t="s">
        <v>790</v>
      </c>
      <c r="B389">
        <v>2084</v>
      </c>
      <c r="C389" t="s">
        <v>781</v>
      </c>
      <c r="D389">
        <v>4045</v>
      </c>
      <c r="E389" t="s">
        <v>791</v>
      </c>
      <c r="F389" t="s">
        <v>3</v>
      </c>
      <c r="G389" t="s">
        <v>2744</v>
      </c>
      <c r="H389" t="s">
        <v>2749</v>
      </c>
      <c r="I389" t="s">
        <v>2742</v>
      </c>
      <c r="J389">
        <v>88.065694126925607</v>
      </c>
      <c r="K389">
        <v>1</v>
      </c>
      <c r="L389">
        <v>1</v>
      </c>
      <c r="M389">
        <v>2</v>
      </c>
      <c r="N389" s="6">
        <v>151416.70255948501</v>
      </c>
      <c r="O389" s="6">
        <v>41891.942381837798</v>
      </c>
      <c r="P389" s="6">
        <v>181366.20168913199</v>
      </c>
      <c r="Q389" s="6">
        <v>76810.5473477591</v>
      </c>
      <c r="R389" s="6">
        <v>59975.625839428503</v>
      </c>
      <c r="S389" s="6">
        <v>52612.258050863697</v>
      </c>
      <c r="T389" s="6">
        <v>0</v>
      </c>
      <c r="U389" s="6">
        <v>511461.01981764199</v>
      </c>
      <c r="V389" s="6">
        <v>380479.493231803</v>
      </c>
      <c r="W389" s="6">
        <v>130981.526585839</v>
      </c>
      <c r="X389" s="6">
        <v>0</v>
      </c>
      <c r="Y389" s="6">
        <v>0</v>
      </c>
      <c r="Z389" s="6">
        <v>0</v>
      </c>
      <c r="AA389" s="6">
        <v>0</v>
      </c>
      <c r="AB389" s="6">
        <v>0</v>
      </c>
      <c r="AC389" s="6">
        <v>37703.257794495803</v>
      </c>
      <c r="AD389" s="6">
        <v>14909.000256367999</v>
      </c>
      <c r="AE389" s="6">
        <v>0</v>
      </c>
      <c r="AF389" s="6">
        <v>0</v>
      </c>
      <c r="AG389" s="6">
        <v>0</v>
      </c>
      <c r="AH389" s="6">
        <v>0</v>
      </c>
      <c r="AI389" s="6">
        <v>0</v>
      </c>
      <c r="AJ389" s="6">
        <v>564073.27786850603</v>
      </c>
      <c r="AK389" s="6">
        <v>6405.1420188152897</v>
      </c>
      <c r="AL389" s="6">
        <v>330.98244656580999</v>
      </c>
      <c r="AM389" s="6">
        <v>93035.839999999997</v>
      </c>
      <c r="AN389" s="6">
        <v>6405.1420188152897</v>
      </c>
      <c r="AO389" s="6">
        <v>17058.946726620201</v>
      </c>
      <c r="AP389" s="6">
        <v>330.98244656580999</v>
      </c>
      <c r="AQ389" s="6">
        <v>40734.411818744898</v>
      </c>
      <c r="AR389" s="6">
        <v>6405.1420188152897</v>
      </c>
      <c r="AS389" s="6">
        <v>17058.946726620201</v>
      </c>
      <c r="AT389" s="6">
        <v>0</v>
      </c>
      <c r="AU389" t="s">
        <v>2973</v>
      </c>
      <c r="AV389" t="s">
        <v>2976</v>
      </c>
    </row>
    <row r="390" spans="1:48" x14ac:dyDescent="0.45">
      <c r="A390" s="5" t="s">
        <v>792</v>
      </c>
      <c r="B390">
        <v>2241</v>
      </c>
      <c r="C390" t="s">
        <v>793</v>
      </c>
      <c r="D390">
        <v>1128</v>
      </c>
      <c r="E390" t="s">
        <v>794</v>
      </c>
      <c r="F390" t="s">
        <v>2739</v>
      </c>
      <c r="G390" t="s">
        <v>2740</v>
      </c>
      <c r="H390" t="s">
        <v>2745</v>
      </c>
      <c r="I390" t="s">
        <v>2742</v>
      </c>
      <c r="J390">
        <v>363.71094847336002</v>
      </c>
      <c r="K390">
        <v>6</v>
      </c>
      <c r="L390">
        <v>1</v>
      </c>
      <c r="M390">
        <v>2</v>
      </c>
      <c r="N390" s="6">
        <v>3106886.37763579</v>
      </c>
      <c r="O390" s="6">
        <v>788520.02329778601</v>
      </c>
      <c r="P390" s="6">
        <v>776759.24100328097</v>
      </c>
      <c r="Q390" s="6">
        <v>135091.90907371699</v>
      </c>
      <c r="R390" s="6">
        <v>62222.576486180398</v>
      </c>
      <c r="S390" s="6">
        <v>260665.41917193201</v>
      </c>
      <c r="T390" s="6">
        <v>3349882.71</v>
      </c>
      <c r="U390" s="6">
        <v>1519597.4174967499</v>
      </c>
      <c r="V390" s="6">
        <v>4053656.2591246599</v>
      </c>
      <c r="W390" s="6">
        <v>781486.28247226798</v>
      </c>
      <c r="X390" s="6">
        <v>0</v>
      </c>
      <c r="Y390" s="6">
        <v>0</v>
      </c>
      <c r="Z390" s="6">
        <v>0</v>
      </c>
      <c r="AA390" s="6">
        <v>1353.52571664845</v>
      </c>
      <c r="AB390" s="6">
        <v>32984.060183177098</v>
      </c>
      <c r="AC390" s="6">
        <v>260665.41917193201</v>
      </c>
      <c r="AD390" s="6">
        <v>0</v>
      </c>
      <c r="AE390" s="6">
        <v>0</v>
      </c>
      <c r="AF390" s="6">
        <v>0</v>
      </c>
      <c r="AG390" s="6">
        <v>0</v>
      </c>
      <c r="AH390" s="6">
        <v>0</v>
      </c>
      <c r="AI390" s="6">
        <v>0</v>
      </c>
      <c r="AJ390" s="6">
        <v>5130145.5466686897</v>
      </c>
      <c r="AK390" s="6">
        <v>14105.0071992662</v>
      </c>
      <c r="AL390" s="6">
        <v>330.98244656580999</v>
      </c>
      <c r="AM390" s="6">
        <v>93035.839999999997</v>
      </c>
      <c r="AN390" s="6">
        <v>4894.7188533673798</v>
      </c>
      <c r="AO390" s="6">
        <v>15273.164962499701</v>
      </c>
      <c r="AP390" s="6">
        <v>330.98244656580999</v>
      </c>
      <c r="AQ390" s="6">
        <v>93035.839999999997</v>
      </c>
      <c r="AR390" s="6">
        <v>4894.7188533673798</v>
      </c>
      <c r="AS390" s="6">
        <v>15273.164962499701</v>
      </c>
      <c r="AT390" s="6">
        <v>0</v>
      </c>
      <c r="AU390" t="s">
        <v>2973</v>
      </c>
      <c r="AV390" t="s">
        <v>2973</v>
      </c>
    </row>
    <row r="391" spans="1:48" x14ac:dyDescent="0.45">
      <c r="A391" s="5" t="s">
        <v>795</v>
      </c>
      <c r="B391">
        <v>2241</v>
      </c>
      <c r="C391" t="s">
        <v>793</v>
      </c>
      <c r="D391">
        <v>1129</v>
      </c>
      <c r="E391" t="s">
        <v>796</v>
      </c>
      <c r="F391" t="s">
        <v>2739</v>
      </c>
      <c r="G391" t="s">
        <v>2740</v>
      </c>
      <c r="H391" t="s">
        <v>2745</v>
      </c>
      <c r="I391" t="s">
        <v>2742</v>
      </c>
      <c r="J391">
        <v>243.66662970353599</v>
      </c>
      <c r="K391">
        <v>1</v>
      </c>
      <c r="L391">
        <v>1</v>
      </c>
      <c r="M391">
        <v>2</v>
      </c>
      <c r="N391" s="6">
        <v>1691265.6975251599</v>
      </c>
      <c r="O391" s="6">
        <v>669939.541274569</v>
      </c>
      <c r="P391" s="6">
        <v>523306.179233987</v>
      </c>
      <c r="Q391" s="6">
        <v>91370.237205381607</v>
      </c>
      <c r="R391" s="6">
        <v>34212.6330531727</v>
      </c>
      <c r="S391" s="6">
        <v>174631.70805411201</v>
      </c>
      <c r="T391" s="6">
        <v>1992046.35</v>
      </c>
      <c r="U391" s="6">
        <v>1018047.9382922699</v>
      </c>
      <c r="V391" s="6">
        <v>2724570.2912710099</v>
      </c>
      <c r="W391" s="6">
        <v>269992.79685872298</v>
      </c>
      <c r="X391" s="6">
        <v>0</v>
      </c>
      <c r="Y391" s="6">
        <v>0</v>
      </c>
      <c r="Z391" s="6">
        <v>0</v>
      </c>
      <c r="AA391" s="6">
        <v>906.78889644959099</v>
      </c>
      <c r="AB391" s="6">
        <v>14624.411266094599</v>
      </c>
      <c r="AC391" s="6">
        <v>174631.70805411201</v>
      </c>
      <c r="AD391" s="6">
        <v>0</v>
      </c>
      <c r="AE391" s="6">
        <v>0</v>
      </c>
      <c r="AF391" s="6">
        <v>0</v>
      </c>
      <c r="AG391" s="6">
        <v>0</v>
      </c>
      <c r="AH391" s="6">
        <v>0</v>
      </c>
      <c r="AI391" s="6">
        <v>0</v>
      </c>
      <c r="AJ391" s="6">
        <v>3184725.9963463899</v>
      </c>
      <c r="AK391" s="6">
        <v>13070.012911579901</v>
      </c>
      <c r="AL391" s="6">
        <v>330.98244656580999</v>
      </c>
      <c r="AM391" s="6">
        <v>93035.839999999997</v>
      </c>
      <c r="AN391" s="6">
        <v>4894.7188533673798</v>
      </c>
      <c r="AO391" s="6">
        <v>15273.164962499701</v>
      </c>
      <c r="AP391" s="6">
        <v>330.98244656580999</v>
      </c>
      <c r="AQ391" s="6">
        <v>93035.839999999997</v>
      </c>
      <c r="AR391" s="6">
        <v>4894.7188533673798</v>
      </c>
      <c r="AS391" s="6">
        <v>15273.164962499701</v>
      </c>
      <c r="AT391" s="6">
        <v>0</v>
      </c>
      <c r="AU391" t="s">
        <v>2973</v>
      </c>
      <c r="AV391" t="s">
        <v>2973</v>
      </c>
    </row>
    <row r="392" spans="1:48" x14ac:dyDescent="0.45">
      <c r="A392" s="5" t="s">
        <v>797</v>
      </c>
      <c r="B392">
        <v>2241</v>
      </c>
      <c r="C392" t="s">
        <v>793</v>
      </c>
      <c r="D392">
        <v>1130</v>
      </c>
      <c r="E392" t="s">
        <v>798</v>
      </c>
      <c r="F392" t="s">
        <v>2739</v>
      </c>
      <c r="G392" t="s">
        <v>2740</v>
      </c>
      <c r="H392" t="s">
        <v>2745</v>
      </c>
      <c r="I392" t="s">
        <v>2742</v>
      </c>
      <c r="J392">
        <v>414.02620684552301</v>
      </c>
      <c r="K392">
        <v>5</v>
      </c>
      <c r="L392">
        <v>1</v>
      </c>
      <c r="M392">
        <v>2</v>
      </c>
      <c r="N392" s="6">
        <v>3673385.1497219098</v>
      </c>
      <c r="O392" s="6">
        <v>827962.50619977596</v>
      </c>
      <c r="P392" s="6">
        <v>910091.98748791602</v>
      </c>
      <c r="Q392" s="6">
        <v>154649.32823646601</v>
      </c>
      <c r="R392" s="6">
        <v>58805.674075475799</v>
      </c>
      <c r="S392" s="6">
        <v>296725.50471341697</v>
      </c>
      <c r="T392" s="6">
        <v>3895078.27</v>
      </c>
      <c r="U392" s="6">
        <v>1729816.3757215501</v>
      </c>
      <c r="V392" s="6">
        <v>4670063.7494847802</v>
      </c>
      <c r="W392" s="6">
        <v>927767.78291963995</v>
      </c>
      <c r="X392" s="6">
        <v>0</v>
      </c>
      <c r="Y392" s="6">
        <v>0</v>
      </c>
      <c r="Z392" s="6">
        <v>0</v>
      </c>
      <c r="AA392" s="6">
        <v>1540.77055058153</v>
      </c>
      <c r="AB392" s="6">
        <v>25522.342766547299</v>
      </c>
      <c r="AC392" s="6">
        <v>296725.50471341697</v>
      </c>
      <c r="AD392" s="6">
        <v>0</v>
      </c>
      <c r="AE392" s="6">
        <v>0</v>
      </c>
      <c r="AF392" s="6">
        <v>0</v>
      </c>
      <c r="AG392" s="6">
        <v>0</v>
      </c>
      <c r="AH392" s="6">
        <v>0</v>
      </c>
      <c r="AI392" s="6">
        <v>0</v>
      </c>
      <c r="AJ392" s="6">
        <v>5921620.1504349597</v>
      </c>
      <c r="AK392" s="6">
        <v>14302.5249429304</v>
      </c>
      <c r="AL392" s="6">
        <v>330.98244656580999</v>
      </c>
      <c r="AM392" s="6">
        <v>93035.839999999997</v>
      </c>
      <c r="AN392" s="6">
        <v>4894.7188533673798</v>
      </c>
      <c r="AO392" s="6">
        <v>15273.164962499701</v>
      </c>
      <c r="AP392" s="6">
        <v>330.98244656580999</v>
      </c>
      <c r="AQ392" s="6">
        <v>93035.839999999997</v>
      </c>
      <c r="AR392" s="6">
        <v>4894.7188533673798</v>
      </c>
      <c r="AS392" s="6">
        <v>15273.164962499701</v>
      </c>
      <c r="AT392" s="6">
        <v>0</v>
      </c>
      <c r="AU392" t="s">
        <v>2973</v>
      </c>
      <c r="AV392" t="s">
        <v>2973</v>
      </c>
    </row>
    <row r="393" spans="1:48" x14ac:dyDescent="0.45">
      <c r="A393" s="5" t="s">
        <v>799</v>
      </c>
      <c r="B393">
        <v>2241</v>
      </c>
      <c r="C393" t="s">
        <v>793</v>
      </c>
      <c r="D393">
        <v>3986</v>
      </c>
      <c r="E393" t="s">
        <v>800</v>
      </c>
      <c r="F393" t="s">
        <v>2739</v>
      </c>
      <c r="G393" t="s">
        <v>2740</v>
      </c>
      <c r="H393" t="s">
        <v>2745</v>
      </c>
      <c r="I393" t="s">
        <v>2742</v>
      </c>
      <c r="J393">
        <v>259.94814075549101</v>
      </c>
      <c r="K393">
        <v>4</v>
      </c>
      <c r="L393">
        <v>1</v>
      </c>
      <c r="M393">
        <v>2</v>
      </c>
      <c r="N393" s="6">
        <v>2392792.18546793</v>
      </c>
      <c r="O393" s="6">
        <v>666073.92209013097</v>
      </c>
      <c r="P393" s="6">
        <v>594525.15192029404</v>
      </c>
      <c r="Q393" s="6">
        <v>96760.064087226594</v>
      </c>
      <c r="R393" s="6">
        <v>33779.123193721498</v>
      </c>
      <c r="S393" s="6">
        <v>186300.38869439601</v>
      </c>
      <c r="T393" s="6">
        <v>2697857.77</v>
      </c>
      <c r="U393" s="6">
        <v>1086072.6767593001</v>
      </c>
      <c r="V393" s="6">
        <v>3229956.4179756301</v>
      </c>
      <c r="W393" s="6">
        <v>540124.60935149796</v>
      </c>
      <c r="X393" s="6">
        <v>0</v>
      </c>
      <c r="Y393" s="6">
        <v>0</v>
      </c>
      <c r="Z393" s="6">
        <v>0</v>
      </c>
      <c r="AA393" s="6">
        <v>967.37943959165796</v>
      </c>
      <c r="AB393" s="6">
        <v>12882.0399925774</v>
      </c>
      <c r="AC393" s="6">
        <v>186300.38869439601</v>
      </c>
      <c r="AD393" s="6">
        <v>0</v>
      </c>
      <c r="AE393" s="6">
        <v>0</v>
      </c>
      <c r="AF393" s="6">
        <v>0</v>
      </c>
      <c r="AG393" s="6">
        <v>0</v>
      </c>
      <c r="AH393" s="6">
        <v>0</v>
      </c>
      <c r="AI393" s="6">
        <v>0</v>
      </c>
      <c r="AJ393" s="6">
        <v>3970230.83545369</v>
      </c>
      <c r="AK393" s="6">
        <v>15273.164962499701</v>
      </c>
      <c r="AL393" s="6">
        <v>330.98244656580999</v>
      </c>
      <c r="AM393" s="6">
        <v>93035.839999999997</v>
      </c>
      <c r="AN393" s="6">
        <v>4894.7188533673798</v>
      </c>
      <c r="AO393" s="6">
        <v>15273.164962499701</v>
      </c>
      <c r="AP393" s="6">
        <v>330.98244656580999</v>
      </c>
      <c r="AQ393" s="6">
        <v>93035.839999999997</v>
      </c>
      <c r="AR393" s="6">
        <v>4894.7188533673798</v>
      </c>
      <c r="AS393" s="6">
        <v>15273.164962499701</v>
      </c>
      <c r="AT393" s="6">
        <v>0</v>
      </c>
      <c r="AU393" t="s">
        <v>2973</v>
      </c>
      <c r="AV393" t="s">
        <v>2973</v>
      </c>
    </row>
    <row r="394" spans="1:48" x14ac:dyDescent="0.45">
      <c r="A394" s="5" t="s">
        <v>801</v>
      </c>
      <c r="B394">
        <v>2241</v>
      </c>
      <c r="C394" t="s">
        <v>793</v>
      </c>
      <c r="D394">
        <v>4595</v>
      </c>
      <c r="E394" t="s">
        <v>802</v>
      </c>
      <c r="F394" t="s">
        <v>3</v>
      </c>
      <c r="G394" t="s">
        <v>2740</v>
      </c>
      <c r="H394" t="s">
        <v>2741</v>
      </c>
      <c r="I394" t="s">
        <v>2742</v>
      </c>
      <c r="J394">
        <v>199.84337699361399</v>
      </c>
      <c r="K394">
        <v>1</v>
      </c>
      <c r="L394">
        <v>1</v>
      </c>
      <c r="M394">
        <v>2</v>
      </c>
      <c r="N394" s="6">
        <v>224055.03825243801</v>
      </c>
      <c r="O394" s="6">
        <v>143195.366906254</v>
      </c>
      <c r="P394" s="6">
        <v>367630.832455258</v>
      </c>
      <c r="Q394" s="6">
        <v>74223.348259976905</v>
      </c>
      <c r="R394" s="6">
        <v>25848.227226691899</v>
      </c>
      <c r="S394" s="6">
        <v>143224.33199062801</v>
      </c>
      <c r="T394" s="6">
        <v>0</v>
      </c>
      <c r="U394" s="6">
        <v>834952.81310062006</v>
      </c>
      <c r="V394" s="6">
        <v>612063.04549307097</v>
      </c>
      <c r="W394" s="6">
        <v>212363.13218226601</v>
      </c>
      <c r="X394" s="6">
        <v>0</v>
      </c>
      <c r="Y394" s="6">
        <v>0</v>
      </c>
      <c r="Z394" s="6">
        <v>0</v>
      </c>
      <c r="AA394" s="6">
        <v>743.70362288541605</v>
      </c>
      <c r="AB394" s="6">
        <v>9782.9318023969809</v>
      </c>
      <c r="AC394" s="6">
        <v>143224.33199062801</v>
      </c>
      <c r="AD394" s="6">
        <v>0</v>
      </c>
      <c r="AE394" s="6">
        <v>0</v>
      </c>
      <c r="AF394" s="6">
        <v>0</v>
      </c>
      <c r="AG394" s="6">
        <v>0</v>
      </c>
      <c r="AH394" s="6">
        <v>0</v>
      </c>
      <c r="AI394" s="6">
        <v>0</v>
      </c>
      <c r="AJ394" s="6">
        <v>978177.14509124798</v>
      </c>
      <c r="AK394" s="6">
        <v>4894.7188533673798</v>
      </c>
      <c r="AL394" s="6">
        <v>330.98244656580999</v>
      </c>
      <c r="AM394" s="6">
        <v>93035.839999999997</v>
      </c>
      <c r="AN394" s="6">
        <v>4894.7188533673798</v>
      </c>
      <c r="AO394" s="6">
        <v>15273.164962499701</v>
      </c>
      <c r="AP394" s="6">
        <v>330.98244656580999</v>
      </c>
      <c r="AQ394" s="6">
        <v>93035.839999999997</v>
      </c>
      <c r="AR394" s="6">
        <v>4894.7188533673798</v>
      </c>
      <c r="AS394" s="6">
        <v>15273.164962499701</v>
      </c>
      <c r="AT394" s="6">
        <v>0</v>
      </c>
      <c r="AU394" t="s">
        <v>2973</v>
      </c>
      <c r="AV394" t="s">
        <v>2976</v>
      </c>
    </row>
    <row r="395" spans="1:48" x14ac:dyDescent="0.45">
      <c r="A395" s="5" t="s">
        <v>803</v>
      </c>
      <c r="B395">
        <v>2241</v>
      </c>
      <c r="C395" t="s">
        <v>793</v>
      </c>
      <c r="D395">
        <v>1134</v>
      </c>
      <c r="E395" t="s">
        <v>804</v>
      </c>
      <c r="F395" t="s">
        <v>2739</v>
      </c>
      <c r="G395" t="s">
        <v>2744</v>
      </c>
      <c r="H395" t="s">
        <v>2745</v>
      </c>
      <c r="I395" t="s">
        <v>2742</v>
      </c>
      <c r="J395">
        <v>1855.29138818346</v>
      </c>
      <c r="K395">
        <v>1</v>
      </c>
      <c r="L395">
        <v>1</v>
      </c>
      <c r="M395">
        <v>2</v>
      </c>
      <c r="N395" s="6">
        <v>14143652.545575401</v>
      </c>
      <c r="O395" s="6">
        <v>4403090.4879668104</v>
      </c>
      <c r="P395" s="6">
        <v>4410388.2667704904</v>
      </c>
      <c r="Q395" s="6">
        <v>695699.62468275498</v>
      </c>
      <c r="R395" s="6">
        <v>1013215.77932877</v>
      </c>
      <c r="S395" s="6">
        <v>1329655.6219075101</v>
      </c>
      <c r="T395" s="6">
        <v>16914572.59</v>
      </c>
      <c r="U395" s="6">
        <v>7751474.1143242102</v>
      </c>
      <c r="V395" s="6">
        <v>19823210.243491899</v>
      </c>
      <c r="W395" s="6">
        <v>3909764.40955522</v>
      </c>
      <c r="X395" s="6">
        <v>0</v>
      </c>
      <c r="Y395" s="6">
        <v>0</v>
      </c>
      <c r="Z395" s="6">
        <v>62097.75</v>
      </c>
      <c r="AA395" s="6">
        <v>20040.361528137</v>
      </c>
      <c r="AB395" s="6">
        <v>850933.93974891806</v>
      </c>
      <c r="AC395" s="6">
        <v>1329655.6219075101</v>
      </c>
      <c r="AD395" s="6">
        <v>0</v>
      </c>
      <c r="AE395" s="6">
        <v>0</v>
      </c>
      <c r="AF395" s="6">
        <v>0</v>
      </c>
      <c r="AG395" s="6">
        <v>0</v>
      </c>
      <c r="AH395" s="6">
        <v>0</v>
      </c>
      <c r="AI395" s="6">
        <v>0</v>
      </c>
      <c r="AJ395" s="6">
        <v>25995702.326231699</v>
      </c>
      <c r="AK395" s="6">
        <v>14011.6547146184</v>
      </c>
      <c r="AL395" s="6">
        <v>330.98244656580999</v>
      </c>
      <c r="AM395" s="6">
        <v>93035.839999999997</v>
      </c>
      <c r="AN395" s="6">
        <v>4894.7188533673798</v>
      </c>
      <c r="AO395" s="6">
        <v>15273.164962499701</v>
      </c>
      <c r="AP395" s="6">
        <v>330.98244656580999</v>
      </c>
      <c r="AQ395" s="6">
        <v>40734.411818744898</v>
      </c>
      <c r="AR395" s="6">
        <v>14011.6547146184</v>
      </c>
      <c r="AS395" s="6">
        <v>14011.6547146184</v>
      </c>
      <c r="AT395" s="6">
        <v>0</v>
      </c>
      <c r="AU395" t="s">
        <v>2973</v>
      </c>
      <c r="AV395" t="s">
        <v>2973</v>
      </c>
    </row>
    <row r="396" spans="1:48" x14ac:dyDescent="0.45">
      <c r="A396" s="5" t="s">
        <v>805</v>
      </c>
      <c r="B396">
        <v>2241</v>
      </c>
      <c r="C396" t="s">
        <v>793</v>
      </c>
      <c r="D396">
        <v>2241</v>
      </c>
      <c r="E396" t="s">
        <v>793</v>
      </c>
      <c r="F396" t="s">
        <v>1</v>
      </c>
      <c r="G396" t="s">
        <v>1</v>
      </c>
      <c r="H396" t="s">
        <v>2743</v>
      </c>
      <c r="I396" t="s">
        <v>2742</v>
      </c>
      <c r="J396">
        <v>43.111662917554298</v>
      </c>
      <c r="K396">
        <v>2</v>
      </c>
      <c r="L396">
        <v>2</v>
      </c>
      <c r="M396">
        <v>2</v>
      </c>
      <c r="N396" s="6">
        <v>48334.778111898602</v>
      </c>
      <c r="O396" s="6">
        <v>30891.143265734499</v>
      </c>
      <c r="P396" s="6">
        <v>79307.989913608399</v>
      </c>
      <c r="Q396" s="6">
        <v>16011.9990911613</v>
      </c>
      <c r="R396" s="6">
        <v>5576.1670763254697</v>
      </c>
      <c r="S396" s="6">
        <v>30897.3918238439</v>
      </c>
      <c r="T396" s="6">
        <v>0</v>
      </c>
      <c r="U396" s="6">
        <v>180122.07745872799</v>
      </c>
      <c r="V396" s="6">
        <v>132038.67998303601</v>
      </c>
      <c r="W396" s="6">
        <v>45812.5153231894</v>
      </c>
      <c r="X396" s="6">
        <v>0</v>
      </c>
      <c r="Y396" s="6">
        <v>0</v>
      </c>
      <c r="Z396" s="6">
        <v>0</v>
      </c>
      <c r="AA396" s="6">
        <v>160.43714023819999</v>
      </c>
      <c r="AB396" s="6">
        <v>2110.44501226497</v>
      </c>
      <c r="AC396" s="6">
        <v>30897.3918238439</v>
      </c>
      <c r="AD396" s="6">
        <v>0</v>
      </c>
      <c r="AE396" s="6">
        <v>0</v>
      </c>
      <c r="AF396" s="6">
        <v>0</v>
      </c>
      <c r="AG396" s="6">
        <v>0</v>
      </c>
      <c r="AH396" s="6">
        <v>0</v>
      </c>
      <c r="AI396" s="6">
        <v>0</v>
      </c>
      <c r="AJ396" s="6">
        <v>211019.46928257201</v>
      </c>
      <c r="AK396" s="6">
        <v>4894.7188533673798</v>
      </c>
      <c r="AL396" s="6">
        <v>330.98244656580999</v>
      </c>
      <c r="AM396" s="6">
        <v>93035.839999999997</v>
      </c>
      <c r="AN396" s="6">
        <v>4894.7188533673798</v>
      </c>
      <c r="AO396" s="6">
        <v>15273.164962499701</v>
      </c>
      <c r="AP396" s="6">
        <v>634.54287297753501</v>
      </c>
      <c r="AQ396" s="6">
        <v>40331.279999999999</v>
      </c>
      <c r="AR396" s="6">
        <v>4894.7188533673798</v>
      </c>
      <c r="AS396" s="6">
        <v>4894.7188533673798</v>
      </c>
      <c r="AT396" s="6">
        <v>0</v>
      </c>
      <c r="AU396" t="s">
        <v>2973</v>
      </c>
      <c r="AV396" t="s">
        <v>2977</v>
      </c>
    </row>
    <row r="397" spans="1:48" x14ac:dyDescent="0.45">
      <c r="A397" s="5" t="s">
        <v>806</v>
      </c>
      <c r="B397">
        <v>2241</v>
      </c>
      <c r="C397" t="s">
        <v>793</v>
      </c>
      <c r="D397">
        <v>1132</v>
      </c>
      <c r="E397" t="s">
        <v>807</v>
      </c>
      <c r="F397" t="s">
        <v>2739</v>
      </c>
      <c r="G397" t="s">
        <v>2740</v>
      </c>
      <c r="H397" t="s">
        <v>2745</v>
      </c>
      <c r="I397" t="s">
        <v>2742</v>
      </c>
      <c r="J397">
        <v>489.16711022395401</v>
      </c>
      <c r="K397">
        <v>1</v>
      </c>
      <c r="L397">
        <v>1</v>
      </c>
      <c r="M397">
        <v>2</v>
      </c>
      <c r="N397" s="6">
        <v>4069382.0027311398</v>
      </c>
      <c r="O397" s="6">
        <v>932574.09628375003</v>
      </c>
      <c r="P397" s="6">
        <v>1022484.47085177</v>
      </c>
      <c r="Q397" s="6">
        <v>183032.41053439799</v>
      </c>
      <c r="R397" s="6">
        <v>71221.160820164398</v>
      </c>
      <c r="S397" s="6">
        <v>350577.705639205</v>
      </c>
      <c r="T397" s="6">
        <v>4234936.37</v>
      </c>
      <c r="U397" s="6">
        <v>2043757.77122122</v>
      </c>
      <c r="V397" s="6">
        <v>5684875.6925343797</v>
      </c>
      <c r="W397" s="6">
        <v>560100.75132029701</v>
      </c>
      <c r="X397" s="6">
        <v>0</v>
      </c>
      <c r="Y397" s="6">
        <v>0</v>
      </c>
      <c r="Z397" s="6">
        <v>0</v>
      </c>
      <c r="AA397" s="6">
        <v>1820.40234479009</v>
      </c>
      <c r="AB397" s="6">
        <v>31897.295021761802</v>
      </c>
      <c r="AC397" s="6">
        <v>350577.705639205</v>
      </c>
      <c r="AD397" s="6">
        <v>0</v>
      </c>
      <c r="AE397" s="6">
        <v>0</v>
      </c>
      <c r="AF397" s="6">
        <v>0</v>
      </c>
      <c r="AG397" s="6">
        <v>0</v>
      </c>
      <c r="AH397" s="6">
        <v>0</v>
      </c>
      <c r="AI397" s="6">
        <v>0</v>
      </c>
      <c r="AJ397" s="6">
        <v>6629271.84686042</v>
      </c>
      <c r="AK397" s="6">
        <v>13552.161844702399</v>
      </c>
      <c r="AL397" s="6">
        <v>330.98244656580999</v>
      </c>
      <c r="AM397" s="6">
        <v>93035.839999999997</v>
      </c>
      <c r="AN397" s="6">
        <v>4894.7188533673798</v>
      </c>
      <c r="AO397" s="6">
        <v>15273.164962499701</v>
      </c>
      <c r="AP397" s="6">
        <v>330.98244656580999</v>
      </c>
      <c r="AQ397" s="6">
        <v>93035.839999999997</v>
      </c>
      <c r="AR397" s="6">
        <v>4894.7188533673798</v>
      </c>
      <c r="AS397" s="6">
        <v>15273.164962499701</v>
      </c>
      <c r="AT397" s="6">
        <v>0</v>
      </c>
      <c r="AU397" t="s">
        <v>2973</v>
      </c>
      <c r="AV397" t="s">
        <v>2973</v>
      </c>
    </row>
    <row r="398" spans="1:48" x14ac:dyDescent="0.45">
      <c r="A398" s="5" t="s">
        <v>808</v>
      </c>
      <c r="B398">
        <v>2241</v>
      </c>
      <c r="C398" t="s">
        <v>793</v>
      </c>
      <c r="D398">
        <v>1133</v>
      </c>
      <c r="E398" t="s">
        <v>809</v>
      </c>
      <c r="F398" t="s">
        <v>2739</v>
      </c>
      <c r="G398" t="s">
        <v>2740</v>
      </c>
      <c r="H398" t="s">
        <v>2745</v>
      </c>
      <c r="I398" t="s">
        <v>2742</v>
      </c>
      <c r="J398">
        <v>501.05038071998501</v>
      </c>
      <c r="K398">
        <v>3</v>
      </c>
      <c r="L398">
        <v>1</v>
      </c>
      <c r="M398">
        <v>2</v>
      </c>
      <c r="N398" s="6">
        <v>4215608.1892742701</v>
      </c>
      <c r="O398" s="6">
        <v>1011529.19075658</v>
      </c>
      <c r="P398" s="6">
        <v>1030301.84318518</v>
      </c>
      <c r="Q398" s="6">
        <v>188688.987463984</v>
      </c>
      <c r="R398" s="6">
        <v>77979.381856499502</v>
      </c>
      <c r="S398" s="6">
        <v>359094.24246049899</v>
      </c>
      <c r="T398" s="6">
        <v>4430701.09</v>
      </c>
      <c r="U398" s="6">
        <v>2093406.5025365199</v>
      </c>
      <c r="V398" s="6">
        <v>5543394.9677002598</v>
      </c>
      <c r="W398" s="6">
        <v>943782.77300232695</v>
      </c>
      <c r="X398" s="6">
        <v>0</v>
      </c>
      <c r="Y398" s="6">
        <v>0</v>
      </c>
      <c r="Z398" s="6">
        <v>0</v>
      </c>
      <c r="AA398" s="6">
        <v>1864.6251329183499</v>
      </c>
      <c r="AB398" s="6">
        <v>35065.226701013802</v>
      </c>
      <c r="AC398" s="6">
        <v>359094.24246049899</v>
      </c>
      <c r="AD398" s="6">
        <v>0</v>
      </c>
      <c r="AE398" s="6">
        <v>0</v>
      </c>
      <c r="AF398" s="6">
        <v>0</v>
      </c>
      <c r="AG398" s="6">
        <v>0</v>
      </c>
      <c r="AH398" s="6">
        <v>0</v>
      </c>
      <c r="AI398" s="6">
        <v>0</v>
      </c>
      <c r="AJ398" s="6">
        <v>6883201.8349970197</v>
      </c>
      <c r="AK398" s="6">
        <v>13737.544366509001</v>
      </c>
      <c r="AL398" s="6">
        <v>330.98244656580999</v>
      </c>
      <c r="AM398" s="6">
        <v>93035.839999999997</v>
      </c>
      <c r="AN398" s="6">
        <v>4894.7188533673798</v>
      </c>
      <c r="AO398" s="6">
        <v>15273.164962499701</v>
      </c>
      <c r="AP398" s="6">
        <v>330.98244656580999</v>
      </c>
      <c r="AQ398" s="6">
        <v>93035.839999999997</v>
      </c>
      <c r="AR398" s="6">
        <v>4894.7188533673798</v>
      </c>
      <c r="AS398" s="6">
        <v>15273.164962499701</v>
      </c>
      <c r="AT398" s="6">
        <v>0</v>
      </c>
      <c r="AU398" t="s">
        <v>2973</v>
      </c>
      <c r="AV398" t="s">
        <v>2973</v>
      </c>
    </row>
    <row r="399" spans="1:48" x14ac:dyDescent="0.45">
      <c r="A399" s="5" t="s">
        <v>810</v>
      </c>
      <c r="B399">
        <v>2241</v>
      </c>
      <c r="C399" t="s">
        <v>793</v>
      </c>
      <c r="D399">
        <v>1126</v>
      </c>
      <c r="E399" t="s">
        <v>811</v>
      </c>
      <c r="F399" t="s">
        <v>2739</v>
      </c>
      <c r="G399" t="s">
        <v>2747</v>
      </c>
      <c r="H399" t="s">
        <v>2745</v>
      </c>
      <c r="I399" t="s">
        <v>2742</v>
      </c>
      <c r="J399">
        <v>884.27756055470604</v>
      </c>
      <c r="K399">
        <v>2</v>
      </c>
      <c r="L399">
        <v>1</v>
      </c>
      <c r="M399">
        <v>2</v>
      </c>
      <c r="N399" s="6">
        <v>6400214.4618243901</v>
      </c>
      <c r="O399" s="6">
        <v>2041669.2747816099</v>
      </c>
      <c r="P399" s="6">
        <v>1904650.2514597001</v>
      </c>
      <c r="Q399" s="6">
        <v>334622.65311394999</v>
      </c>
      <c r="R399" s="6">
        <v>134484.66505590401</v>
      </c>
      <c r="S399" s="6">
        <v>633746.61102127505</v>
      </c>
      <c r="T399" s="6">
        <v>7121097.8700000001</v>
      </c>
      <c r="U399" s="6">
        <v>3694543.4362355601</v>
      </c>
      <c r="V399" s="6">
        <v>9482448.32568698</v>
      </c>
      <c r="W399" s="6">
        <v>1266504.10650554</v>
      </c>
      <c r="X399" s="6">
        <v>0</v>
      </c>
      <c r="Y399" s="6">
        <v>0</v>
      </c>
      <c r="Z399" s="6">
        <v>0</v>
      </c>
      <c r="AA399" s="6">
        <v>3290.7791857511902</v>
      </c>
      <c r="AB399" s="6">
        <v>63398.094857282696</v>
      </c>
      <c r="AC399" s="6">
        <v>633746.61102127505</v>
      </c>
      <c r="AD399" s="6">
        <v>0</v>
      </c>
      <c r="AE399" s="6">
        <v>0</v>
      </c>
      <c r="AF399" s="6">
        <v>0</v>
      </c>
      <c r="AG399" s="6">
        <v>0</v>
      </c>
      <c r="AH399" s="6">
        <v>0</v>
      </c>
      <c r="AI399" s="6">
        <v>0</v>
      </c>
      <c r="AJ399" s="6">
        <v>11449387.9172568</v>
      </c>
      <c r="AK399" s="6">
        <v>12947.730925202501</v>
      </c>
      <c r="AL399" s="6">
        <v>330.98244656580999</v>
      </c>
      <c r="AM399" s="6">
        <v>93035.839999999997</v>
      </c>
      <c r="AN399" s="6">
        <v>4894.7188533673798</v>
      </c>
      <c r="AO399" s="6">
        <v>15273.164962499701</v>
      </c>
      <c r="AP399" s="6">
        <v>3753.1860850462999</v>
      </c>
      <c r="AQ399" s="6">
        <v>20687.885194392002</v>
      </c>
      <c r="AR399" s="6">
        <v>12947.730925202501</v>
      </c>
      <c r="AS399" s="6">
        <v>12947.730925202501</v>
      </c>
      <c r="AT399" s="6">
        <v>0</v>
      </c>
      <c r="AU399" t="s">
        <v>2973</v>
      </c>
      <c r="AV399" t="s">
        <v>2973</v>
      </c>
    </row>
    <row r="400" spans="1:48" x14ac:dyDescent="0.45">
      <c r="A400" s="5" t="s">
        <v>2813</v>
      </c>
      <c r="B400">
        <v>2241</v>
      </c>
      <c r="C400" t="s">
        <v>793</v>
      </c>
      <c r="D400">
        <v>2376</v>
      </c>
      <c r="E400" t="s">
        <v>2814</v>
      </c>
      <c r="F400" t="s">
        <v>2773</v>
      </c>
      <c r="G400" t="s">
        <v>2746</v>
      </c>
      <c r="H400" t="s">
        <v>2743</v>
      </c>
      <c r="I400" t="s">
        <v>2742</v>
      </c>
      <c r="J400">
        <v>11.3069938209297</v>
      </c>
      <c r="K400">
        <v>1</v>
      </c>
      <c r="L400">
        <v>5</v>
      </c>
      <c r="M400">
        <v>2</v>
      </c>
      <c r="N400" s="6">
        <v>12676.872114453199</v>
      </c>
      <c r="O400" s="6">
        <v>8101.8903560988001</v>
      </c>
      <c r="P400" s="6">
        <v>20800.2867720139</v>
      </c>
      <c r="Q400" s="6">
        <v>4199.5033949566096</v>
      </c>
      <c r="R400" s="6">
        <v>1462.4740130544001</v>
      </c>
      <c r="S400" s="6">
        <v>8103.5291796363699</v>
      </c>
      <c r="T400" s="6">
        <v>0</v>
      </c>
      <c r="U400" s="6">
        <v>47241.026650576903</v>
      </c>
      <c r="V400" s="6">
        <v>34630.084706939</v>
      </c>
      <c r="W400" s="6">
        <v>12015.352520063199</v>
      </c>
      <c r="X400" s="6">
        <v>0</v>
      </c>
      <c r="Y400" s="6">
        <v>0</v>
      </c>
      <c r="Z400" s="6">
        <v>0</v>
      </c>
      <c r="AA400" s="6">
        <v>42.078213424291597</v>
      </c>
      <c r="AB400" s="6">
        <v>553.51121015040906</v>
      </c>
      <c r="AC400" s="6">
        <v>8103.5291796363699</v>
      </c>
      <c r="AD400" s="6">
        <v>0</v>
      </c>
      <c r="AE400" s="6">
        <v>0</v>
      </c>
      <c r="AF400" s="6">
        <v>0</v>
      </c>
      <c r="AG400" s="6">
        <v>0</v>
      </c>
      <c r="AH400" s="6">
        <v>0</v>
      </c>
      <c r="AI400" s="6">
        <v>0</v>
      </c>
      <c r="AJ400" s="6">
        <v>55344.555830213198</v>
      </c>
      <c r="AK400" s="6">
        <v>4894.7188533673798</v>
      </c>
      <c r="AL400" s="6">
        <v>330.98244656580999</v>
      </c>
      <c r="AM400" s="6">
        <v>93035.839999999997</v>
      </c>
      <c r="AN400" s="6">
        <v>4894.7188533673798</v>
      </c>
      <c r="AO400" s="6">
        <v>15273.164962499701</v>
      </c>
      <c r="AP400" s="6">
        <v>4894.7188533673798</v>
      </c>
      <c r="AQ400" s="6">
        <v>4894.7188533673798</v>
      </c>
      <c r="AR400" s="6">
        <v>4894.7188533673798</v>
      </c>
      <c r="AS400" s="6">
        <v>4894.7188533673798</v>
      </c>
      <c r="AT400" s="6">
        <v>0</v>
      </c>
      <c r="AU400" t="s">
        <v>2973</v>
      </c>
      <c r="AV400" t="s">
        <v>2973</v>
      </c>
    </row>
    <row r="401" spans="1:48" x14ac:dyDescent="0.45">
      <c r="A401" s="5" t="s">
        <v>812</v>
      </c>
      <c r="B401">
        <v>2241</v>
      </c>
      <c r="C401" t="s">
        <v>793</v>
      </c>
      <c r="D401">
        <v>1127</v>
      </c>
      <c r="E401" t="s">
        <v>813</v>
      </c>
      <c r="F401" t="s">
        <v>2739</v>
      </c>
      <c r="G401" t="s">
        <v>2740</v>
      </c>
      <c r="H401" t="s">
        <v>2745</v>
      </c>
      <c r="I401" t="s">
        <v>2742</v>
      </c>
      <c r="J401">
        <v>782.11234194030396</v>
      </c>
      <c r="K401">
        <v>2</v>
      </c>
      <c r="L401">
        <v>1</v>
      </c>
      <c r="M401">
        <v>2</v>
      </c>
      <c r="N401" s="6">
        <v>6323312.4417652898</v>
      </c>
      <c r="O401" s="6">
        <v>2133542.3168209498</v>
      </c>
      <c r="P401" s="6">
        <v>1629537.7489466099</v>
      </c>
      <c r="Q401" s="6">
        <v>315229.11485604697</v>
      </c>
      <c r="R401" s="6">
        <v>119562.637814049</v>
      </c>
      <c r="S401" s="6">
        <v>560526.54534358298</v>
      </c>
      <c r="T401" s="6">
        <v>7253490.7800000003</v>
      </c>
      <c r="U401" s="6">
        <v>3267693.48020293</v>
      </c>
      <c r="V401" s="6">
        <v>8314409.8625475001</v>
      </c>
      <c r="W401" s="6">
        <v>2147174.7479890301</v>
      </c>
      <c r="X401" s="6">
        <v>0</v>
      </c>
      <c r="Y401" s="6">
        <v>0</v>
      </c>
      <c r="Z401" s="6">
        <v>0</v>
      </c>
      <c r="AA401" s="6">
        <v>2910.5782285844198</v>
      </c>
      <c r="AB401" s="6">
        <v>56689.071437818398</v>
      </c>
      <c r="AC401" s="6">
        <v>560526.54534358298</v>
      </c>
      <c r="AD401" s="6">
        <v>0</v>
      </c>
      <c r="AE401" s="6">
        <v>0</v>
      </c>
      <c r="AF401" s="6">
        <v>0</v>
      </c>
      <c r="AG401" s="6">
        <v>0</v>
      </c>
      <c r="AH401" s="6">
        <v>0</v>
      </c>
      <c r="AI401" s="6">
        <v>0</v>
      </c>
      <c r="AJ401" s="6">
        <v>11081710.8055465</v>
      </c>
      <c r="AK401" s="6">
        <v>14168.9501767156</v>
      </c>
      <c r="AL401" s="6">
        <v>330.98244656580999</v>
      </c>
      <c r="AM401" s="6">
        <v>93035.839999999997</v>
      </c>
      <c r="AN401" s="6">
        <v>4894.7188533673798</v>
      </c>
      <c r="AO401" s="6">
        <v>15273.164962499701</v>
      </c>
      <c r="AP401" s="6">
        <v>330.98244656580999</v>
      </c>
      <c r="AQ401" s="6">
        <v>93035.839999999997</v>
      </c>
      <c r="AR401" s="6">
        <v>4894.7188533673798</v>
      </c>
      <c r="AS401" s="6">
        <v>15273.164962499701</v>
      </c>
      <c r="AT401" s="6">
        <v>0</v>
      </c>
      <c r="AU401" t="s">
        <v>2973</v>
      </c>
      <c r="AV401" t="s">
        <v>2973</v>
      </c>
    </row>
    <row r="402" spans="1:48" x14ac:dyDescent="0.45">
      <c r="A402" s="5" t="s">
        <v>814</v>
      </c>
      <c r="B402">
        <v>2248</v>
      </c>
      <c r="C402" t="s">
        <v>815</v>
      </c>
      <c r="D402">
        <v>1205</v>
      </c>
      <c r="E402" t="s">
        <v>816</v>
      </c>
      <c r="F402" t="s">
        <v>3</v>
      </c>
      <c r="G402" t="s">
        <v>2748</v>
      </c>
      <c r="H402" t="s">
        <v>2749</v>
      </c>
      <c r="I402" t="s">
        <v>2742</v>
      </c>
      <c r="J402">
        <v>750.13261738258598</v>
      </c>
      <c r="K402">
        <v>1</v>
      </c>
      <c r="L402">
        <v>1</v>
      </c>
      <c r="M402">
        <v>1</v>
      </c>
      <c r="N402" s="6">
        <v>5576265.97000001</v>
      </c>
      <c r="O402" s="6">
        <v>400945.86</v>
      </c>
      <c r="P402" s="6">
        <v>456810.53</v>
      </c>
      <c r="Q402" s="6">
        <v>221714.9</v>
      </c>
      <c r="R402" s="6">
        <v>375647.74</v>
      </c>
      <c r="S402" s="6">
        <v>216392</v>
      </c>
      <c r="T402" s="6">
        <v>6186787.2699999996</v>
      </c>
      <c r="U402" s="6">
        <v>844597.73</v>
      </c>
      <c r="V402" s="6">
        <v>6715023.4300000099</v>
      </c>
      <c r="W402" s="6">
        <v>295438.06</v>
      </c>
      <c r="X402" s="6">
        <v>0</v>
      </c>
      <c r="Y402" s="6">
        <v>0</v>
      </c>
      <c r="Z402" s="6">
        <v>0</v>
      </c>
      <c r="AA402" s="6">
        <v>0</v>
      </c>
      <c r="AB402" s="6">
        <v>20923.509999999998</v>
      </c>
      <c r="AC402" s="6">
        <v>216392</v>
      </c>
      <c r="AD402" s="6">
        <v>0</v>
      </c>
      <c r="AE402" s="6">
        <v>0</v>
      </c>
      <c r="AF402" s="6">
        <v>0</v>
      </c>
      <c r="AG402" s="6">
        <v>0</v>
      </c>
      <c r="AH402" s="6">
        <v>0</v>
      </c>
      <c r="AI402" s="6">
        <v>0</v>
      </c>
      <c r="AJ402" s="6">
        <v>7247777.0000000102</v>
      </c>
      <c r="AK402" s="6">
        <v>9661.9942021578008</v>
      </c>
      <c r="AL402" s="6">
        <v>330.98244656580999</v>
      </c>
      <c r="AM402" s="6">
        <v>93035.839999999997</v>
      </c>
      <c r="AN402" s="6">
        <v>9661.9942021578008</v>
      </c>
      <c r="AO402" s="6">
        <v>9661.9942021578008</v>
      </c>
      <c r="AP402" s="6">
        <v>330.98244656580999</v>
      </c>
      <c r="AQ402" s="6">
        <v>56162.493707719797</v>
      </c>
      <c r="AR402" s="6">
        <v>9661.9942021578008</v>
      </c>
      <c r="AS402" s="6">
        <v>9661.9942021578008</v>
      </c>
      <c r="AT402" s="6">
        <v>0</v>
      </c>
      <c r="AU402" t="s">
        <v>2973</v>
      </c>
      <c r="AV402" t="s">
        <v>2973</v>
      </c>
    </row>
    <row r="403" spans="1:48" x14ac:dyDescent="0.45">
      <c r="A403" s="5" t="s">
        <v>820</v>
      </c>
      <c r="B403">
        <v>2020</v>
      </c>
      <c r="C403" t="s">
        <v>818</v>
      </c>
      <c r="D403">
        <v>4702</v>
      </c>
      <c r="E403" t="s">
        <v>821</v>
      </c>
      <c r="F403" t="s">
        <v>3</v>
      </c>
      <c r="G403" t="s">
        <v>2748</v>
      </c>
      <c r="H403" t="s">
        <v>2749</v>
      </c>
      <c r="I403" t="s">
        <v>2742</v>
      </c>
      <c r="J403">
        <v>440.25454545445598</v>
      </c>
      <c r="K403">
        <v>1</v>
      </c>
      <c r="L403">
        <v>1</v>
      </c>
      <c r="M403">
        <v>1</v>
      </c>
      <c r="N403" s="6">
        <v>0</v>
      </c>
      <c r="O403" s="6">
        <v>0</v>
      </c>
      <c r="P403" s="6">
        <v>0</v>
      </c>
      <c r="Q403" s="6">
        <v>0</v>
      </c>
      <c r="R403" s="6">
        <v>0</v>
      </c>
      <c r="S403" s="6">
        <v>234279.357659567</v>
      </c>
      <c r="T403" s="6">
        <v>0</v>
      </c>
      <c r="U403" s="6">
        <v>0</v>
      </c>
      <c r="V403" s="6">
        <v>0</v>
      </c>
      <c r="W403" s="6">
        <v>0</v>
      </c>
      <c r="X403" s="6">
        <v>0</v>
      </c>
      <c r="Y403" s="6">
        <v>0</v>
      </c>
      <c r="Z403" s="6">
        <v>0</v>
      </c>
      <c r="AA403" s="6">
        <v>0</v>
      </c>
      <c r="AB403" s="6">
        <v>0</v>
      </c>
      <c r="AC403" s="6">
        <v>234279.357659567</v>
      </c>
      <c r="AD403" s="6">
        <v>0</v>
      </c>
      <c r="AE403" s="6">
        <v>0</v>
      </c>
      <c r="AF403" s="6">
        <v>0</v>
      </c>
      <c r="AG403" s="6">
        <v>0</v>
      </c>
      <c r="AH403" s="6">
        <v>0</v>
      </c>
      <c r="AI403" s="6">
        <v>0</v>
      </c>
      <c r="AJ403" s="6">
        <v>234279.357659567</v>
      </c>
      <c r="AK403" s="6">
        <v>532.14523297591597</v>
      </c>
      <c r="AL403" s="6">
        <v>330.98244656580999</v>
      </c>
      <c r="AM403" s="6">
        <v>93035.839999999997</v>
      </c>
      <c r="AN403" s="6">
        <v>532.14523297591597</v>
      </c>
      <c r="AO403" s="6">
        <v>532.14523297591597</v>
      </c>
      <c r="AP403" s="6">
        <v>330.98244656580999</v>
      </c>
      <c r="AQ403" s="6">
        <v>56162.493707719797</v>
      </c>
      <c r="AR403" s="6">
        <v>532.14523297591597</v>
      </c>
      <c r="AS403" s="6">
        <v>532.14523297591597</v>
      </c>
      <c r="AT403" s="6">
        <v>0</v>
      </c>
      <c r="AU403" t="s">
        <v>2973</v>
      </c>
      <c r="AV403" t="s">
        <v>2976</v>
      </c>
    </row>
    <row r="404" spans="1:48" x14ac:dyDescent="0.45">
      <c r="A404" s="5" t="s">
        <v>822</v>
      </c>
      <c r="B404">
        <v>2245</v>
      </c>
      <c r="C404" t="s">
        <v>823</v>
      </c>
      <c r="D404">
        <v>1194</v>
      </c>
      <c r="E404" t="s">
        <v>824</v>
      </c>
      <c r="F404" t="s">
        <v>2739</v>
      </c>
      <c r="G404" t="s">
        <v>2740</v>
      </c>
      <c r="H404" t="s">
        <v>2741</v>
      </c>
      <c r="I404" t="s">
        <v>2742</v>
      </c>
      <c r="J404">
        <v>271.79129332193799</v>
      </c>
      <c r="K404">
        <v>1</v>
      </c>
      <c r="L404">
        <v>1</v>
      </c>
      <c r="M404">
        <v>2</v>
      </c>
      <c r="N404" s="6">
        <v>1661061.16847065</v>
      </c>
      <c r="O404" s="6">
        <v>434876.01579771098</v>
      </c>
      <c r="P404" s="6">
        <v>570424.28100396902</v>
      </c>
      <c r="Q404" s="6">
        <v>253520.92530619801</v>
      </c>
      <c r="R404" s="6">
        <v>123051.958044639</v>
      </c>
      <c r="S404" s="6">
        <v>50661.902002430303</v>
      </c>
      <c r="T404" s="6">
        <v>1490384.4</v>
      </c>
      <c r="U404" s="6">
        <v>1552549.9486231699</v>
      </c>
      <c r="V404" s="6">
        <v>2642234.3698223</v>
      </c>
      <c r="W404" s="6">
        <v>398779.28717625397</v>
      </c>
      <c r="X404" s="6">
        <v>0</v>
      </c>
      <c r="Y404" s="6">
        <v>0</v>
      </c>
      <c r="Z404" s="6">
        <v>0</v>
      </c>
      <c r="AA404" s="6">
        <v>0</v>
      </c>
      <c r="AB404" s="6">
        <v>1920.6916246112501</v>
      </c>
      <c r="AC404" s="6">
        <v>50661.902002430303</v>
      </c>
      <c r="AD404" s="6">
        <v>0</v>
      </c>
      <c r="AE404" s="6">
        <v>0</v>
      </c>
      <c r="AF404" s="6">
        <v>0</v>
      </c>
      <c r="AG404" s="6">
        <v>0</v>
      </c>
      <c r="AH404" s="6">
        <v>0</v>
      </c>
      <c r="AI404" s="6">
        <v>0</v>
      </c>
      <c r="AJ404" s="6">
        <v>3093596.2506255899</v>
      </c>
      <c r="AK404" s="6">
        <v>11382.2492722797</v>
      </c>
      <c r="AL404" s="6">
        <v>330.98244656580999</v>
      </c>
      <c r="AM404" s="6">
        <v>93035.839999999997</v>
      </c>
      <c r="AN404" s="6">
        <v>5898.6873016810796</v>
      </c>
      <c r="AO404" s="6">
        <v>13079.4379362489</v>
      </c>
      <c r="AP404" s="6">
        <v>330.98244656580999</v>
      </c>
      <c r="AQ404" s="6">
        <v>93035.839999999997</v>
      </c>
      <c r="AR404" s="6">
        <v>11382.2492722797</v>
      </c>
      <c r="AS404" s="6">
        <v>11382.2492722797</v>
      </c>
      <c r="AT404" s="6">
        <v>0</v>
      </c>
      <c r="AU404" t="s">
        <v>2973</v>
      </c>
      <c r="AV404" t="s">
        <v>2973</v>
      </c>
    </row>
    <row r="405" spans="1:48" x14ac:dyDescent="0.45">
      <c r="A405" s="5" t="s">
        <v>825</v>
      </c>
      <c r="B405">
        <v>2245</v>
      </c>
      <c r="C405" t="s">
        <v>823</v>
      </c>
      <c r="D405">
        <v>1195</v>
      </c>
      <c r="E405" t="s">
        <v>826</v>
      </c>
      <c r="F405" t="s">
        <v>2739</v>
      </c>
      <c r="G405" t="s">
        <v>2744</v>
      </c>
      <c r="H405" t="s">
        <v>2745</v>
      </c>
      <c r="I405" t="s">
        <v>2742</v>
      </c>
      <c r="J405">
        <v>292.622754490967</v>
      </c>
      <c r="K405">
        <v>1</v>
      </c>
      <c r="L405">
        <v>1</v>
      </c>
      <c r="M405">
        <v>2</v>
      </c>
      <c r="N405" s="6">
        <v>1969232.78418464</v>
      </c>
      <c r="O405" s="6">
        <v>802717.48012304702</v>
      </c>
      <c r="P405" s="6">
        <v>595410.66881780897</v>
      </c>
      <c r="Q405" s="6">
        <v>272952.05294278701</v>
      </c>
      <c r="R405" s="6">
        <v>132483.28328854099</v>
      </c>
      <c r="S405" s="6">
        <v>54544.886741984497</v>
      </c>
      <c r="T405" s="6">
        <v>2101251.0299999998</v>
      </c>
      <c r="U405" s="6">
        <v>1671545.23935683</v>
      </c>
      <c r="V405" s="6">
        <v>3267125.4117549201</v>
      </c>
      <c r="W405" s="6">
        <v>503602.95444411301</v>
      </c>
      <c r="X405" s="6">
        <v>0</v>
      </c>
      <c r="Y405" s="6">
        <v>0</v>
      </c>
      <c r="Z405" s="6">
        <v>0</v>
      </c>
      <c r="AA405" s="6">
        <v>0</v>
      </c>
      <c r="AB405" s="6">
        <v>2067.9031577944502</v>
      </c>
      <c r="AC405" s="6">
        <v>54544.886741984497</v>
      </c>
      <c r="AD405" s="6">
        <v>0</v>
      </c>
      <c r="AE405" s="6">
        <v>0</v>
      </c>
      <c r="AF405" s="6">
        <v>0</v>
      </c>
      <c r="AG405" s="6">
        <v>0</v>
      </c>
      <c r="AH405" s="6">
        <v>0</v>
      </c>
      <c r="AI405" s="6">
        <v>0</v>
      </c>
      <c r="AJ405" s="6">
        <v>3827341.15609881</v>
      </c>
      <c r="AK405" s="6">
        <v>13079.4379362489</v>
      </c>
      <c r="AL405" s="6">
        <v>330.98244656580999</v>
      </c>
      <c r="AM405" s="6">
        <v>93035.839999999997</v>
      </c>
      <c r="AN405" s="6">
        <v>5898.6873016810796</v>
      </c>
      <c r="AO405" s="6">
        <v>13079.4379362489</v>
      </c>
      <c r="AP405" s="6">
        <v>330.98244656580999</v>
      </c>
      <c r="AQ405" s="6">
        <v>40734.411818744898</v>
      </c>
      <c r="AR405" s="6">
        <v>13079.4379362489</v>
      </c>
      <c r="AS405" s="6">
        <v>13079.4379362489</v>
      </c>
      <c r="AT405" s="6">
        <v>0</v>
      </c>
      <c r="AU405" t="s">
        <v>2973</v>
      </c>
      <c r="AV405" t="s">
        <v>2973</v>
      </c>
    </row>
    <row r="406" spans="1:48" x14ac:dyDescent="0.45">
      <c r="A406" s="5" t="s">
        <v>827</v>
      </c>
      <c r="B406">
        <v>2245</v>
      </c>
      <c r="C406" t="s">
        <v>823</v>
      </c>
      <c r="D406">
        <v>2245</v>
      </c>
      <c r="E406" t="s">
        <v>823</v>
      </c>
      <c r="F406" t="s">
        <v>1</v>
      </c>
      <c r="G406" t="s">
        <v>1</v>
      </c>
      <c r="H406" t="s">
        <v>2743</v>
      </c>
      <c r="I406" t="s">
        <v>2742</v>
      </c>
      <c r="J406">
        <v>1.7554250201820001</v>
      </c>
      <c r="K406">
        <v>0</v>
      </c>
      <c r="L406">
        <v>0</v>
      </c>
      <c r="M406">
        <v>2</v>
      </c>
      <c r="N406" s="6">
        <v>2364.7873447105899</v>
      </c>
      <c r="O406" s="6">
        <v>1658.6940792432999</v>
      </c>
      <c r="P406" s="6">
        <v>3571.8301782247199</v>
      </c>
      <c r="Q406" s="6">
        <v>1637.42175101629</v>
      </c>
      <c r="R406" s="6">
        <v>794.758666820435</v>
      </c>
      <c r="S406" s="6">
        <v>327.21125558548601</v>
      </c>
      <c r="T406" s="6">
        <v>0</v>
      </c>
      <c r="U406" s="6">
        <v>10027.492020015299</v>
      </c>
      <c r="V406" s="6">
        <v>8452.0484227881207</v>
      </c>
      <c r="W406" s="6">
        <v>1563.0383796329099</v>
      </c>
      <c r="X406" s="6">
        <v>0</v>
      </c>
      <c r="Y406" s="6">
        <v>0</v>
      </c>
      <c r="Z406" s="6">
        <v>0</v>
      </c>
      <c r="AA406" s="6">
        <v>0</v>
      </c>
      <c r="AB406" s="6">
        <v>12.4052175943064</v>
      </c>
      <c r="AC406" s="6">
        <v>327.21125558548601</v>
      </c>
      <c r="AD406" s="6">
        <v>0</v>
      </c>
      <c r="AE406" s="6">
        <v>0</v>
      </c>
      <c r="AF406" s="6">
        <v>0</v>
      </c>
      <c r="AG406" s="6">
        <v>0</v>
      </c>
      <c r="AH406" s="6">
        <v>0</v>
      </c>
      <c r="AI406" s="6">
        <v>0</v>
      </c>
      <c r="AJ406" s="6">
        <v>10354.703275600799</v>
      </c>
      <c r="AK406" s="6">
        <v>5898.6873016810796</v>
      </c>
      <c r="AL406" s="6">
        <v>330.98244656580999</v>
      </c>
      <c r="AM406" s="6">
        <v>93035.839999999997</v>
      </c>
      <c r="AN406" s="6">
        <v>5898.6873016810796</v>
      </c>
      <c r="AO406" s="6">
        <v>13079.4379362489</v>
      </c>
      <c r="AP406" s="6">
        <v>634.54287297753501</v>
      </c>
      <c r="AQ406" s="6">
        <v>40331.279999999999</v>
      </c>
      <c r="AR406" s="6">
        <v>5898.6873016810796</v>
      </c>
      <c r="AS406" s="6">
        <v>5898.6873016810796</v>
      </c>
      <c r="AT406" s="6">
        <v>0</v>
      </c>
      <c r="AU406" t="s">
        <v>2973</v>
      </c>
      <c r="AV406" t="s">
        <v>2977</v>
      </c>
    </row>
    <row r="407" spans="1:48" x14ac:dyDescent="0.45">
      <c r="A407" s="5" t="s">
        <v>2815</v>
      </c>
      <c r="B407">
        <v>2137</v>
      </c>
      <c r="C407" t="s">
        <v>830</v>
      </c>
      <c r="D407">
        <v>5392</v>
      </c>
      <c r="E407" t="s">
        <v>2816</v>
      </c>
      <c r="F407" t="s">
        <v>3</v>
      </c>
      <c r="G407" t="s">
        <v>2748</v>
      </c>
      <c r="H407" t="s">
        <v>2743</v>
      </c>
      <c r="I407" t="s">
        <v>2742</v>
      </c>
      <c r="J407">
        <v>322.24444444430799</v>
      </c>
      <c r="K407">
        <v>1</v>
      </c>
      <c r="L407">
        <v>1</v>
      </c>
      <c r="M407">
        <v>2</v>
      </c>
      <c r="N407" s="6">
        <v>472019.37488671002</v>
      </c>
      <c r="O407" s="6">
        <v>181483.166920266</v>
      </c>
      <c r="P407" s="6">
        <v>518288.83290407999</v>
      </c>
      <c r="Q407" s="6">
        <v>180694.76696973201</v>
      </c>
      <c r="R407" s="6">
        <v>121013.033138035</v>
      </c>
      <c r="S407" s="6">
        <v>197387.63375042399</v>
      </c>
      <c r="T407" s="6">
        <v>0</v>
      </c>
      <c r="U407" s="6">
        <v>1473499.1748188201</v>
      </c>
      <c r="V407" s="6">
        <v>1214573.6377300001</v>
      </c>
      <c r="W407" s="6">
        <v>258925.53708882301</v>
      </c>
      <c r="X407" s="6">
        <v>0</v>
      </c>
      <c r="Y407" s="6">
        <v>0</v>
      </c>
      <c r="Z407" s="6">
        <v>0</v>
      </c>
      <c r="AA407" s="6">
        <v>0</v>
      </c>
      <c r="AB407" s="6">
        <v>0</v>
      </c>
      <c r="AC407" s="6">
        <v>65423.593433034701</v>
      </c>
      <c r="AD407" s="6">
        <v>131964.04031738901</v>
      </c>
      <c r="AE407" s="6">
        <v>0</v>
      </c>
      <c r="AF407" s="6">
        <v>0</v>
      </c>
      <c r="AG407" s="6">
        <v>0</v>
      </c>
      <c r="AH407" s="6">
        <v>0</v>
      </c>
      <c r="AI407" s="6">
        <v>0</v>
      </c>
      <c r="AJ407" s="6">
        <v>1670886.8085692499</v>
      </c>
      <c r="AK407" s="6">
        <v>5185.1531884454898</v>
      </c>
      <c r="AL407" s="6">
        <v>330.98244656580999</v>
      </c>
      <c r="AM407" s="6">
        <v>93035.839999999997</v>
      </c>
      <c r="AN407" s="6">
        <v>5185.1531884454798</v>
      </c>
      <c r="AO407" s="6">
        <v>14808.0695762915</v>
      </c>
      <c r="AP407" s="6">
        <v>330.98244656580999</v>
      </c>
      <c r="AQ407" s="6">
        <v>56162.493707719797</v>
      </c>
      <c r="AR407" s="6">
        <v>5185.1531884454898</v>
      </c>
      <c r="AS407" s="6">
        <v>13109.2422849819</v>
      </c>
      <c r="AT407" s="6">
        <v>0</v>
      </c>
      <c r="AU407" t="s">
        <v>2973</v>
      </c>
      <c r="AV407" t="s">
        <v>2976</v>
      </c>
    </row>
    <row r="408" spans="1:48" x14ac:dyDescent="0.45">
      <c r="A408" s="5" t="s">
        <v>829</v>
      </c>
      <c r="B408">
        <v>2137</v>
      </c>
      <c r="C408" t="s">
        <v>830</v>
      </c>
      <c r="D408">
        <v>776</v>
      </c>
      <c r="E408" t="s">
        <v>831</v>
      </c>
      <c r="F408" t="s">
        <v>2739</v>
      </c>
      <c r="G408" t="s">
        <v>2740</v>
      </c>
      <c r="H408" t="s">
        <v>2741</v>
      </c>
      <c r="I408" t="s">
        <v>2742</v>
      </c>
      <c r="J408">
        <v>411.02678571420898</v>
      </c>
      <c r="K408">
        <v>4</v>
      </c>
      <c r="L408">
        <v>1</v>
      </c>
      <c r="M408">
        <v>2</v>
      </c>
      <c r="N408" s="6">
        <v>2672309.93716481</v>
      </c>
      <c r="O408" s="6">
        <v>828448.77035809006</v>
      </c>
      <c r="P408" s="6">
        <v>1263990.4647500201</v>
      </c>
      <c r="Q408" s="6">
        <v>232543.73644259101</v>
      </c>
      <c r="R408" s="6">
        <v>154353.62470259701</v>
      </c>
      <c r="S408" s="6">
        <v>251770.37506442299</v>
      </c>
      <c r="T408" s="6">
        <v>3272180.06</v>
      </c>
      <c r="U408" s="6">
        <v>1879466.4734181</v>
      </c>
      <c r="V408" s="6">
        <v>4358215.2193856603</v>
      </c>
      <c r="W408" s="6">
        <v>793431.31403244694</v>
      </c>
      <c r="X408" s="6">
        <v>0</v>
      </c>
      <c r="Y408" s="6">
        <v>0</v>
      </c>
      <c r="Z408" s="6">
        <v>0</v>
      </c>
      <c r="AA408" s="6">
        <v>0</v>
      </c>
      <c r="AB408" s="6">
        <v>0</v>
      </c>
      <c r="AC408" s="6">
        <v>83448.604878278595</v>
      </c>
      <c r="AD408" s="6">
        <v>168321.770186145</v>
      </c>
      <c r="AE408" s="6">
        <v>0</v>
      </c>
      <c r="AF408" s="6">
        <v>0</v>
      </c>
      <c r="AG408" s="6">
        <v>0</v>
      </c>
      <c r="AH408" s="6">
        <v>0</v>
      </c>
      <c r="AI408" s="6">
        <v>0</v>
      </c>
      <c r="AJ408" s="6">
        <v>5403416.9084825302</v>
      </c>
      <c r="AK408" s="6">
        <v>13146.143016186699</v>
      </c>
      <c r="AL408" s="6">
        <v>330.98244656580999</v>
      </c>
      <c r="AM408" s="6">
        <v>93035.839999999997</v>
      </c>
      <c r="AN408" s="6">
        <v>5185.1531884454798</v>
      </c>
      <c r="AO408" s="6">
        <v>14808.0695762915</v>
      </c>
      <c r="AP408" s="6">
        <v>330.98244656580999</v>
      </c>
      <c r="AQ408" s="6">
        <v>93035.839999999997</v>
      </c>
      <c r="AR408" s="6">
        <v>13146.143016186699</v>
      </c>
      <c r="AS408" s="6">
        <v>13146.143016186699</v>
      </c>
      <c r="AT408" s="6">
        <v>0</v>
      </c>
      <c r="AU408" t="s">
        <v>2973</v>
      </c>
      <c r="AV408" t="s">
        <v>2973</v>
      </c>
    </row>
    <row r="409" spans="1:48" x14ac:dyDescent="0.45">
      <c r="A409" s="5" t="s">
        <v>832</v>
      </c>
      <c r="B409">
        <v>2137</v>
      </c>
      <c r="C409" t="s">
        <v>830</v>
      </c>
      <c r="D409">
        <v>808</v>
      </c>
      <c r="E409" t="s">
        <v>833</v>
      </c>
      <c r="F409" t="s">
        <v>2739</v>
      </c>
      <c r="G409" t="s">
        <v>2744</v>
      </c>
      <c r="H409" t="s">
        <v>2745</v>
      </c>
      <c r="I409" t="s">
        <v>2742</v>
      </c>
      <c r="J409">
        <v>288.80654761899001</v>
      </c>
      <c r="K409">
        <v>2</v>
      </c>
      <c r="L409">
        <v>1</v>
      </c>
      <c r="M409">
        <v>2</v>
      </c>
      <c r="N409" s="6">
        <v>1997639.00849502</v>
      </c>
      <c r="O409" s="6">
        <v>933017.76231467701</v>
      </c>
      <c r="P409" s="6">
        <v>895490.77719022695</v>
      </c>
      <c r="Q409" s="6">
        <v>164843.461179337</v>
      </c>
      <c r="R409" s="6">
        <v>108770.859879187</v>
      </c>
      <c r="S409" s="6">
        <v>176905.582172088</v>
      </c>
      <c r="T409" s="6">
        <v>2779161.26</v>
      </c>
      <c r="U409" s="6">
        <v>1320600.60905845</v>
      </c>
      <c r="V409" s="6">
        <v>3245592.70267219</v>
      </c>
      <c r="W409" s="6">
        <v>854169.16638625797</v>
      </c>
      <c r="X409" s="6">
        <v>0</v>
      </c>
      <c r="Y409" s="6">
        <v>0</v>
      </c>
      <c r="Z409" s="6">
        <v>0</v>
      </c>
      <c r="AA409" s="6">
        <v>0</v>
      </c>
      <c r="AB409" s="6">
        <v>0</v>
      </c>
      <c r="AC409" s="6">
        <v>58634.873239804299</v>
      </c>
      <c r="AD409" s="6">
        <v>118270.708932284</v>
      </c>
      <c r="AE409" s="6">
        <v>0</v>
      </c>
      <c r="AF409" s="6">
        <v>0</v>
      </c>
      <c r="AG409" s="6">
        <v>0</v>
      </c>
      <c r="AH409" s="6">
        <v>0</v>
      </c>
      <c r="AI409" s="6">
        <v>0</v>
      </c>
      <c r="AJ409" s="6">
        <v>4276667.4512305399</v>
      </c>
      <c r="AK409" s="6">
        <v>14808.0695762915</v>
      </c>
      <c r="AL409" s="6">
        <v>330.98244656580999</v>
      </c>
      <c r="AM409" s="6">
        <v>93035.839999999997</v>
      </c>
      <c r="AN409" s="6">
        <v>5185.1531884454798</v>
      </c>
      <c r="AO409" s="6">
        <v>14808.0695762915</v>
      </c>
      <c r="AP409" s="6">
        <v>330.98244656580999</v>
      </c>
      <c r="AQ409" s="6">
        <v>40734.411818744898</v>
      </c>
      <c r="AR409" s="6">
        <v>14808.0695762915</v>
      </c>
      <c r="AS409" s="6">
        <v>14808.0695762915</v>
      </c>
      <c r="AT409" s="6">
        <v>0</v>
      </c>
      <c r="AU409" t="s">
        <v>2973</v>
      </c>
      <c r="AV409" t="s">
        <v>2973</v>
      </c>
    </row>
    <row r="410" spans="1:48" x14ac:dyDescent="0.45">
      <c r="A410" s="5" t="s">
        <v>834</v>
      </c>
      <c r="B410">
        <v>2137</v>
      </c>
      <c r="C410" t="s">
        <v>830</v>
      </c>
      <c r="D410">
        <v>786</v>
      </c>
      <c r="E410" t="s">
        <v>835</v>
      </c>
      <c r="F410" t="s">
        <v>2739</v>
      </c>
      <c r="G410" t="s">
        <v>2747</v>
      </c>
      <c r="H410" t="s">
        <v>2741</v>
      </c>
      <c r="I410" t="s">
        <v>2742</v>
      </c>
      <c r="J410">
        <v>241.92261904754599</v>
      </c>
      <c r="K410">
        <v>3</v>
      </c>
      <c r="L410">
        <v>1</v>
      </c>
      <c r="M410">
        <v>2</v>
      </c>
      <c r="N410" s="6">
        <v>1496790.6836957601</v>
      </c>
      <c r="O410" s="6">
        <v>511906.96726284799</v>
      </c>
      <c r="P410" s="6">
        <v>604276.67504025099</v>
      </c>
      <c r="Q410" s="6">
        <v>136673.15186597401</v>
      </c>
      <c r="R410" s="6">
        <v>90849.634246217596</v>
      </c>
      <c r="S410" s="6">
        <v>148187.297400415</v>
      </c>
      <c r="T410" s="6">
        <v>1734278.57</v>
      </c>
      <c r="U410" s="6">
        <v>1106218.5421110501</v>
      </c>
      <c r="V410" s="6">
        <v>2402512.4116443102</v>
      </c>
      <c r="W410" s="6">
        <v>437984.700466735</v>
      </c>
      <c r="X410" s="6">
        <v>0</v>
      </c>
      <c r="Y410" s="6">
        <v>0</v>
      </c>
      <c r="Z410" s="6">
        <v>0</v>
      </c>
      <c r="AA410" s="6">
        <v>0</v>
      </c>
      <c r="AB410" s="6">
        <v>0</v>
      </c>
      <c r="AC410" s="6">
        <v>49116.275993881303</v>
      </c>
      <c r="AD410" s="6">
        <v>99071.021406533997</v>
      </c>
      <c r="AE410" s="6">
        <v>0</v>
      </c>
      <c r="AF410" s="6">
        <v>0</v>
      </c>
      <c r="AG410" s="6">
        <v>0</v>
      </c>
      <c r="AH410" s="6">
        <v>0</v>
      </c>
      <c r="AI410" s="6">
        <v>0</v>
      </c>
      <c r="AJ410" s="6">
        <v>2988684.40951146</v>
      </c>
      <c r="AK410" s="6">
        <v>12353.8858056265</v>
      </c>
      <c r="AL410" s="6">
        <v>330.98244656580999</v>
      </c>
      <c r="AM410" s="6">
        <v>93035.839999999997</v>
      </c>
      <c r="AN410" s="6">
        <v>5185.1531884454798</v>
      </c>
      <c r="AO410" s="6">
        <v>14808.0695762915</v>
      </c>
      <c r="AP410" s="6">
        <v>3753.1860850462999</v>
      </c>
      <c r="AQ410" s="6">
        <v>20687.885194392002</v>
      </c>
      <c r="AR410" s="6">
        <v>12353.8858056265</v>
      </c>
      <c r="AS410" s="6">
        <v>12353.8858056265</v>
      </c>
      <c r="AT410" s="6">
        <v>0</v>
      </c>
      <c r="AU410" t="s">
        <v>2973</v>
      </c>
      <c r="AV410" t="s">
        <v>2973</v>
      </c>
    </row>
    <row r="411" spans="1:48" x14ac:dyDescent="0.45">
      <c r="A411" s="5" t="s">
        <v>2755</v>
      </c>
      <c r="B411">
        <v>2137</v>
      </c>
      <c r="C411" t="s">
        <v>830</v>
      </c>
      <c r="D411">
        <v>2137</v>
      </c>
      <c r="E411" t="s">
        <v>830</v>
      </c>
      <c r="F411" t="s">
        <v>1</v>
      </c>
      <c r="G411" t="s">
        <v>1</v>
      </c>
      <c r="H411" t="s">
        <v>2743</v>
      </c>
      <c r="I411" t="s">
        <v>2742</v>
      </c>
      <c r="J411">
        <v>2</v>
      </c>
      <c r="K411">
        <v>0</v>
      </c>
      <c r="L411">
        <v>0</v>
      </c>
      <c r="M411">
        <v>2</v>
      </c>
      <c r="N411" s="6">
        <v>2929.57339078835</v>
      </c>
      <c r="O411" s="6">
        <v>1126.3695622943801</v>
      </c>
      <c r="P411" s="6">
        <v>3216.7433253835602</v>
      </c>
      <c r="Q411" s="6">
        <v>1121.4763828206801</v>
      </c>
      <c r="R411" s="6">
        <v>751.06358061014998</v>
      </c>
      <c r="S411" s="6">
        <v>1225.0801349938399</v>
      </c>
      <c r="T411" s="6">
        <v>0</v>
      </c>
      <c r="U411" s="6">
        <v>9145.2262418971204</v>
      </c>
      <c r="V411" s="6">
        <v>7538.2130470826996</v>
      </c>
      <c r="W411" s="6">
        <v>1607.0131948144201</v>
      </c>
      <c r="X411" s="6">
        <v>0</v>
      </c>
      <c r="Y411" s="6">
        <v>0</v>
      </c>
      <c r="Z411" s="6">
        <v>0</v>
      </c>
      <c r="AA411" s="6">
        <v>0</v>
      </c>
      <c r="AB411" s="6">
        <v>0</v>
      </c>
      <c r="AC411" s="6">
        <v>406.04947306914102</v>
      </c>
      <c r="AD411" s="6">
        <v>819.03066192469703</v>
      </c>
      <c r="AE411" s="6">
        <v>0</v>
      </c>
      <c r="AF411" s="6">
        <v>0</v>
      </c>
      <c r="AG411" s="6">
        <v>0</v>
      </c>
      <c r="AH411" s="6">
        <v>0</v>
      </c>
      <c r="AI411" s="6">
        <v>0</v>
      </c>
      <c r="AJ411" s="6">
        <v>10370.306376891</v>
      </c>
      <c r="AK411" s="6">
        <v>5185.1531884454798</v>
      </c>
      <c r="AL411" s="6">
        <v>330.98244656580999</v>
      </c>
      <c r="AM411" s="6">
        <v>93035.839999999997</v>
      </c>
      <c r="AN411" s="6">
        <v>5185.1531884454798</v>
      </c>
      <c r="AO411" s="6">
        <v>14808.0695762915</v>
      </c>
      <c r="AP411" s="6">
        <v>634.54287297753501</v>
      </c>
      <c r="AQ411" s="6">
        <v>40331.279999999999</v>
      </c>
      <c r="AR411" s="6">
        <v>5185.1531884454798</v>
      </c>
      <c r="AS411" s="6">
        <v>5185.1531884454798</v>
      </c>
      <c r="AT411" s="6">
        <v>0</v>
      </c>
      <c r="AU411" t="s">
        <v>2973</v>
      </c>
      <c r="AV411" t="s">
        <v>2977</v>
      </c>
    </row>
    <row r="412" spans="1:48" x14ac:dyDescent="0.45">
      <c r="A412" s="5" t="s">
        <v>836</v>
      </c>
      <c r="B412">
        <v>2137</v>
      </c>
      <c r="C412" t="s">
        <v>830</v>
      </c>
      <c r="D412">
        <v>4024</v>
      </c>
      <c r="E412" t="s">
        <v>837</v>
      </c>
      <c r="F412" t="s">
        <v>2750</v>
      </c>
      <c r="G412" t="s">
        <v>2748</v>
      </c>
      <c r="H412" t="s">
        <v>2749</v>
      </c>
      <c r="I412" t="s">
        <v>2742</v>
      </c>
      <c r="J412">
        <v>28.192884668302</v>
      </c>
      <c r="K412">
        <v>1</v>
      </c>
      <c r="L412">
        <v>2</v>
      </c>
      <c r="M412">
        <v>2</v>
      </c>
      <c r="N412" s="6">
        <v>218211.17236691099</v>
      </c>
      <c r="O412" s="6">
        <v>51333.703581825597</v>
      </c>
      <c r="P412" s="6">
        <v>56277.056790034498</v>
      </c>
      <c r="Q412" s="6">
        <v>15908.827159544</v>
      </c>
      <c r="R412" s="6">
        <v>10587.324453351999</v>
      </c>
      <c r="S412" s="6">
        <v>17269.271477654602</v>
      </c>
      <c r="T412" s="6">
        <v>223402.93</v>
      </c>
      <c r="U412" s="6">
        <v>128915.15435166701</v>
      </c>
      <c r="V412" s="6">
        <v>302976.60552074597</v>
      </c>
      <c r="W412" s="6">
        <v>49341.478830921304</v>
      </c>
      <c r="X412" s="6">
        <v>0</v>
      </c>
      <c r="Y412" s="6">
        <v>0</v>
      </c>
      <c r="Z412" s="6">
        <v>0</v>
      </c>
      <c r="AA412" s="6">
        <v>0</v>
      </c>
      <c r="AB412" s="6">
        <v>0</v>
      </c>
      <c r="AC412" s="6">
        <v>5723.8529819315499</v>
      </c>
      <c r="AD412" s="6">
        <v>11545.418495723001</v>
      </c>
      <c r="AE412" s="6">
        <v>0</v>
      </c>
      <c r="AF412" s="6">
        <v>0</v>
      </c>
      <c r="AG412" s="6">
        <v>0</v>
      </c>
      <c r="AH412" s="6">
        <v>0</v>
      </c>
      <c r="AI412" s="6">
        <v>0</v>
      </c>
      <c r="AJ412" s="6">
        <v>369587.35582932201</v>
      </c>
      <c r="AK412" s="6">
        <v>13109.2422849819</v>
      </c>
      <c r="AL412" s="6">
        <v>330.98244656580999</v>
      </c>
      <c r="AM412" s="6">
        <v>93035.839999999997</v>
      </c>
      <c r="AN412" s="6">
        <v>5185.1531884454798</v>
      </c>
      <c r="AO412" s="6">
        <v>14808.0695762915</v>
      </c>
      <c r="AP412" s="6">
        <v>330.98244656580999</v>
      </c>
      <c r="AQ412" s="6">
        <v>56162.493707719797</v>
      </c>
      <c r="AR412" s="6">
        <v>5185.1531884454898</v>
      </c>
      <c r="AS412" s="6">
        <v>13109.2422849819</v>
      </c>
      <c r="AT412" s="6">
        <v>0</v>
      </c>
      <c r="AU412" t="s">
        <v>2973</v>
      </c>
      <c r="AV412" t="s">
        <v>2973</v>
      </c>
    </row>
    <row r="413" spans="1:48" x14ac:dyDescent="0.45">
      <c r="A413" s="5" t="s">
        <v>838</v>
      </c>
      <c r="B413">
        <v>1931</v>
      </c>
      <c r="C413" t="s">
        <v>839</v>
      </c>
      <c r="D413">
        <v>4719</v>
      </c>
      <c r="E413" t="s">
        <v>840</v>
      </c>
      <c r="F413" t="s">
        <v>2739</v>
      </c>
      <c r="G413" t="s">
        <v>2740</v>
      </c>
      <c r="H413" t="s">
        <v>2741</v>
      </c>
      <c r="I413" t="s">
        <v>2742</v>
      </c>
      <c r="J413">
        <v>122.439759036135</v>
      </c>
      <c r="K413">
        <v>1</v>
      </c>
      <c r="L413">
        <v>1</v>
      </c>
      <c r="M413">
        <v>2</v>
      </c>
      <c r="N413" s="6">
        <v>169212.09699279701</v>
      </c>
      <c r="O413" s="6">
        <v>121143.183184603</v>
      </c>
      <c r="P413" s="6">
        <v>188260.318392969</v>
      </c>
      <c r="Q413" s="6">
        <v>96700.177832909103</v>
      </c>
      <c r="R413" s="6">
        <v>65517.276839887803</v>
      </c>
      <c r="S413" s="6">
        <v>49056.826350729803</v>
      </c>
      <c r="T413" s="6">
        <v>0</v>
      </c>
      <c r="U413" s="6">
        <v>640833.05324316595</v>
      </c>
      <c r="V413" s="6">
        <v>506035.94034580101</v>
      </c>
      <c r="W413" s="6">
        <v>134626.35878303699</v>
      </c>
      <c r="X413" s="6">
        <v>0</v>
      </c>
      <c r="Y413" s="6">
        <v>0</v>
      </c>
      <c r="Z413" s="6">
        <v>0</v>
      </c>
      <c r="AA413" s="6">
        <v>0</v>
      </c>
      <c r="AB413" s="6">
        <v>170.754114327954</v>
      </c>
      <c r="AC413" s="6">
        <v>46611.5043675251</v>
      </c>
      <c r="AD413" s="6">
        <v>2445.3219832046402</v>
      </c>
      <c r="AE413" s="6">
        <v>0</v>
      </c>
      <c r="AF413" s="6">
        <v>0</v>
      </c>
      <c r="AG413" s="6">
        <v>0</v>
      </c>
      <c r="AH413" s="6">
        <v>0</v>
      </c>
      <c r="AI413" s="6">
        <v>0</v>
      </c>
      <c r="AJ413" s="6">
        <v>689889.87959389598</v>
      </c>
      <c r="AK413" s="6">
        <v>5634.5249698694097</v>
      </c>
      <c r="AL413" s="6">
        <v>330.98244656580999</v>
      </c>
      <c r="AM413" s="6">
        <v>93035.839999999997</v>
      </c>
      <c r="AN413" s="6">
        <v>5634.5249698693997</v>
      </c>
      <c r="AO413" s="6">
        <v>14016.8411676341</v>
      </c>
      <c r="AP413" s="6">
        <v>330.98244656580999</v>
      </c>
      <c r="AQ413" s="6">
        <v>93035.839999999997</v>
      </c>
      <c r="AR413" s="6">
        <v>5634.5249698694097</v>
      </c>
      <c r="AS413" s="6">
        <v>11805.711273966201</v>
      </c>
      <c r="AT413" s="6">
        <v>0</v>
      </c>
      <c r="AU413" t="s">
        <v>2973</v>
      </c>
      <c r="AV413" t="s">
        <v>2976</v>
      </c>
    </row>
    <row r="414" spans="1:48" x14ac:dyDescent="0.45">
      <c r="A414" s="5" t="s">
        <v>841</v>
      </c>
      <c r="B414">
        <v>1931</v>
      </c>
      <c r="C414" t="s">
        <v>839</v>
      </c>
      <c r="D414">
        <v>138</v>
      </c>
      <c r="E414" t="s">
        <v>842</v>
      </c>
      <c r="F414" t="s">
        <v>2739</v>
      </c>
      <c r="G414" t="s">
        <v>2744</v>
      </c>
      <c r="H414" t="s">
        <v>2741</v>
      </c>
      <c r="I414" t="s">
        <v>2742</v>
      </c>
      <c r="J414">
        <v>643.01046069310803</v>
      </c>
      <c r="K414">
        <v>1</v>
      </c>
      <c r="L414">
        <v>1</v>
      </c>
      <c r="M414">
        <v>2</v>
      </c>
      <c r="N414" s="6">
        <v>3844594.2947800402</v>
      </c>
      <c r="O414" s="6">
        <v>2460290.30129766</v>
      </c>
      <c r="P414" s="6">
        <v>1587105.8400480801</v>
      </c>
      <c r="Q414" s="6">
        <v>507835.25210216898</v>
      </c>
      <c r="R414" s="6">
        <v>355520.64646757499</v>
      </c>
      <c r="S414" s="6">
        <v>257629.16196703</v>
      </c>
      <c r="T414" s="6">
        <v>5389917</v>
      </c>
      <c r="U414" s="6">
        <v>3365429.3346955199</v>
      </c>
      <c r="V414" s="6">
        <v>7130480.40685964</v>
      </c>
      <c r="W414" s="6">
        <v>1614869.1874095399</v>
      </c>
      <c r="X414" s="6">
        <v>0</v>
      </c>
      <c r="Y414" s="6">
        <v>0</v>
      </c>
      <c r="Z414" s="6">
        <v>0</v>
      </c>
      <c r="AA414" s="6">
        <v>0</v>
      </c>
      <c r="AB414" s="6">
        <v>9996.7404263418794</v>
      </c>
      <c r="AC414" s="6">
        <v>244787.192762408</v>
      </c>
      <c r="AD414" s="6">
        <v>12841.969204622101</v>
      </c>
      <c r="AE414" s="6">
        <v>0</v>
      </c>
      <c r="AF414" s="6">
        <v>0</v>
      </c>
      <c r="AG414" s="6">
        <v>0</v>
      </c>
      <c r="AH414" s="6">
        <v>0</v>
      </c>
      <c r="AI414" s="6">
        <v>0</v>
      </c>
      <c r="AJ414" s="6">
        <v>9012975.4966625609</v>
      </c>
      <c r="AK414" s="6">
        <v>14016.8411676341</v>
      </c>
      <c r="AL414" s="6">
        <v>330.98244656580999</v>
      </c>
      <c r="AM414" s="6">
        <v>93035.839999999997</v>
      </c>
      <c r="AN414" s="6">
        <v>5634.5249698693997</v>
      </c>
      <c r="AO414" s="6">
        <v>14016.8411676341</v>
      </c>
      <c r="AP414" s="6">
        <v>330.98244656580999</v>
      </c>
      <c r="AQ414" s="6">
        <v>40734.411818744898</v>
      </c>
      <c r="AR414" s="6">
        <v>14016.8411676341</v>
      </c>
      <c r="AS414" s="6">
        <v>14016.8411676341</v>
      </c>
      <c r="AT414" s="6">
        <v>0</v>
      </c>
      <c r="AU414" t="s">
        <v>2973</v>
      </c>
      <c r="AV414" t="s">
        <v>2973</v>
      </c>
    </row>
    <row r="415" spans="1:48" x14ac:dyDescent="0.45">
      <c r="A415" s="5" t="s">
        <v>843</v>
      </c>
      <c r="B415">
        <v>1931</v>
      </c>
      <c r="C415" t="s">
        <v>839</v>
      </c>
      <c r="D415">
        <v>1931</v>
      </c>
      <c r="E415" t="s">
        <v>839</v>
      </c>
      <c r="F415" t="s">
        <v>1</v>
      </c>
      <c r="G415" t="s">
        <v>1</v>
      </c>
      <c r="H415" t="s">
        <v>2743</v>
      </c>
      <c r="I415" t="s">
        <v>2742</v>
      </c>
      <c r="J415">
        <v>30.498873194453001</v>
      </c>
      <c r="K415">
        <v>1</v>
      </c>
      <c r="L415">
        <v>4</v>
      </c>
      <c r="M415">
        <v>2</v>
      </c>
      <c r="N415" s="6">
        <v>42149.529938455198</v>
      </c>
      <c r="O415" s="6">
        <v>30175.905370976699</v>
      </c>
      <c r="P415" s="6">
        <v>46894.306419861299</v>
      </c>
      <c r="Q415" s="6">
        <v>24087.326574503899</v>
      </c>
      <c r="R415" s="6">
        <v>16319.8877073573</v>
      </c>
      <c r="S415" s="6">
        <v>12219.7065558717</v>
      </c>
      <c r="T415" s="6">
        <v>0</v>
      </c>
      <c r="U415" s="6">
        <v>159626.95601115399</v>
      </c>
      <c r="V415" s="6">
        <v>126049.953854348</v>
      </c>
      <c r="W415" s="6">
        <v>33534.468521315997</v>
      </c>
      <c r="X415" s="6">
        <v>0</v>
      </c>
      <c r="Y415" s="6">
        <v>0</v>
      </c>
      <c r="Z415" s="6">
        <v>0</v>
      </c>
      <c r="AA415" s="6">
        <v>0</v>
      </c>
      <c r="AB415" s="6">
        <v>42.533635489942696</v>
      </c>
      <c r="AC415" s="6">
        <v>11610.594240783301</v>
      </c>
      <c r="AD415" s="6">
        <v>609.11231508840501</v>
      </c>
      <c r="AE415" s="6">
        <v>0</v>
      </c>
      <c r="AF415" s="6">
        <v>0</v>
      </c>
      <c r="AG415" s="6">
        <v>0</v>
      </c>
      <c r="AH415" s="6">
        <v>0</v>
      </c>
      <c r="AI415" s="6">
        <v>0</v>
      </c>
      <c r="AJ415" s="6">
        <v>171846.66256702601</v>
      </c>
      <c r="AK415" s="6">
        <v>5634.5249698693997</v>
      </c>
      <c r="AL415" s="6">
        <v>330.98244656580999</v>
      </c>
      <c r="AM415" s="6">
        <v>93035.839999999997</v>
      </c>
      <c r="AN415" s="6">
        <v>5634.5249698693997</v>
      </c>
      <c r="AO415" s="6">
        <v>14016.8411676341</v>
      </c>
      <c r="AP415" s="6">
        <v>634.54287297753501</v>
      </c>
      <c r="AQ415" s="6">
        <v>40331.279999999999</v>
      </c>
      <c r="AR415" s="6">
        <v>5634.5249698693997</v>
      </c>
      <c r="AS415" s="6">
        <v>5634.5249698693997</v>
      </c>
      <c r="AT415" s="6">
        <v>0</v>
      </c>
      <c r="AU415" t="s">
        <v>2973</v>
      </c>
      <c r="AV415" t="s">
        <v>2977</v>
      </c>
    </row>
    <row r="416" spans="1:48" x14ac:dyDescent="0.45">
      <c r="A416" s="5" t="s">
        <v>844</v>
      </c>
      <c r="B416">
        <v>1931</v>
      </c>
      <c r="C416" t="s">
        <v>839</v>
      </c>
      <c r="D416">
        <v>136</v>
      </c>
      <c r="E416" t="s">
        <v>845</v>
      </c>
      <c r="F416" t="s">
        <v>2739</v>
      </c>
      <c r="G416" t="s">
        <v>2740</v>
      </c>
      <c r="H416" t="s">
        <v>2741</v>
      </c>
      <c r="I416" t="s">
        <v>2742</v>
      </c>
      <c r="J416">
        <v>728.41715976324701</v>
      </c>
      <c r="K416">
        <v>1</v>
      </c>
      <c r="L416">
        <v>1</v>
      </c>
      <c r="M416">
        <v>2</v>
      </c>
      <c r="N416" s="6">
        <v>4498510.5970375603</v>
      </c>
      <c r="O416" s="6">
        <v>1418416.5861118</v>
      </c>
      <c r="P416" s="6">
        <v>1405833.0494814401</v>
      </c>
      <c r="Q416" s="6">
        <v>575287.54907840397</v>
      </c>
      <c r="R416" s="6">
        <v>409586.60497164901</v>
      </c>
      <c r="S416" s="6">
        <v>291848.28848651599</v>
      </c>
      <c r="T416" s="6">
        <v>4495198</v>
      </c>
      <c r="U416" s="6">
        <v>3812436.3866808498</v>
      </c>
      <c r="V416" s="6">
        <v>7124404.00414286</v>
      </c>
      <c r="W416" s="6">
        <v>1182214.53418975</v>
      </c>
      <c r="X416" s="6">
        <v>0</v>
      </c>
      <c r="Y416" s="6">
        <v>0</v>
      </c>
      <c r="Z416" s="6">
        <v>0</v>
      </c>
      <c r="AA416" s="6">
        <v>0</v>
      </c>
      <c r="AB416" s="6">
        <v>1015.84834824731</v>
      </c>
      <c r="AC416" s="6">
        <v>277300.60799666098</v>
      </c>
      <c r="AD416" s="6">
        <v>14547.6804898552</v>
      </c>
      <c r="AE416" s="6">
        <v>0</v>
      </c>
      <c r="AF416" s="6">
        <v>0</v>
      </c>
      <c r="AG416" s="6">
        <v>0</v>
      </c>
      <c r="AH416" s="6">
        <v>0</v>
      </c>
      <c r="AI416" s="6">
        <v>0</v>
      </c>
      <c r="AJ416" s="6">
        <v>8599482.6751673706</v>
      </c>
      <c r="AK416" s="6">
        <v>11805.711273966201</v>
      </c>
      <c r="AL416" s="6">
        <v>330.98244656580999</v>
      </c>
      <c r="AM416" s="6">
        <v>93035.839999999997</v>
      </c>
      <c r="AN416" s="6">
        <v>5634.5249698693997</v>
      </c>
      <c r="AO416" s="6">
        <v>14016.8411676341</v>
      </c>
      <c r="AP416" s="6">
        <v>330.98244656580999</v>
      </c>
      <c r="AQ416" s="6">
        <v>93035.839999999997</v>
      </c>
      <c r="AR416" s="6">
        <v>5634.5249698694097</v>
      </c>
      <c r="AS416" s="6">
        <v>11805.711273966201</v>
      </c>
      <c r="AT416" s="6">
        <v>0</v>
      </c>
      <c r="AU416" t="s">
        <v>2973</v>
      </c>
      <c r="AV416" t="s">
        <v>2973</v>
      </c>
    </row>
    <row r="417" spans="1:48" x14ac:dyDescent="0.45">
      <c r="A417" s="5" t="s">
        <v>846</v>
      </c>
      <c r="B417">
        <v>1931</v>
      </c>
      <c r="C417" t="s">
        <v>839</v>
      </c>
      <c r="D417">
        <v>137</v>
      </c>
      <c r="E417" t="s">
        <v>847</v>
      </c>
      <c r="F417" t="s">
        <v>2739</v>
      </c>
      <c r="G417" t="s">
        <v>2747</v>
      </c>
      <c r="H417" t="s">
        <v>2741</v>
      </c>
      <c r="I417" t="s">
        <v>2742</v>
      </c>
      <c r="J417">
        <v>465.45597011879897</v>
      </c>
      <c r="K417">
        <v>1</v>
      </c>
      <c r="L417">
        <v>1</v>
      </c>
      <c r="M417">
        <v>2</v>
      </c>
      <c r="N417" s="6">
        <v>2856290.4812511601</v>
      </c>
      <c r="O417" s="6">
        <v>1186968.02403496</v>
      </c>
      <c r="P417" s="6">
        <v>1045900.48565765</v>
      </c>
      <c r="Q417" s="6">
        <v>367606.69441201398</v>
      </c>
      <c r="R417" s="6">
        <v>252564.58401353101</v>
      </c>
      <c r="S417" s="6">
        <v>186490.01663985301</v>
      </c>
      <c r="T417" s="6">
        <v>3273197</v>
      </c>
      <c r="U417" s="6">
        <v>2436133.2693693098</v>
      </c>
      <c r="V417" s="6">
        <v>5071142.6947973603</v>
      </c>
      <c r="W417" s="6">
        <v>637538.45109636197</v>
      </c>
      <c r="X417" s="6">
        <v>0</v>
      </c>
      <c r="Y417" s="6">
        <v>0</v>
      </c>
      <c r="Z417" s="6">
        <v>0</v>
      </c>
      <c r="AA417" s="6">
        <v>0</v>
      </c>
      <c r="AB417" s="6">
        <v>649.12347559290697</v>
      </c>
      <c r="AC417" s="6">
        <v>177194.10063262301</v>
      </c>
      <c r="AD417" s="6">
        <v>9295.9160072295908</v>
      </c>
      <c r="AE417" s="6">
        <v>0</v>
      </c>
      <c r="AF417" s="6">
        <v>0</v>
      </c>
      <c r="AG417" s="6">
        <v>0</v>
      </c>
      <c r="AH417" s="6">
        <v>0</v>
      </c>
      <c r="AI417" s="6">
        <v>0</v>
      </c>
      <c r="AJ417" s="6">
        <v>5895820.2860091599</v>
      </c>
      <c r="AK417" s="6">
        <v>12666.762625269101</v>
      </c>
      <c r="AL417" s="6">
        <v>330.98244656580999</v>
      </c>
      <c r="AM417" s="6">
        <v>93035.839999999997</v>
      </c>
      <c r="AN417" s="6">
        <v>5634.5249698693997</v>
      </c>
      <c r="AO417" s="6">
        <v>14016.8411676341</v>
      </c>
      <c r="AP417" s="6">
        <v>3753.1860850462999</v>
      </c>
      <c r="AQ417" s="6">
        <v>20687.885194392002</v>
      </c>
      <c r="AR417" s="6">
        <v>12666.762625269101</v>
      </c>
      <c r="AS417" s="6">
        <v>12666.762625269101</v>
      </c>
      <c r="AT417" s="6">
        <v>0</v>
      </c>
      <c r="AU417" t="s">
        <v>2973</v>
      </c>
      <c r="AV417" t="s">
        <v>2973</v>
      </c>
    </row>
    <row r="418" spans="1:48" x14ac:dyDescent="0.45">
      <c r="A418" s="5" t="s">
        <v>848</v>
      </c>
      <c r="B418">
        <v>2000</v>
      </c>
      <c r="C418" t="s">
        <v>849</v>
      </c>
      <c r="D418">
        <v>307</v>
      </c>
      <c r="E418" t="s">
        <v>850</v>
      </c>
      <c r="F418" t="s">
        <v>3</v>
      </c>
      <c r="G418" t="s">
        <v>2744</v>
      </c>
      <c r="H418" t="s">
        <v>2745</v>
      </c>
      <c r="I418" t="s">
        <v>2742</v>
      </c>
      <c r="J418">
        <v>98.653333333312503</v>
      </c>
      <c r="K418">
        <v>1</v>
      </c>
      <c r="L418">
        <v>1</v>
      </c>
      <c r="M418">
        <v>2</v>
      </c>
      <c r="N418" s="6">
        <v>266963.67400590598</v>
      </c>
      <c r="O418" s="6">
        <v>136930.24447711001</v>
      </c>
      <c r="P418" s="6">
        <v>390495.18492615799</v>
      </c>
      <c r="Q418" s="6">
        <v>119566.65041431101</v>
      </c>
      <c r="R418" s="6">
        <v>1447803.9061148199</v>
      </c>
      <c r="S418" s="6">
        <v>65663.576834011707</v>
      </c>
      <c r="T418" s="6">
        <v>1626018.14</v>
      </c>
      <c r="U418" s="6">
        <v>735741.51993830805</v>
      </c>
      <c r="V418" s="6">
        <v>633254.94015155395</v>
      </c>
      <c r="W418" s="6">
        <v>414480.01978675398</v>
      </c>
      <c r="X418" s="6">
        <v>0</v>
      </c>
      <c r="Y418" s="6">
        <v>0</v>
      </c>
      <c r="Z418" s="6">
        <v>0</v>
      </c>
      <c r="AA418" s="6">
        <v>0</v>
      </c>
      <c r="AB418" s="6">
        <v>1314024.7</v>
      </c>
      <c r="AC418" s="6">
        <v>59187.4124224771</v>
      </c>
      <c r="AD418" s="6">
        <v>6476.1644115345898</v>
      </c>
      <c r="AE418" s="6">
        <v>0</v>
      </c>
      <c r="AF418" s="6">
        <v>0</v>
      </c>
      <c r="AG418" s="6">
        <v>0</v>
      </c>
      <c r="AH418" s="6">
        <v>0</v>
      </c>
      <c r="AI418" s="6">
        <v>0</v>
      </c>
      <c r="AJ418" s="6">
        <v>2427423.2367723198</v>
      </c>
      <c r="AK418" s="6">
        <v>24605.5876142671</v>
      </c>
      <c r="AL418" s="6">
        <v>330.98244656580999</v>
      </c>
      <c r="AM418" s="6">
        <v>93035.839999999997</v>
      </c>
      <c r="AN418" s="6">
        <v>17378.6391085635</v>
      </c>
      <c r="AO418" s="6">
        <v>24605.5876142671</v>
      </c>
      <c r="AP418" s="6">
        <v>330.98244656580999</v>
      </c>
      <c r="AQ418" s="6">
        <v>40734.411818744898</v>
      </c>
      <c r="AR418" s="6">
        <v>24605.5876142671</v>
      </c>
      <c r="AS418" s="6">
        <v>24605.5876142671</v>
      </c>
      <c r="AT418" s="6">
        <v>0</v>
      </c>
      <c r="AU418" t="s">
        <v>2973</v>
      </c>
      <c r="AV418" t="s">
        <v>2973</v>
      </c>
    </row>
    <row r="419" spans="1:48" x14ac:dyDescent="0.45">
      <c r="A419" s="5" t="s">
        <v>851</v>
      </c>
      <c r="B419">
        <v>2000</v>
      </c>
      <c r="C419" t="s">
        <v>849</v>
      </c>
      <c r="D419">
        <v>306</v>
      </c>
      <c r="E419" t="s">
        <v>852</v>
      </c>
      <c r="F419" t="s">
        <v>2739</v>
      </c>
      <c r="G419" t="s">
        <v>2740</v>
      </c>
      <c r="H419" t="s">
        <v>2741</v>
      </c>
      <c r="I419" t="s">
        <v>2742</v>
      </c>
      <c r="J419">
        <v>196.32026143787601</v>
      </c>
      <c r="K419">
        <v>1</v>
      </c>
      <c r="L419">
        <v>2</v>
      </c>
      <c r="M419">
        <v>2</v>
      </c>
      <c r="N419" s="6">
        <v>1379321.2659940899</v>
      </c>
      <c r="O419" s="6">
        <v>417939.17552289</v>
      </c>
      <c r="P419" s="6">
        <v>979689.34507384105</v>
      </c>
      <c r="Q419" s="6">
        <v>237937.789585689</v>
      </c>
      <c r="R419" s="6">
        <v>266220.793885177</v>
      </c>
      <c r="S419" s="6">
        <v>130670.603165988</v>
      </c>
      <c r="T419" s="6">
        <v>1816981.79</v>
      </c>
      <c r="U419" s="6">
        <v>1464126.58006169</v>
      </c>
      <c r="V419" s="6">
        <v>2482027.22984845</v>
      </c>
      <c r="W419" s="6">
        <v>799081.14021324494</v>
      </c>
      <c r="X419" s="6">
        <v>0</v>
      </c>
      <c r="Y419" s="6">
        <v>0</v>
      </c>
      <c r="Z419" s="6">
        <v>0</v>
      </c>
      <c r="AA419" s="6">
        <v>0</v>
      </c>
      <c r="AB419" s="6">
        <v>0</v>
      </c>
      <c r="AC419" s="6">
        <v>117783.027577523</v>
      </c>
      <c r="AD419" s="6">
        <v>12887.575588465401</v>
      </c>
      <c r="AE419" s="6">
        <v>0</v>
      </c>
      <c r="AF419" s="6">
        <v>0</v>
      </c>
      <c r="AG419" s="6">
        <v>0</v>
      </c>
      <c r="AH419" s="6">
        <v>0</v>
      </c>
      <c r="AI419" s="6">
        <v>0</v>
      </c>
      <c r="AJ419" s="6">
        <v>3411778.9732276802</v>
      </c>
      <c r="AK419" s="6">
        <v>17378.6391085635</v>
      </c>
      <c r="AL419" s="6">
        <v>330.98244656580999</v>
      </c>
      <c r="AM419" s="6">
        <v>93035.839999999997</v>
      </c>
      <c r="AN419" s="6">
        <v>17378.6391085635</v>
      </c>
      <c r="AO419" s="6">
        <v>24605.5876142671</v>
      </c>
      <c r="AP419" s="6">
        <v>330.98244656580999</v>
      </c>
      <c r="AQ419" s="6">
        <v>93035.839999999997</v>
      </c>
      <c r="AR419" s="6">
        <v>17378.6391085635</v>
      </c>
      <c r="AS419" s="6">
        <v>17378.6391085635</v>
      </c>
      <c r="AT419" s="6">
        <v>0</v>
      </c>
      <c r="AU419" t="s">
        <v>2973</v>
      </c>
      <c r="AV419" t="s">
        <v>2973</v>
      </c>
    </row>
    <row r="420" spans="1:48" x14ac:dyDescent="0.45">
      <c r="A420" s="5" t="s">
        <v>853</v>
      </c>
      <c r="B420">
        <v>1992</v>
      </c>
      <c r="C420" t="s">
        <v>854</v>
      </c>
      <c r="D420">
        <v>282</v>
      </c>
      <c r="E420" t="s">
        <v>855</v>
      </c>
      <c r="F420" t="s">
        <v>2739</v>
      </c>
      <c r="G420" t="s">
        <v>2740</v>
      </c>
      <c r="H420" t="s">
        <v>2745</v>
      </c>
      <c r="I420" t="s">
        <v>2742</v>
      </c>
      <c r="J420">
        <v>415.57880119870299</v>
      </c>
      <c r="K420">
        <v>1</v>
      </c>
      <c r="L420">
        <v>1</v>
      </c>
      <c r="M420">
        <v>3</v>
      </c>
      <c r="N420" s="6">
        <v>2772728.2994080498</v>
      </c>
      <c r="O420" s="6">
        <v>409259.866961302</v>
      </c>
      <c r="P420" s="6">
        <v>1133961.3097793499</v>
      </c>
      <c r="Q420" s="6">
        <v>307777.69450603001</v>
      </c>
      <c r="R420" s="6">
        <v>694916.11740052002</v>
      </c>
      <c r="S420" s="6">
        <v>188446.97688086299</v>
      </c>
      <c r="T420" s="6">
        <v>3239183.81</v>
      </c>
      <c r="U420" s="6">
        <v>2079459.4780552499</v>
      </c>
      <c r="V420" s="6">
        <v>4649986.0923541598</v>
      </c>
      <c r="W420" s="6">
        <v>663785.40293252899</v>
      </c>
      <c r="X420" s="6">
        <v>0</v>
      </c>
      <c r="Y420" s="6">
        <v>0</v>
      </c>
      <c r="Z420" s="6">
        <v>0</v>
      </c>
      <c r="AA420" s="6">
        <v>0</v>
      </c>
      <c r="AB420" s="6">
        <v>4871.7927685619898</v>
      </c>
      <c r="AC420" s="6">
        <v>174481.126067303</v>
      </c>
      <c r="AD420" s="6">
        <v>13965.850813560401</v>
      </c>
      <c r="AE420" s="6">
        <v>0</v>
      </c>
      <c r="AF420" s="6">
        <v>0</v>
      </c>
      <c r="AG420" s="6">
        <v>0</v>
      </c>
      <c r="AH420" s="6">
        <v>0</v>
      </c>
      <c r="AI420" s="6">
        <v>0</v>
      </c>
      <c r="AJ420" s="6">
        <v>5507090.26493611</v>
      </c>
      <c r="AK420" s="6">
        <v>13251.614974227199</v>
      </c>
      <c r="AL420" s="6">
        <v>330.98244656580999</v>
      </c>
      <c r="AM420" s="6">
        <v>93035.839999999997</v>
      </c>
      <c r="AN420" s="6">
        <v>13211.7642868558</v>
      </c>
      <c r="AO420" s="6">
        <v>16470.239759685599</v>
      </c>
      <c r="AP420" s="6">
        <v>330.98244656580999</v>
      </c>
      <c r="AQ420" s="6">
        <v>93035.839999999997</v>
      </c>
      <c r="AR420" s="6">
        <v>13251.614974227199</v>
      </c>
      <c r="AS420" s="6">
        <v>13251.614974227199</v>
      </c>
      <c r="AT420" s="6">
        <v>0</v>
      </c>
      <c r="AU420" t="s">
        <v>2973</v>
      </c>
      <c r="AV420" t="s">
        <v>2973</v>
      </c>
    </row>
    <row r="421" spans="1:48" x14ac:dyDescent="0.45">
      <c r="A421" s="5" t="s">
        <v>856</v>
      </c>
      <c r="B421">
        <v>1992</v>
      </c>
      <c r="C421" t="s">
        <v>854</v>
      </c>
      <c r="D421">
        <v>285</v>
      </c>
      <c r="E421" t="s">
        <v>857</v>
      </c>
      <c r="F421" t="s">
        <v>2739</v>
      </c>
      <c r="G421" t="s">
        <v>2744</v>
      </c>
      <c r="H421" t="s">
        <v>2745</v>
      </c>
      <c r="I421" t="s">
        <v>2742</v>
      </c>
      <c r="J421">
        <v>213.59409472994</v>
      </c>
      <c r="K421">
        <v>1</v>
      </c>
      <c r="L421">
        <v>1</v>
      </c>
      <c r="M421">
        <v>3</v>
      </c>
      <c r="N421" s="6">
        <v>1467821.11813389</v>
      </c>
      <c r="O421" s="6">
        <v>761815.84676996595</v>
      </c>
      <c r="P421" s="6">
        <v>676101.05452223099</v>
      </c>
      <c r="Q421" s="6">
        <v>158187.80420575701</v>
      </c>
      <c r="R421" s="6">
        <v>357164.46214598702</v>
      </c>
      <c r="S421" s="6">
        <v>96855.665677269193</v>
      </c>
      <c r="T421" s="6">
        <v>2352315.21</v>
      </c>
      <c r="U421" s="6">
        <v>1068775.0757778301</v>
      </c>
      <c r="V421" s="6">
        <v>2897223.0851750602</v>
      </c>
      <c r="W421" s="6">
        <v>521363.25631323201</v>
      </c>
      <c r="X421" s="6">
        <v>0</v>
      </c>
      <c r="Y421" s="6">
        <v>0</v>
      </c>
      <c r="Z421" s="6">
        <v>0</v>
      </c>
      <c r="AA421" s="6">
        <v>0</v>
      </c>
      <c r="AB421" s="6">
        <v>2503.9442895339698</v>
      </c>
      <c r="AC421" s="6">
        <v>89677.668981933501</v>
      </c>
      <c r="AD421" s="6">
        <v>7177.9966953356397</v>
      </c>
      <c r="AE421" s="6">
        <v>0</v>
      </c>
      <c r="AF421" s="6">
        <v>0</v>
      </c>
      <c r="AG421" s="6">
        <v>0</v>
      </c>
      <c r="AH421" s="6">
        <v>0</v>
      </c>
      <c r="AI421" s="6">
        <v>0</v>
      </c>
      <c r="AJ421" s="6">
        <v>3517945.9514551</v>
      </c>
      <c r="AK421" s="6">
        <v>16470.239759685599</v>
      </c>
      <c r="AL421" s="6">
        <v>330.98244656580999</v>
      </c>
      <c r="AM421" s="6">
        <v>93035.839999999997</v>
      </c>
      <c r="AN421" s="6">
        <v>13211.7642868558</v>
      </c>
      <c r="AO421" s="6">
        <v>16470.239759685599</v>
      </c>
      <c r="AP421" s="6">
        <v>330.98244656580999</v>
      </c>
      <c r="AQ421" s="6">
        <v>40734.411818744898</v>
      </c>
      <c r="AR421" s="6">
        <v>16470.239759685599</v>
      </c>
      <c r="AS421" s="6">
        <v>16470.239759685599</v>
      </c>
      <c r="AT421" s="6">
        <v>0</v>
      </c>
      <c r="AU421" t="s">
        <v>2973</v>
      </c>
      <c r="AV421" t="s">
        <v>2973</v>
      </c>
    </row>
    <row r="422" spans="1:48" x14ac:dyDescent="0.45">
      <c r="A422" s="5" t="s">
        <v>858</v>
      </c>
      <c r="B422">
        <v>1992</v>
      </c>
      <c r="C422" t="s">
        <v>854</v>
      </c>
      <c r="D422">
        <v>284</v>
      </c>
      <c r="E422" t="s">
        <v>859</v>
      </c>
      <c r="F422" t="s">
        <v>2739</v>
      </c>
      <c r="G422" t="s">
        <v>2747</v>
      </c>
      <c r="H422" t="s">
        <v>2745</v>
      </c>
      <c r="I422" t="s">
        <v>2742</v>
      </c>
      <c r="J422">
        <v>111.658536405804</v>
      </c>
      <c r="K422">
        <v>1</v>
      </c>
      <c r="L422">
        <v>1</v>
      </c>
      <c r="M422">
        <v>3</v>
      </c>
      <c r="N422" s="6">
        <v>650766.43245806196</v>
      </c>
      <c r="O422" s="6">
        <v>187057.336268732</v>
      </c>
      <c r="P422" s="6">
        <v>317344.425698423</v>
      </c>
      <c r="Q422" s="6">
        <v>82694.321288213105</v>
      </c>
      <c r="R422" s="6">
        <v>186711.440453494</v>
      </c>
      <c r="S422" s="6">
        <v>50632.307441867699</v>
      </c>
      <c r="T422" s="6">
        <v>865860.66</v>
      </c>
      <c r="U422" s="6">
        <v>558713.29616692301</v>
      </c>
      <c r="V422" s="6">
        <v>1285828.6424707801</v>
      </c>
      <c r="W422" s="6">
        <v>137436.350754238</v>
      </c>
      <c r="X422" s="6">
        <v>0</v>
      </c>
      <c r="Y422" s="6">
        <v>0</v>
      </c>
      <c r="Z422" s="6">
        <v>0</v>
      </c>
      <c r="AA422" s="6">
        <v>0</v>
      </c>
      <c r="AB422" s="6">
        <v>1308.96294190405</v>
      </c>
      <c r="AC422" s="6">
        <v>46879.934950763803</v>
      </c>
      <c r="AD422" s="6">
        <v>3752.3724911039399</v>
      </c>
      <c r="AE422" s="6">
        <v>0</v>
      </c>
      <c r="AF422" s="6">
        <v>0</v>
      </c>
      <c r="AG422" s="6">
        <v>0</v>
      </c>
      <c r="AH422" s="6">
        <v>0</v>
      </c>
      <c r="AI422" s="6">
        <v>0</v>
      </c>
      <c r="AJ422" s="6">
        <v>1475206.26360879</v>
      </c>
      <c r="AK422" s="6">
        <v>13211.7642868558</v>
      </c>
      <c r="AL422" s="6">
        <v>330.98244656580999</v>
      </c>
      <c r="AM422" s="6">
        <v>93035.839999999997</v>
      </c>
      <c r="AN422" s="6">
        <v>13211.7642868558</v>
      </c>
      <c r="AO422" s="6">
        <v>16470.239759685599</v>
      </c>
      <c r="AP422" s="6">
        <v>3753.1860850462999</v>
      </c>
      <c r="AQ422" s="6">
        <v>20687.885194392002</v>
      </c>
      <c r="AR422" s="6">
        <v>13211.7642868558</v>
      </c>
      <c r="AS422" s="6">
        <v>13211.7642868558</v>
      </c>
      <c r="AT422" s="6">
        <v>0</v>
      </c>
      <c r="AU422" t="s">
        <v>2973</v>
      </c>
      <c r="AV422" t="s">
        <v>2973</v>
      </c>
    </row>
    <row r="423" spans="1:48" x14ac:dyDescent="0.45">
      <c r="A423" s="5" t="s">
        <v>862</v>
      </c>
      <c r="B423">
        <v>2054</v>
      </c>
      <c r="C423" t="s">
        <v>863</v>
      </c>
      <c r="D423">
        <v>435</v>
      </c>
      <c r="E423" t="s">
        <v>864</v>
      </c>
      <c r="F423" t="s">
        <v>2739</v>
      </c>
      <c r="G423" t="s">
        <v>2740</v>
      </c>
      <c r="H423" t="s">
        <v>2741</v>
      </c>
      <c r="I423" t="s">
        <v>2742</v>
      </c>
      <c r="J423">
        <v>467.155688622708</v>
      </c>
      <c r="K423">
        <v>1</v>
      </c>
      <c r="L423">
        <v>1</v>
      </c>
      <c r="M423">
        <v>2</v>
      </c>
      <c r="N423" s="6">
        <v>3241180.6274155099</v>
      </c>
      <c r="O423" s="6">
        <v>669866.65217263799</v>
      </c>
      <c r="P423" s="6">
        <v>940490.80170145503</v>
      </c>
      <c r="Q423" s="6">
        <v>170085.19064354801</v>
      </c>
      <c r="R423" s="6">
        <v>53580.361581113197</v>
      </c>
      <c r="S423" s="6">
        <v>221724.782620924</v>
      </c>
      <c r="T423" s="6">
        <v>3842193.71</v>
      </c>
      <c r="U423" s="6">
        <v>1233009.92351427</v>
      </c>
      <c r="V423" s="6">
        <v>4372141.0488735205</v>
      </c>
      <c r="W423" s="6">
        <v>698548.19786862098</v>
      </c>
      <c r="X423" s="6">
        <v>0</v>
      </c>
      <c r="Y423" s="6">
        <v>0</v>
      </c>
      <c r="Z423" s="6">
        <v>0</v>
      </c>
      <c r="AA423" s="6">
        <v>4514.38677212523</v>
      </c>
      <c r="AB423" s="6">
        <v>0</v>
      </c>
      <c r="AC423" s="6">
        <v>182195.543937329</v>
      </c>
      <c r="AD423" s="6">
        <v>39529.238683595198</v>
      </c>
      <c r="AE423" s="6">
        <v>0</v>
      </c>
      <c r="AF423" s="6">
        <v>0</v>
      </c>
      <c r="AG423" s="6">
        <v>0</v>
      </c>
      <c r="AH423" s="6">
        <v>0</v>
      </c>
      <c r="AI423" s="6">
        <v>0</v>
      </c>
      <c r="AJ423" s="6">
        <v>5296928.4161351901</v>
      </c>
      <c r="AK423" s="6">
        <v>11338.6790424234</v>
      </c>
      <c r="AL423" s="6">
        <v>330.98244656580999</v>
      </c>
      <c r="AM423" s="6">
        <v>93035.839999999997</v>
      </c>
      <c r="AN423" s="6">
        <v>3114.0254556764899</v>
      </c>
      <c r="AO423" s="6">
        <v>13486.8030984783</v>
      </c>
      <c r="AP423" s="6">
        <v>330.98244656580999</v>
      </c>
      <c r="AQ423" s="6">
        <v>93035.839999999997</v>
      </c>
      <c r="AR423" s="6">
        <v>10631.8305491172</v>
      </c>
      <c r="AS423" s="6">
        <v>13317.617292924901</v>
      </c>
      <c r="AT423" s="6">
        <v>0</v>
      </c>
      <c r="AU423" t="s">
        <v>2973</v>
      </c>
      <c r="AV423" t="s">
        <v>2973</v>
      </c>
    </row>
    <row r="424" spans="1:48" x14ac:dyDescent="0.45">
      <c r="A424" s="5" t="s">
        <v>865</v>
      </c>
      <c r="B424">
        <v>2054</v>
      </c>
      <c r="C424" t="s">
        <v>863</v>
      </c>
      <c r="D424">
        <v>442</v>
      </c>
      <c r="E424" t="s">
        <v>866</v>
      </c>
      <c r="F424" t="s">
        <v>2739</v>
      </c>
      <c r="G424" t="s">
        <v>2744</v>
      </c>
      <c r="H424" t="s">
        <v>2745</v>
      </c>
      <c r="I424" t="s">
        <v>2742</v>
      </c>
      <c r="J424">
        <v>1824.62690435999</v>
      </c>
      <c r="K424">
        <v>1</v>
      </c>
      <c r="L424">
        <v>1</v>
      </c>
      <c r="M424">
        <v>2</v>
      </c>
      <c r="N424" s="6">
        <v>13452521.892967099</v>
      </c>
      <c r="O424" s="6">
        <v>5005894.6183969202</v>
      </c>
      <c r="P424" s="6">
        <v>4307771.7663115999</v>
      </c>
      <c r="Q424" s="6">
        <v>664322.45703008096</v>
      </c>
      <c r="R424" s="6">
        <v>311855.54795620003</v>
      </c>
      <c r="S424" s="6">
        <v>866017.50462735095</v>
      </c>
      <c r="T424" s="6">
        <v>18926449.16</v>
      </c>
      <c r="U424" s="6">
        <v>4815917.1226618504</v>
      </c>
      <c r="V424" s="6">
        <v>20363014.300342701</v>
      </c>
      <c r="W424" s="6">
        <v>3361719.5917442301</v>
      </c>
      <c r="X424" s="6">
        <v>0</v>
      </c>
      <c r="Y424" s="6">
        <v>0</v>
      </c>
      <c r="Z424" s="6">
        <v>0</v>
      </c>
      <c r="AA424" s="6">
        <v>17632.3905749527</v>
      </c>
      <c r="AB424" s="6">
        <v>0</v>
      </c>
      <c r="AC424" s="6">
        <v>711623.33975353499</v>
      </c>
      <c r="AD424" s="6">
        <v>154394.16487381599</v>
      </c>
      <c r="AE424" s="6">
        <v>0</v>
      </c>
      <c r="AF424" s="6">
        <v>0</v>
      </c>
      <c r="AG424" s="6">
        <v>0</v>
      </c>
      <c r="AH424" s="6">
        <v>0</v>
      </c>
      <c r="AI424" s="6">
        <v>0</v>
      </c>
      <c r="AJ424" s="6">
        <v>24608383.787289198</v>
      </c>
      <c r="AK424" s="6">
        <v>13486.8030984783</v>
      </c>
      <c r="AL424" s="6">
        <v>330.98244656580999</v>
      </c>
      <c r="AM424" s="6">
        <v>93035.839999999997</v>
      </c>
      <c r="AN424" s="6">
        <v>3114.0254556764899</v>
      </c>
      <c r="AO424" s="6">
        <v>13486.8030984783</v>
      </c>
      <c r="AP424" s="6">
        <v>330.98244656580999</v>
      </c>
      <c r="AQ424" s="6">
        <v>40734.411818744898</v>
      </c>
      <c r="AR424" s="6">
        <v>13486.8030984783</v>
      </c>
      <c r="AS424" s="6">
        <v>13486.8030984783</v>
      </c>
      <c r="AT424" s="6">
        <v>0</v>
      </c>
      <c r="AU424" t="s">
        <v>2973</v>
      </c>
      <c r="AV424" t="s">
        <v>2973</v>
      </c>
    </row>
    <row r="425" spans="1:48" x14ac:dyDescent="0.45">
      <c r="A425" s="5" t="s">
        <v>867</v>
      </c>
      <c r="B425">
        <v>2054</v>
      </c>
      <c r="C425" t="s">
        <v>863</v>
      </c>
      <c r="D425">
        <v>2054</v>
      </c>
      <c r="E425" t="s">
        <v>863</v>
      </c>
      <c r="F425" t="s">
        <v>1</v>
      </c>
      <c r="G425" t="s">
        <v>1</v>
      </c>
      <c r="H425" t="s">
        <v>2743</v>
      </c>
      <c r="I425" t="s">
        <v>2742</v>
      </c>
      <c r="J425">
        <v>118.024190064005</v>
      </c>
      <c r="K425">
        <v>1</v>
      </c>
      <c r="L425">
        <v>3</v>
      </c>
      <c r="M425">
        <v>2</v>
      </c>
      <c r="N425" s="6">
        <v>58673.2038966533</v>
      </c>
      <c r="O425" s="6">
        <v>48868.019302882603</v>
      </c>
      <c r="P425" s="6">
        <v>147463.810065358</v>
      </c>
      <c r="Q425" s="6">
        <v>42971.042323749403</v>
      </c>
      <c r="R425" s="6">
        <v>13536.7692890383</v>
      </c>
      <c r="S425" s="6">
        <v>56017.487367230002</v>
      </c>
      <c r="T425" s="6">
        <v>0</v>
      </c>
      <c r="U425" s="6">
        <v>311512.844877681</v>
      </c>
      <c r="V425" s="6">
        <v>225515.162493262</v>
      </c>
      <c r="W425" s="6">
        <v>84857.148606512506</v>
      </c>
      <c r="X425" s="6">
        <v>0</v>
      </c>
      <c r="Y425" s="6">
        <v>0</v>
      </c>
      <c r="Z425" s="6">
        <v>0</v>
      </c>
      <c r="AA425" s="6">
        <v>1140.53377790729</v>
      </c>
      <c r="AB425" s="6">
        <v>0</v>
      </c>
      <c r="AC425" s="6">
        <v>46030.653227988601</v>
      </c>
      <c r="AD425" s="6">
        <v>9986.8341392413404</v>
      </c>
      <c r="AE425" s="6">
        <v>0</v>
      </c>
      <c r="AF425" s="6">
        <v>0</v>
      </c>
      <c r="AG425" s="6">
        <v>0</v>
      </c>
      <c r="AH425" s="6">
        <v>0</v>
      </c>
      <c r="AI425" s="6">
        <v>0</v>
      </c>
      <c r="AJ425" s="6">
        <v>367530.33224491199</v>
      </c>
      <c r="AK425" s="6">
        <v>3114.0254556764899</v>
      </c>
      <c r="AL425" s="6">
        <v>330.98244656580999</v>
      </c>
      <c r="AM425" s="6">
        <v>93035.839999999997</v>
      </c>
      <c r="AN425" s="6">
        <v>3114.0254556764899</v>
      </c>
      <c r="AO425" s="6">
        <v>13486.8030984783</v>
      </c>
      <c r="AP425" s="6">
        <v>634.54287297753501</v>
      </c>
      <c r="AQ425" s="6">
        <v>40331.279999999999</v>
      </c>
      <c r="AR425" s="6">
        <v>3114.0254556764899</v>
      </c>
      <c r="AS425" s="6">
        <v>3114.0254556764899</v>
      </c>
      <c r="AT425" s="6">
        <v>0</v>
      </c>
      <c r="AU425" t="s">
        <v>2973</v>
      </c>
      <c r="AV425" t="s">
        <v>2977</v>
      </c>
    </row>
    <row r="426" spans="1:48" x14ac:dyDescent="0.45">
      <c r="A426" s="5" t="s">
        <v>868</v>
      </c>
      <c r="B426">
        <v>2054</v>
      </c>
      <c r="C426" t="s">
        <v>863</v>
      </c>
      <c r="D426">
        <v>436</v>
      </c>
      <c r="E426" t="s">
        <v>869</v>
      </c>
      <c r="F426" t="s">
        <v>2739</v>
      </c>
      <c r="G426" t="s">
        <v>2740</v>
      </c>
      <c r="H426" t="s">
        <v>2741</v>
      </c>
      <c r="I426" t="s">
        <v>2742</v>
      </c>
      <c r="J426">
        <v>474.37839178773203</v>
      </c>
      <c r="K426">
        <v>1</v>
      </c>
      <c r="L426">
        <v>1</v>
      </c>
      <c r="M426">
        <v>2</v>
      </c>
      <c r="N426" s="6">
        <v>3193182.3299438199</v>
      </c>
      <c r="O426" s="6">
        <v>538150.80874628702</v>
      </c>
      <c r="P426" s="6">
        <v>859901.01550617605</v>
      </c>
      <c r="Q426" s="6">
        <v>172714.88107589001</v>
      </c>
      <c r="R426" s="6">
        <v>54408.7685910246</v>
      </c>
      <c r="S426" s="6">
        <v>225152.87378668101</v>
      </c>
      <c r="T426" s="6">
        <v>3566284.29</v>
      </c>
      <c r="U426" s="6">
        <v>1252073.5138631901</v>
      </c>
      <c r="V426" s="6">
        <v>4166634.4659539899</v>
      </c>
      <c r="W426" s="6">
        <v>647139.15411561599</v>
      </c>
      <c r="X426" s="6">
        <v>0</v>
      </c>
      <c r="Y426" s="6">
        <v>0</v>
      </c>
      <c r="Z426" s="6">
        <v>0</v>
      </c>
      <c r="AA426" s="6">
        <v>4584.1837935921003</v>
      </c>
      <c r="AB426" s="6">
        <v>0</v>
      </c>
      <c r="AC426" s="6">
        <v>185012.47277689699</v>
      </c>
      <c r="AD426" s="6">
        <v>40140.401009784</v>
      </c>
      <c r="AE426" s="6">
        <v>0</v>
      </c>
      <c r="AF426" s="6">
        <v>0</v>
      </c>
      <c r="AG426" s="6">
        <v>0</v>
      </c>
      <c r="AH426" s="6">
        <v>0</v>
      </c>
      <c r="AI426" s="6">
        <v>0</v>
      </c>
      <c r="AJ426" s="6">
        <v>5043510.6776498798</v>
      </c>
      <c r="AK426" s="6">
        <v>10631.8305491172</v>
      </c>
      <c r="AL426" s="6">
        <v>330.98244656580999</v>
      </c>
      <c r="AM426" s="6">
        <v>93035.839999999997</v>
      </c>
      <c r="AN426" s="6">
        <v>3114.0254556764899</v>
      </c>
      <c r="AO426" s="6">
        <v>13486.8030984783</v>
      </c>
      <c r="AP426" s="6">
        <v>330.98244656580999</v>
      </c>
      <c r="AQ426" s="6">
        <v>93035.839999999997</v>
      </c>
      <c r="AR426" s="6">
        <v>10631.8305491172</v>
      </c>
      <c r="AS426" s="6">
        <v>13317.617292924901</v>
      </c>
      <c r="AT426" s="6">
        <v>0</v>
      </c>
      <c r="AU426" t="s">
        <v>2973</v>
      </c>
      <c r="AV426" t="s">
        <v>2973</v>
      </c>
    </row>
    <row r="427" spans="1:48" x14ac:dyDescent="0.45">
      <c r="A427" s="5" t="s">
        <v>870</v>
      </c>
      <c r="B427">
        <v>2054</v>
      </c>
      <c r="C427" t="s">
        <v>863</v>
      </c>
      <c r="D427">
        <v>437</v>
      </c>
      <c r="E427" t="s">
        <v>501</v>
      </c>
      <c r="F427" t="s">
        <v>2739</v>
      </c>
      <c r="G427" t="s">
        <v>2740</v>
      </c>
      <c r="H427" t="s">
        <v>2741</v>
      </c>
      <c r="I427" t="s">
        <v>2742</v>
      </c>
      <c r="J427">
        <v>430.82721984580098</v>
      </c>
      <c r="K427">
        <v>1</v>
      </c>
      <c r="L427">
        <v>1</v>
      </c>
      <c r="M427">
        <v>2</v>
      </c>
      <c r="N427" s="6">
        <v>3176197.5055076</v>
      </c>
      <c r="O427" s="6">
        <v>640179.50784637604</v>
      </c>
      <c r="P427" s="6">
        <v>900193.93247001502</v>
      </c>
      <c r="Q427" s="6">
        <v>156961.746962879</v>
      </c>
      <c r="R427" s="6">
        <v>49413.672530416603</v>
      </c>
      <c r="S427" s="6">
        <v>204482.30428086899</v>
      </c>
      <c r="T427" s="6">
        <v>3785821.74</v>
      </c>
      <c r="U427" s="6">
        <v>1137124.62531729</v>
      </c>
      <c r="V427" s="6">
        <v>4243355.0713148098</v>
      </c>
      <c r="W427" s="6">
        <v>675427.96954831004</v>
      </c>
      <c r="X427" s="6">
        <v>0</v>
      </c>
      <c r="Y427" s="6">
        <v>0</v>
      </c>
      <c r="Z427" s="6">
        <v>0</v>
      </c>
      <c r="AA427" s="6">
        <v>4163.3244541610702</v>
      </c>
      <c r="AB427" s="6">
        <v>0</v>
      </c>
      <c r="AC427" s="6">
        <v>168027.06586798801</v>
      </c>
      <c r="AD427" s="6">
        <v>36455.238412881001</v>
      </c>
      <c r="AE427" s="6">
        <v>0</v>
      </c>
      <c r="AF427" s="6">
        <v>0</v>
      </c>
      <c r="AG427" s="6">
        <v>0</v>
      </c>
      <c r="AH427" s="6">
        <v>0</v>
      </c>
      <c r="AI427" s="6">
        <v>0</v>
      </c>
      <c r="AJ427" s="6">
        <v>5127428.6695981501</v>
      </c>
      <c r="AK427" s="6">
        <v>11901.3572806132</v>
      </c>
      <c r="AL427" s="6">
        <v>330.98244656580999</v>
      </c>
      <c r="AM427" s="6">
        <v>93035.839999999997</v>
      </c>
      <c r="AN427" s="6">
        <v>3114.0254556764899</v>
      </c>
      <c r="AO427" s="6">
        <v>13486.8030984783</v>
      </c>
      <c r="AP427" s="6">
        <v>330.98244656580999</v>
      </c>
      <c r="AQ427" s="6">
        <v>93035.839999999997</v>
      </c>
      <c r="AR427" s="6">
        <v>10631.8305491172</v>
      </c>
      <c r="AS427" s="6">
        <v>13317.617292924901</v>
      </c>
      <c r="AT427" s="6">
        <v>0</v>
      </c>
      <c r="AU427" t="s">
        <v>2973</v>
      </c>
      <c r="AV427" t="s">
        <v>2973</v>
      </c>
    </row>
    <row r="428" spans="1:48" x14ac:dyDescent="0.45">
      <c r="A428" s="5" t="s">
        <v>871</v>
      </c>
      <c r="B428">
        <v>2054</v>
      </c>
      <c r="C428" t="s">
        <v>863</v>
      </c>
      <c r="D428">
        <v>438</v>
      </c>
      <c r="E428" t="s">
        <v>872</v>
      </c>
      <c r="F428" t="s">
        <v>2739</v>
      </c>
      <c r="G428" t="s">
        <v>2747</v>
      </c>
      <c r="H428" t="s">
        <v>2741</v>
      </c>
      <c r="I428" t="s">
        <v>2742</v>
      </c>
      <c r="J428">
        <v>787.89958272400997</v>
      </c>
      <c r="K428">
        <v>1</v>
      </c>
      <c r="L428">
        <v>1</v>
      </c>
      <c r="M428">
        <v>2</v>
      </c>
      <c r="N428" s="6">
        <v>5390268.8500255104</v>
      </c>
      <c r="O428" s="6">
        <v>1528442.8625450099</v>
      </c>
      <c r="P428" s="6">
        <v>1555010.7951515401</v>
      </c>
      <c r="Q428" s="6">
        <v>286863.78866685898</v>
      </c>
      <c r="R428" s="6">
        <v>90368.041233584896</v>
      </c>
      <c r="S428" s="6">
        <v>373958.54949695303</v>
      </c>
      <c r="T428" s="6">
        <v>6771373.5300000003</v>
      </c>
      <c r="U428" s="6">
        <v>2079580.8076225</v>
      </c>
      <c r="V428" s="6">
        <v>8055639.9438868901</v>
      </c>
      <c r="W428" s="6">
        <v>787700.47927274997</v>
      </c>
      <c r="X428" s="6">
        <v>0</v>
      </c>
      <c r="Y428" s="6">
        <v>0</v>
      </c>
      <c r="Z428" s="6">
        <v>0</v>
      </c>
      <c r="AA428" s="6">
        <v>7613.9144628610702</v>
      </c>
      <c r="AB428" s="6">
        <v>0</v>
      </c>
      <c r="AC428" s="6">
        <v>307288.97568521998</v>
      </c>
      <c r="AD428" s="6">
        <v>66669.573811732698</v>
      </c>
      <c r="AE428" s="6">
        <v>0</v>
      </c>
      <c r="AF428" s="6">
        <v>0</v>
      </c>
      <c r="AG428" s="6">
        <v>0</v>
      </c>
      <c r="AH428" s="6">
        <v>0</v>
      </c>
      <c r="AI428" s="6">
        <v>0</v>
      </c>
      <c r="AJ428" s="6">
        <v>9224912.8871194404</v>
      </c>
      <c r="AK428" s="6">
        <v>11708.2342590233</v>
      </c>
      <c r="AL428" s="6">
        <v>330.98244656580999</v>
      </c>
      <c r="AM428" s="6">
        <v>93035.839999999997</v>
      </c>
      <c r="AN428" s="6">
        <v>3114.0254556764899</v>
      </c>
      <c r="AO428" s="6">
        <v>13486.8030984783</v>
      </c>
      <c r="AP428" s="6">
        <v>3753.1860850462999</v>
      </c>
      <c r="AQ428" s="6">
        <v>20687.885194392002</v>
      </c>
      <c r="AR428" s="6">
        <v>11511.7369893917</v>
      </c>
      <c r="AS428" s="6">
        <v>11708.2342590233</v>
      </c>
      <c r="AT428" s="6">
        <v>0</v>
      </c>
      <c r="AU428" t="s">
        <v>2973</v>
      </c>
      <c r="AV428" t="s">
        <v>2973</v>
      </c>
    </row>
    <row r="429" spans="1:48" x14ac:dyDescent="0.45">
      <c r="A429" s="5" t="s">
        <v>873</v>
      </c>
      <c r="B429">
        <v>2054</v>
      </c>
      <c r="C429" t="s">
        <v>863</v>
      </c>
      <c r="D429">
        <v>1351</v>
      </c>
      <c r="E429" t="s">
        <v>874</v>
      </c>
      <c r="F429" t="s">
        <v>2739</v>
      </c>
      <c r="G429" t="s">
        <v>2740</v>
      </c>
      <c r="H429" t="s">
        <v>2741</v>
      </c>
      <c r="I429" t="s">
        <v>2742</v>
      </c>
      <c r="J429">
        <v>443.548833105087</v>
      </c>
      <c r="K429">
        <v>1</v>
      </c>
      <c r="L429">
        <v>1</v>
      </c>
      <c r="M429">
        <v>2</v>
      </c>
      <c r="N429" s="6">
        <v>3812449.1436767802</v>
      </c>
      <c r="O429" s="6">
        <v>586553.15296242305</v>
      </c>
      <c r="P429" s="6">
        <v>933559.34894287004</v>
      </c>
      <c r="Q429" s="6">
        <v>161490.24763205001</v>
      </c>
      <c r="R429" s="6">
        <v>50872.776325849802</v>
      </c>
      <c r="S429" s="6">
        <v>210520.327584874</v>
      </c>
      <c r="T429" s="6">
        <v>4374222.6399999997</v>
      </c>
      <c r="U429" s="6">
        <v>1170702.02953997</v>
      </c>
      <c r="V429" s="6">
        <v>4793185.5414199904</v>
      </c>
      <c r="W429" s="6">
        <v>747452.86759971199</v>
      </c>
      <c r="X429" s="6">
        <v>0</v>
      </c>
      <c r="Y429" s="6">
        <v>0</v>
      </c>
      <c r="Z429" s="6">
        <v>0</v>
      </c>
      <c r="AA429" s="6">
        <v>4286.2605202659897</v>
      </c>
      <c r="AB429" s="6">
        <v>0</v>
      </c>
      <c r="AC429" s="6">
        <v>172988.62644401201</v>
      </c>
      <c r="AD429" s="6">
        <v>37531.701140862097</v>
      </c>
      <c r="AE429" s="6">
        <v>0</v>
      </c>
      <c r="AF429" s="6">
        <v>0</v>
      </c>
      <c r="AG429" s="6">
        <v>0</v>
      </c>
      <c r="AH429" s="6">
        <v>0</v>
      </c>
      <c r="AI429" s="6">
        <v>0</v>
      </c>
      <c r="AJ429" s="6">
        <v>5755444.9971248498</v>
      </c>
      <c r="AK429" s="6">
        <v>12975.8993092904</v>
      </c>
      <c r="AL429" s="6">
        <v>330.98244656580999</v>
      </c>
      <c r="AM429" s="6">
        <v>93035.839999999997</v>
      </c>
      <c r="AN429" s="6">
        <v>3114.0254556764899</v>
      </c>
      <c r="AO429" s="6">
        <v>13486.8030984783</v>
      </c>
      <c r="AP429" s="6">
        <v>330.98244656580999</v>
      </c>
      <c r="AQ429" s="6">
        <v>93035.839999999997</v>
      </c>
      <c r="AR429" s="6">
        <v>10631.8305491172</v>
      </c>
      <c r="AS429" s="6">
        <v>13317.617292924901</v>
      </c>
      <c r="AT429" s="6">
        <v>0</v>
      </c>
      <c r="AU429" t="s">
        <v>2973</v>
      </c>
      <c r="AV429" t="s">
        <v>2973</v>
      </c>
    </row>
    <row r="430" spans="1:48" x14ac:dyDescent="0.45">
      <c r="A430" s="5" t="s">
        <v>875</v>
      </c>
      <c r="B430">
        <v>2054</v>
      </c>
      <c r="C430" t="s">
        <v>863</v>
      </c>
      <c r="D430">
        <v>439</v>
      </c>
      <c r="E430" t="s">
        <v>876</v>
      </c>
      <c r="F430" t="s">
        <v>2739</v>
      </c>
      <c r="G430" t="s">
        <v>2740</v>
      </c>
      <c r="H430" t="s">
        <v>2741</v>
      </c>
      <c r="I430" t="s">
        <v>2742</v>
      </c>
      <c r="J430">
        <v>478.70658682630898</v>
      </c>
      <c r="K430">
        <v>1</v>
      </c>
      <c r="L430">
        <v>1</v>
      </c>
      <c r="M430">
        <v>2</v>
      </c>
      <c r="N430" s="6">
        <v>3781398.1296131001</v>
      </c>
      <c r="O430" s="6">
        <v>590218.00169415702</v>
      </c>
      <c r="P430" s="6">
        <v>931583.24326786003</v>
      </c>
      <c r="Q430" s="6">
        <v>174416.389487382</v>
      </c>
      <c r="R430" s="6">
        <v>54905.190363911999</v>
      </c>
      <c r="S430" s="6">
        <v>227207.152750721</v>
      </c>
      <c r="T430" s="6">
        <v>4269023.6100000003</v>
      </c>
      <c r="U430" s="6">
        <v>1263497.34442641</v>
      </c>
      <c r="V430" s="6">
        <v>4806396.3008083897</v>
      </c>
      <c r="W430" s="6">
        <v>721498.64405434299</v>
      </c>
      <c r="X430" s="6">
        <v>0</v>
      </c>
      <c r="Y430" s="6">
        <v>0</v>
      </c>
      <c r="Z430" s="6">
        <v>0</v>
      </c>
      <c r="AA430" s="6">
        <v>4626.0095636837405</v>
      </c>
      <c r="AB430" s="6">
        <v>0</v>
      </c>
      <c r="AC430" s="6">
        <v>186700.513549011</v>
      </c>
      <c r="AD430" s="6">
        <v>40506.639201709899</v>
      </c>
      <c r="AE430" s="6">
        <v>0</v>
      </c>
      <c r="AF430" s="6">
        <v>0</v>
      </c>
      <c r="AG430" s="6">
        <v>0</v>
      </c>
      <c r="AH430" s="6">
        <v>0</v>
      </c>
      <c r="AI430" s="6">
        <v>0</v>
      </c>
      <c r="AJ430" s="6">
        <v>5759728.1071771402</v>
      </c>
      <c r="AK430" s="6">
        <v>12031.854722038701</v>
      </c>
      <c r="AL430" s="6">
        <v>330.98244656580999</v>
      </c>
      <c r="AM430" s="6">
        <v>93035.839999999997</v>
      </c>
      <c r="AN430" s="6">
        <v>3114.0254556764899</v>
      </c>
      <c r="AO430" s="6">
        <v>13486.8030984783</v>
      </c>
      <c r="AP430" s="6">
        <v>330.98244656580999</v>
      </c>
      <c r="AQ430" s="6">
        <v>93035.839999999997</v>
      </c>
      <c r="AR430" s="6">
        <v>10631.8305491172</v>
      </c>
      <c r="AS430" s="6">
        <v>13317.617292924901</v>
      </c>
      <c r="AT430" s="6">
        <v>0</v>
      </c>
      <c r="AU430" t="s">
        <v>2973</v>
      </c>
      <c r="AV430" t="s">
        <v>2973</v>
      </c>
    </row>
    <row r="431" spans="1:48" x14ac:dyDescent="0.45">
      <c r="A431" s="5" t="s">
        <v>877</v>
      </c>
      <c r="B431">
        <v>2054</v>
      </c>
      <c r="C431" t="s">
        <v>863</v>
      </c>
      <c r="D431">
        <v>440</v>
      </c>
      <c r="E431" t="s">
        <v>878</v>
      </c>
      <c r="F431" t="s">
        <v>2739</v>
      </c>
      <c r="G431" t="s">
        <v>2740</v>
      </c>
      <c r="H431" t="s">
        <v>2741</v>
      </c>
      <c r="I431" t="s">
        <v>2742</v>
      </c>
      <c r="J431">
        <v>382.00755500340898</v>
      </c>
      <c r="K431">
        <v>1</v>
      </c>
      <c r="L431">
        <v>1</v>
      </c>
      <c r="M431">
        <v>2</v>
      </c>
      <c r="N431" s="6">
        <v>3355552.3324143598</v>
      </c>
      <c r="O431" s="6">
        <v>550407.98284504004</v>
      </c>
      <c r="P431" s="6">
        <v>817260.74857234105</v>
      </c>
      <c r="Q431" s="6">
        <v>139083.88445742699</v>
      </c>
      <c r="R431" s="6">
        <v>43814.307354673801</v>
      </c>
      <c r="S431" s="6">
        <v>181311.16489751</v>
      </c>
      <c r="T431" s="6">
        <v>3897849.17</v>
      </c>
      <c r="U431" s="6">
        <v>1008270.08564384</v>
      </c>
      <c r="V431" s="6">
        <v>4196110.7741655903</v>
      </c>
      <c r="W431" s="6">
        <v>706316.92875790806</v>
      </c>
      <c r="X431" s="6">
        <v>0</v>
      </c>
      <c r="Y431" s="6">
        <v>0</v>
      </c>
      <c r="Z431" s="6">
        <v>0</v>
      </c>
      <c r="AA431" s="6">
        <v>3691.5527203439101</v>
      </c>
      <c r="AB431" s="6">
        <v>0</v>
      </c>
      <c r="AC431" s="6">
        <v>148986.89230824501</v>
      </c>
      <c r="AD431" s="6">
        <v>32324.2725892653</v>
      </c>
      <c r="AE431" s="6">
        <v>0</v>
      </c>
      <c r="AF431" s="6">
        <v>0</v>
      </c>
      <c r="AG431" s="6">
        <v>0</v>
      </c>
      <c r="AH431" s="6">
        <v>0</v>
      </c>
      <c r="AI431" s="6">
        <v>0</v>
      </c>
      <c r="AJ431" s="6">
        <v>5087430.42054136</v>
      </c>
      <c r="AK431" s="6">
        <v>13317.617292924901</v>
      </c>
      <c r="AL431" s="6">
        <v>330.98244656580999</v>
      </c>
      <c r="AM431" s="6">
        <v>93035.839999999997</v>
      </c>
      <c r="AN431" s="6">
        <v>3114.0254556764899</v>
      </c>
      <c r="AO431" s="6">
        <v>13486.8030984783</v>
      </c>
      <c r="AP431" s="6">
        <v>330.98244656580999</v>
      </c>
      <c r="AQ431" s="6">
        <v>93035.839999999997</v>
      </c>
      <c r="AR431" s="6">
        <v>10631.8305491172</v>
      </c>
      <c r="AS431" s="6">
        <v>13317.617292924901</v>
      </c>
      <c r="AT431" s="6">
        <v>0</v>
      </c>
      <c r="AU431" t="s">
        <v>2973</v>
      </c>
      <c r="AV431" t="s">
        <v>2973</v>
      </c>
    </row>
    <row r="432" spans="1:48" x14ac:dyDescent="0.45">
      <c r="A432" s="5" t="s">
        <v>879</v>
      </c>
      <c r="B432">
        <v>2054</v>
      </c>
      <c r="C432" t="s">
        <v>863</v>
      </c>
      <c r="D432">
        <v>441</v>
      </c>
      <c r="E432" t="s">
        <v>880</v>
      </c>
      <c r="F432" t="s">
        <v>2739</v>
      </c>
      <c r="G432" t="s">
        <v>2747</v>
      </c>
      <c r="H432" t="s">
        <v>2741</v>
      </c>
      <c r="I432" t="s">
        <v>2742</v>
      </c>
      <c r="J432">
        <v>675.03318936845199</v>
      </c>
      <c r="K432">
        <v>1</v>
      </c>
      <c r="L432">
        <v>1</v>
      </c>
      <c r="M432">
        <v>2</v>
      </c>
      <c r="N432" s="6">
        <v>4094817.4245396098</v>
      </c>
      <c r="O432" s="6">
        <v>1631109.86348826</v>
      </c>
      <c r="P432" s="6">
        <v>1401294.6780107699</v>
      </c>
      <c r="Q432" s="6">
        <v>245770.631720131</v>
      </c>
      <c r="R432" s="6">
        <v>77422.844774185505</v>
      </c>
      <c r="S432" s="6">
        <v>320389.092586882</v>
      </c>
      <c r="T432" s="6">
        <v>5668734</v>
      </c>
      <c r="U432" s="6">
        <v>1781681.4425329601</v>
      </c>
      <c r="V432" s="6">
        <v>6635408.6907408703</v>
      </c>
      <c r="W432" s="6">
        <v>808483.52843199298</v>
      </c>
      <c r="X432" s="6">
        <v>0</v>
      </c>
      <c r="Y432" s="6">
        <v>0</v>
      </c>
      <c r="Z432" s="6">
        <v>0</v>
      </c>
      <c r="AA432" s="6">
        <v>6523.2233601068401</v>
      </c>
      <c r="AB432" s="6">
        <v>0</v>
      </c>
      <c r="AC432" s="6">
        <v>263269.91644976998</v>
      </c>
      <c r="AD432" s="6">
        <v>57119.176137111397</v>
      </c>
      <c r="AE432" s="6">
        <v>0</v>
      </c>
      <c r="AF432" s="6">
        <v>0</v>
      </c>
      <c r="AG432" s="6">
        <v>0</v>
      </c>
      <c r="AH432" s="6">
        <v>0</v>
      </c>
      <c r="AI432" s="6">
        <v>0</v>
      </c>
      <c r="AJ432" s="6">
        <v>7770804.5351198502</v>
      </c>
      <c r="AK432" s="6">
        <v>11511.7369893917</v>
      </c>
      <c r="AL432" s="6">
        <v>330.98244656580999</v>
      </c>
      <c r="AM432" s="6">
        <v>93035.839999999997</v>
      </c>
      <c r="AN432" s="6">
        <v>3114.0254556764899</v>
      </c>
      <c r="AO432" s="6">
        <v>13486.8030984783</v>
      </c>
      <c r="AP432" s="6">
        <v>3753.1860850462999</v>
      </c>
      <c r="AQ432" s="6">
        <v>20687.885194392002</v>
      </c>
      <c r="AR432" s="6">
        <v>11511.7369893917</v>
      </c>
      <c r="AS432" s="6">
        <v>11708.2342590233</v>
      </c>
      <c r="AT432" s="6">
        <v>0</v>
      </c>
      <c r="AU432" t="s">
        <v>2973</v>
      </c>
      <c r="AV432" t="s">
        <v>2973</v>
      </c>
    </row>
    <row r="433" spans="1:48" x14ac:dyDescent="0.45">
      <c r="A433" s="5" t="s">
        <v>881</v>
      </c>
      <c r="B433">
        <v>2100</v>
      </c>
      <c r="C433" t="s">
        <v>882</v>
      </c>
      <c r="D433">
        <v>3950</v>
      </c>
      <c r="E433" t="s">
        <v>883</v>
      </c>
      <c r="F433" t="s">
        <v>2750</v>
      </c>
      <c r="G433" t="s">
        <v>2744</v>
      </c>
      <c r="H433" t="s">
        <v>2745</v>
      </c>
      <c r="I433" t="s">
        <v>2742</v>
      </c>
      <c r="J433">
        <v>139.07867283490799</v>
      </c>
      <c r="K433">
        <v>1</v>
      </c>
      <c r="L433">
        <v>2</v>
      </c>
      <c r="M433">
        <v>2</v>
      </c>
      <c r="N433" s="6">
        <v>1150659.03265722</v>
      </c>
      <c r="O433" s="6">
        <v>517837.05660741299</v>
      </c>
      <c r="P433" s="6">
        <v>305630.84723353398</v>
      </c>
      <c r="Q433" s="6">
        <v>46875.181179443003</v>
      </c>
      <c r="R433" s="6">
        <v>77321.689636913899</v>
      </c>
      <c r="S433" s="6">
        <v>57551.855835847004</v>
      </c>
      <c r="T433" s="6">
        <v>1374690.2</v>
      </c>
      <c r="U433" s="6">
        <v>723633.60731452098</v>
      </c>
      <c r="V433" s="6">
        <v>1845035.33221303</v>
      </c>
      <c r="W433" s="6">
        <v>253288.47510149199</v>
      </c>
      <c r="X433" s="6">
        <v>0</v>
      </c>
      <c r="Y433" s="6">
        <v>0</v>
      </c>
      <c r="Z433" s="6">
        <v>0</v>
      </c>
      <c r="AA433" s="6">
        <v>0</v>
      </c>
      <c r="AB433" s="6">
        <v>0</v>
      </c>
      <c r="AC433" s="6">
        <v>56453.819234210598</v>
      </c>
      <c r="AD433" s="6">
        <v>1098.0366016364001</v>
      </c>
      <c r="AE433" s="6">
        <v>0</v>
      </c>
      <c r="AF433" s="6">
        <v>0</v>
      </c>
      <c r="AG433" s="6">
        <v>0</v>
      </c>
      <c r="AH433" s="6">
        <v>0</v>
      </c>
      <c r="AI433" s="6">
        <v>0</v>
      </c>
      <c r="AJ433" s="6">
        <v>2155875.6631503701</v>
      </c>
      <c r="AK433" s="6">
        <v>15501.1233513098</v>
      </c>
      <c r="AL433" s="6">
        <v>330.98244656580999</v>
      </c>
      <c r="AM433" s="6">
        <v>93035.839999999997</v>
      </c>
      <c r="AN433" s="6">
        <v>5616.86020744294</v>
      </c>
      <c r="AO433" s="6">
        <v>16085.962026105801</v>
      </c>
      <c r="AP433" s="6">
        <v>330.98244656580999</v>
      </c>
      <c r="AQ433" s="6">
        <v>40734.411818744898</v>
      </c>
      <c r="AR433" s="6">
        <v>13348.075572283</v>
      </c>
      <c r="AS433" s="6">
        <v>15501.1233513098</v>
      </c>
      <c r="AT433" s="6">
        <v>0</v>
      </c>
      <c r="AU433" t="s">
        <v>2973</v>
      </c>
      <c r="AV433" t="s">
        <v>2973</v>
      </c>
    </row>
    <row r="434" spans="1:48" x14ac:dyDescent="0.45">
      <c r="A434" s="5" t="s">
        <v>884</v>
      </c>
      <c r="B434">
        <v>2100</v>
      </c>
      <c r="C434" t="s">
        <v>882</v>
      </c>
      <c r="D434">
        <v>632</v>
      </c>
      <c r="E434" t="s">
        <v>885</v>
      </c>
      <c r="F434" t="s">
        <v>2739</v>
      </c>
      <c r="G434" t="s">
        <v>2747</v>
      </c>
      <c r="H434" t="s">
        <v>2745</v>
      </c>
      <c r="I434" t="s">
        <v>2742</v>
      </c>
      <c r="J434">
        <v>646.21271633204003</v>
      </c>
      <c r="K434">
        <v>1</v>
      </c>
      <c r="L434">
        <v>1</v>
      </c>
      <c r="M434">
        <v>2</v>
      </c>
      <c r="N434" s="6">
        <v>4201695.5855272301</v>
      </c>
      <c r="O434" s="6">
        <v>1654993.5936026899</v>
      </c>
      <c r="P434" s="6">
        <v>1363253.85612145</v>
      </c>
      <c r="Q434" s="6">
        <v>217800.02311699899</v>
      </c>
      <c r="R434" s="6">
        <v>145669.60577743</v>
      </c>
      <c r="S434" s="6">
        <v>267407.937763252</v>
      </c>
      <c r="T434" s="6">
        <v>4221134.1100000003</v>
      </c>
      <c r="U434" s="6">
        <v>3362278.5541457999</v>
      </c>
      <c r="V434" s="6">
        <v>6713030.8779800702</v>
      </c>
      <c r="W434" s="6">
        <v>870381.786165723</v>
      </c>
      <c r="X434" s="6">
        <v>0</v>
      </c>
      <c r="Y434" s="6">
        <v>0</v>
      </c>
      <c r="Z434" s="6">
        <v>0</v>
      </c>
      <c r="AA434" s="6">
        <v>0</v>
      </c>
      <c r="AB434" s="6">
        <v>0</v>
      </c>
      <c r="AC434" s="6">
        <v>262306.03967555799</v>
      </c>
      <c r="AD434" s="6">
        <v>5101.8980876941996</v>
      </c>
      <c r="AE434" s="6">
        <v>0</v>
      </c>
      <c r="AF434" s="6">
        <v>0</v>
      </c>
      <c r="AG434" s="6">
        <v>0</v>
      </c>
      <c r="AH434" s="6">
        <v>0</v>
      </c>
      <c r="AI434" s="6">
        <v>0</v>
      </c>
      <c r="AJ434" s="6">
        <v>7850820.6019090498</v>
      </c>
      <c r="AK434" s="6">
        <v>12148.9726269563</v>
      </c>
      <c r="AL434" s="6">
        <v>330.98244656580999</v>
      </c>
      <c r="AM434" s="6">
        <v>93035.839999999997</v>
      </c>
      <c r="AN434" s="6">
        <v>5616.86020744294</v>
      </c>
      <c r="AO434" s="6">
        <v>16085.962026105801</v>
      </c>
      <c r="AP434" s="6">
        <v>3753.1860850462999</v>
      </c>
      <c r="AQ434" s="6">
        <v>20687.885194392002</v>
      </c>
      <c r="AR434" s="6">
        <v>12148.9726269563</v>
      </c>
      <c r="AS434" s="6">
        <v>12715.182311061501</v>
      </c>
      <c r="AT434" s="6">
        <v>0</v>
      </c>
      <c r="AU434" t="s">
        <v>2973</v>
      </c>
      <c r="AV434" t="s">
        <v>2973</v>
      </c>
    </row>
    <row r="435" spans="1:48" x14ac:dyDescent="0.45">
      <c r="A435" s="5" t="s">
        <v>886</v>
      </c>
      <c r="B435">
        <v>2100</v>
      </c>
      <c r="C435" t="s">
        <v>882</v>
      </c>
      <c r="D435">
        <v>631</v>
      </c>
      <c r="E435" t="s">
        <v>887</v>
      </c>
      <c r="F435" t="s">
        <v>2739</v>
      </c>
      <c r="G435" t="s">
        <v>2740</v>
      </c>
      <c r="H435" t="s">
        <v>2745</v>
      </c>
      <c r="I435" t="s">
        <v>2742</v>
      </c>
      <c r="J435">
        <v>136.10355181284399</v>
      </c>
      <c r="K435">
        <v>1</v>
      </c>
      <c r="L435">
        <v>1</v>
      </c>
      <c r="M435">
        <v>2</v>
      </c>
      <c r="N435" s="6">
        <v>1135553.63416326</v>
      </c>
      <c r="O435" s="6">
        <v>476672.70323543798</v>
      </c>
      <c r="P435" s="6">
        <v>309885.28197370103</v>
      </c>
      <c r="Q435" s="6">
        <v>45872.444137901497</v>
      </c>
      <c r="R435" s="6">
        <v>30075.4235545466</v>
      </c>
      <c r="S435" s="6">
        <v>56320.727204361901</v>
      </c>
      <c r="T435" s="6">
        <v>1289905.5900000001</v>
      </c>
      <c r="U435" s="6">
        <v>708153.89706484997</v>
      </c>
      <c r="V435" s="6">
        <v>1824827.9872675701</v>
      </c>
      <c r="W435" s="6">
        <v>173231.49979728</v>
      </c>
      <c r="X435" s="6">
        <v>0</v>
      </c>
      <c r="Y435" s="6">
        <v>0</v>
      </c>
      <c r="Z435" s="6">
        <v>0</v>
      </c>
      <c r="AA435" s="6">
        <v>0</v>
      </c>
      <c r="AB435" s="6">
        <v>0</v>
      </c>
      <c r="AC435" s="6">
        <v>55246.179407370597</v>
      </c>
      <c r="AD435" s="6">
        <v>1074.5477969912699</v>
      </c>
      <c r="AE435" s="6">
        <v>0</v>
      </c>
      <c r="AF435" s="6">
        <v>0</v>
      </c>
      <c r="AG435" s="6">
        <v>0</v>
      </c>
      <c r="AH435" s="6">
        <v>0</v>
      </c>
      <c r="AI435" s="6">
        <v>0</v>
      </c>
      <c r="AJ435" s="6">
        <v>2054380.2142692099</v>
      </c>
      <c r="AK435" s="6">
        <v>15094.2439554714</v>
      </c>
      <c r="AL435" s="6">
        <v>330.98244656580999</v>
      </c>
      <c r="AM435" s="6">
        <v>93035.839999999997</v>
      </c>
      <c r="AN435" s="6">
        <v>5616.86020744294</v>
      </c>
      <c r="AO435" s="6">
        <v>16085.962026105801</v>
      </c>
      <c r="AP435" s="6">
        <v>330.98244656580999</v>
      </c>
      <c r="AQ435" s="6">
        <v>93035.839999999997</v>
      </c>
      <c r="AR435" s="6">
        <v>5616.86020744295</v>
      </c>
      <c r="AS435" s="6">
        <v>16085.962026105801</v>
      </c>
      <c r="AT435" s="6">
        <v>0</v>
      </c>
      <c r="AU435" t="s">
        <v>2973</v>
      </c>
      <c r="AV435" t="s">
        <v>2973</v>
      </c>
    </row>
    <row r="436" spans="1:48" x14ac:dyDescent="0.45">
      <c r="A436" s="5" t="s">
        <v>888</v>
      </c>
      <c r="B436">
        <v>2100</v>
      </c>
      <c r="C436" t="s">
        <v>882</v>
      </c>
      <c r="D436">
        <v>633</v>
      </c>
      <c r="E436" t="s">
        <v>889</v>
      </c>
      <c r="F436" t="s">
        <v>2739</v>
      </c>
      <c r="G436" t="s">
        <v>2740</v>
      </c>
      <c r="H436" t="s">
        <v>2745</v>
      </c>
      <c r="I436" t="s">
        <v>2742</v>
      </c>
      <c r="J436">
        <v>360.77109121568901</v>
      </c>
      <c r="K436">
        <v>1</v>
      </c>
      <c r="L436">
        <v>1</v>
      </c>
      <c r="M436">
        <v>2</v>
      </c>
      <c r="N436" s="6">
        <v>2901763.3481272398</v>
      </c>
      <c r="O436" s="6">
        <v>666643.76189092698</v>
      </c>
      <c r="P436" s="6">
        <v>773761.35493715596</v>
      </c>
      <c r="Q436" s="6">
        <v>121594.561699011</v>
      </c>
      <c r="R436" s="6">
        <v>79721.236000278004</v>
      </c>
      <c r="S436" s="6">
        <v>149289.93359055999</v>
      </c>
      <c r="T436" s="6">
        <v>2666373.41</v>
      </c>
      <c r="U436" s="6">
        <v>1877110.8526546201</v>
      </c>
      <c r="V436" s="6">
        <v>4127472.3758879001</v>
      </c>
      <c r="W436" s="6">
        <v>416011.88676670898</v>
      </c>
      <c r="X436" s="6">
        <v>0</v>
      </c>
      <c r="Y436" s="6">
        <v>0</v>
      </c>
      <c r="Z436" s="6">
        <v>0</v>
      </c>
      <c r="AA436" s="6">
        <v>0</v>
      </c>
      <c r="AB436" s="6">
        <v>0</v>
      </c>
      <c r="AC436" s="6">
        <v>146441.61864124099</v>
      </c>
      <c r="AD436" s="6">
        <v>2848.3149493191399</v>
      </c>
      <c r="AE436" s="6">
        <v>0</v>
      </c>
      <c r="AF436" s="6">
        <v>0</v>
      </c>
      <c r="AG436" s="6">
        <v>0</v>
      </c>
      <c r="AH436" s="6">
        <v>0</v>
      </c>
      <c r="AI436" s="6">
        <v>0</v>
      </c>
      <c r="AJ436" s="6">
        <v>4692774.1962451702</v>
      </c>
      <c r="AK436" s="6">
        <v>13007.622590912</v>
      </c>
      <c r="AL436" s="6">
        <v>330.98244656580999</v>
      </c>
      <c r="AM436" s="6">
        <v>93035.839999999997</v>
      </c>
      <c r="AN436" s="6">
        <v>5616.86020744294</v>
      </c>
      <c r="AO436" s="6">
        <v>16085.962026105801</v>
      </c>
      <c r="AP436" s="6">
        <v>330.98244656580999</v>
      </c>
      <c r="AQ436" s="6">
        <v>93035.839999999997</v>
      </c>
      <c r="AR436" s="6">
        <v>5616.86020744295</v>
      </c>
      <c r="AS436" s="6">
        <v>16085.962026105801</v>
      </c>
      <c r="AT436" s="6">
        <v>0</v>
      </c>
      <c r="AU436" t="s">
        <v>2973</v>
      </c>
      <c r="AV436" t="s">
        <v>2973</v>
      </c>
    </row>
    <row r="437" spans="1:48" x14ac:dyDescent="0.45">
      <c r="A437" s="5" t="s">
        <v>890</v>
      </c>
      <c r="B437">
        <v>2100</v>
      </c>
      <c r="C437" t="s">
        <v>882</v>
      </c>
      <c r="D437">
        <v>635</v>
      </c>
      <c r="E437" t="s">
        <v>891</v>
      </c>
      <c r="F437" t="s">
        <v>2739</v>
      </c>
      <c r="G437" t="s">
        <v>2740</v>
      </c>
      <c r="H437" t="s">
        <v>2745</v>
      </c>
      <c r="I437" t="s">
        <v>2742</v>
      </c>
      <c r="J437">
        <v>127.57390110631</v>
      </c>
      <c r="K437">
        <v>1</v>
      </c>
      <c r="L437">
        <v>1</v>
      </c>
      <c r="M437">
        <v>2</v>
      </c>
      <c r="N437" s="6">
        <v>301972.52174340503</v>
      </c>
      <c r="O437" s="6">
        <v>112978.304938232</v>
      </c>
      <c r="P437" s="6">
        <v>199701.84985197999</v>
      </c>
      <c r="Q437" s="6">
        <v>42997.604206542797</v>
      </c>
      <c r="R437" s="6">
        <v>28190.5876751412</v>
      </c>
      <c r="S437" s="6">
        <v>52791.090216990597</v>
      </c>
      <c r="T437" s="6">
        <v>22067.19</v>
      </c>
      <c r="U437" s="6">
        <v>663773.67841530195</v>
      </c>
      <c r="V437" s="6">
        <v>541799.666779113</v>
      </c>
      <c r="W437" s="6">
        <v>144041.20163618799</v>
      </c>
      <c r="X437" s="6">
        <v>0</v>
      </c>
      <c r="Y437" s="6">
        <v>0</v>
      </c>
      <c r="Z437" s="6">
        <v>0</v>
      </c>
      <c r="AA437" s="6">
        <v>0</v>
      </c>
      <c r="AB437" s="6">
        <v>0</v>
      </c>
      <c r="AC437" s="6">
        <v>51783.8846550382</v>
      </c>
      <c r="AD437" s="6">
        <v>1007.20556195236</v>
      </c>
      <c r="AE437" s="6">
        <v>0</v>
      </c>
      <c r="AF437" s="6">
        <v>0</v>
      </c>
      <c r="AG437" s="6">
        <v>0</v>
      </c>
      <c r="AH437" s="6">
        <v>0</v>
      </c>
      <c r="AI437" s="6">
        <v>0</v>
      </c>
      <c r="AJ437" s="6">
        <v>738631.95863229304</v>
      </c>
      <c r="AK437" s="6">
        <v>5789.8359478462298</v>
      </c>
      <c r="AL437" s="6">
        <v>330.98244656580999</v>
      </c>
      <c r="AM437" s="6">
        <v>93035.839999999997</v>
      </c>
      <c r="AN437" s="6">
        <v>5616.86020744294</v>
      </c>
      <c r="AO437" s="6">
        <v>16085.962026105801</v>
      </c>
      <c r="AP437" s="6">
        <v>330.98244656580999</v>
      </c>
      <c r="AQ437" s="6">
        <v>93035.839999999997</v>
      </c>
      <c r="AR437" s="6">
        <v>5616.86020744295</v>
      </c>
      <c r="AS437" s="6">
        <v>16085.962026105801</v>
      </c>
      <c r="AT437" s="6">
        <v>0</v>
      </c>
      <c r="AU437" t="s">
        <v>2973</v>
      </c>
      <c r="AV437" t="s">
        <v>2973</v>
      </c>
    </row>
    <row r="438" spans="1:48" x14ac:dyDescent="0.45">
      <c r="A438" s="5" t="s">
        <v>892</v>
      </c>
      <c r="B438">
        <v>2100</v>
      </c>
      <c r="C438" t="s">
        <v>882</v>
      </c>
      <c r="D438">
        <v>2100</v>
      </c>
      <c r="E438" t="s">
        <v>882</v>
      </c>
      <c r="F438" t="s">
        <v>1</v>
      </c>
      <c r="G438" t="s">
        <v>1</v>
      </c>
      <c r="H438" t="s">
        <v>2743</v>
      </c>
      <c r="I438" t="s">
        <v>2742</v>
      </c>
      <c r="J438">
        <v>93.948204933785107</v>
      </c>
      <c r="K438">
        <v>1</v>
      </c>
      <c r="L438">
        <v>1</v>
      </c>
      <c r="M438">
        <v>2</v>
      </c>
      <c r="N438" s="6">
        <v>209567.293367607</v>
      </c>
      <c r="O438" s="6">
        <v>80413.025015973297</v>
      </c>
      <c r="P438" s="6">
        <v>146412.56642170899</v>
      </c>
      <c r="Q438" s="6">
        <v>31664.374112788399</v>
      </c>
      <c r="R438" s="6">
        <v>20760.163992327802</v>
      </c>
      <c r="S438" s="6">
        <v>38876.510942867702</v>
      </c>
      <c r="T438" s="6">
        <v>0</v>
      </c>
      <c r="U438" s="6">
        <v>488817.42291040497</v>
      </c>
      <c r="V438" s="6">
        <v>385138.65510076698</v>
      </c>
      <c r="W438" s="6">
        <v>103678.767809638</v>
      </c>
      <c r="X438" s="6">
        <v>0</v>
      </c>
      <c r="Y438" s="6">
        <v>0</v>
      </c>
      <c r="Z438" s="6">
        <v>0</v>
      </c>
      <c r="AA438" s="6">
        <v>0</v>
      </c>
      <c r="AB438" s="6">
        <v>0</v>
      </c>
      <c r="AC438" s="6">
        <v>38134.782785900097</v>
      </c>
      <c r="AD438" s="6">
        <v>741.72815696758596</v>
      </c>
      <c r="AE438" s="6">
        <v>0</v>
      </c>
      <c r="AF438" s="6">
        <v>0</v>
      </c>
      <c r="AG438" s="6">
        <v>0</v>
      </c>
      <c r="AH438" s="6">
        <v>0</v>
      </c>
      <c r="AI438" s="6">
        <v>0</v>
      </c>
      <c r="AJ438" s="6">
        <v>527693.933853272</v>
      </c>
      <c r="AK438" s="6">
        <v>5616.86020744294</v>
      </c>
      <c r="AL438" s="6">
        <v>330.98244656580999</v>
      </c>
      <c r="AM438" s="6">
        <v>93035.839999999997</v>
      </c>
      <c r="AN438" s="6">
        <v>5616.86020744294</v>
      </c>
      <c r="AO438" s="6">
        <v>16085.962026105801</v>
      </c>
      <c r="AP438" s="6">
        <v>634.54287297753501</v>
      </c>
      <c r="AQ438" s="6">
        <v>40331.279999999999</v>
      </c>
      <c r="AR438" s="6">
        <v>5616.86020744294</v>
      </c>
      <c r="AS438" s="6">
        <v>5616.86020744294</v>
      </c>
      <c r="AT438" s="6">
        <v>0</v>
      </c>
      <c r="AU438" t="s">
        <v>2973</v>
      </c>
      <c r="AV438" t="s">
        <v>2977</v>
      </c>
    </row>
    <row r="439" spans="1:48" x14ac:dyDescent="0.45">
      <c r="A439" s="5" t="s">
        <v>893</v>
      </c>
      <c r="B439">
        <v>2100</v>
      </c>
      <c r="C439" t="s">
        <v>882</v>
      </c>
      <c r="D439">
        <v>640</v>
      </c>
      <c r="E439" t="s">
        <v>894</v>
      </c>
      <c r="F439" t="s">
        <v>2739</v>
      </c>
      <c r="G439" t="s">
        <v>2740</v>
      </c>
      <c r="H439" t="s">
        <v>2745</v>
      </c>
      <c r="I439" t="s">
        <v>2742</v>
      </c>
      <c r="J439">
        <v>332.42182397911802</v>
      </c>
      <c r="K439">
        <v>2</v>
      </c>
      <c r="L439">
        <v>1</v>
      </c>
      <c r="M439">
        <v>2</v>
      </c>
      <c r="N439" s="6">
        <v>3016477.6931215101</v>
      </c>
      <c r="O439" s="6">
        <v>678974.94230384799</v>
      </c>
      <c r="P439" s="6">
        <v>824983.155257529</v>
      </c>
      <c r="Q439" s="6">
        <v>112039.703208263</v>
      </c>
      <c r="R439" s="6">
        <v>73456.768921760202</v>
      </c>
      <c r="S439" s="6">
        <v>137558.78238100099</v>
      </c>
      <c r="T439" s="6">
        <v>2976324.13</v>
      </c>
      <c r="U439" s="6">
        <v>1729608.13281291</v>
      </c>
      <c r="V439" s="6">
        <v>3876967.5816869498</v>
      </c>
      <c r="W439" s="6">
        <v>828964.68112596404</v>
      </c>
      <c r="X439" s="6">
        <v>0</v>
      </c>
      <c r="Y439" s="6">
        <v>0</v>
      </c>
      <c r="Z439" s="6">
        <v>0</v>
      </c>
      <c r="AA439" s="6">
        <v>0</v>
      </c>
      <c r="AB439" s="6">
        <v>0</v>
      </c>
      <c r="AC439" s="6">
        <v>134934.28703263699</v>
      </c>
      <c r="AD439" s="6">
        <v>2624.49534836366</v>
      </c>
      <c r="AE439" s="6">
        <v>0</v>
      </c>
      <c r="AF439" s="6">
        <v>0</v>
      </c>
      <c r="AG439" s="6">
        <v>0</v>
      </c>
      <c r="AH439" s="6">
        <v>0</v>
      </c>
      <c r="AI439" s="6">
        <v>0</v>
      </c>
      <c r="AJ439" s="6">
        <v>4843491.0451939097</v>
      </c>
      <c r="AK439" s="6">
        <v>14570.316073767101</v>
      </c>
      <c r="AL439" s="6">
        <v>330.98244656580999</v>
      </c>
      <c r="AM439" s="6">
        <v>93035.839999999997</v>
      </c>
      <c r="AN439" s="6">
        <v>5616.86020744294</v>
      </c>
      <c r="AO439" s="6">
        <v>16085.962026105801</v>
      </c>
      <c r="AP439" s="6">
        <v>330.98244656580999</v>
      </c>
      <c r="AQ439" s="6">
        <v>93035.839999999997</v>
      </c>
      <c r="AR439" s="6">
        <v>5616.86020744295</v>
      </c>
      <c r="AS439" s="6">
        <v>16085.962026105801</v>
      </c>
      <c r="AT439" s="6">
        <v>0</v>
      </c>
      <c r="AU439" t="s">
        <v>2973</v>
      </c>
      <c r="AV439" t="s">
        <v>2973</v>
      </c>
    </row>
    <row r="440" spans="1:48" x14ac:dyDescent="0.45">
      <c r="A440" s="5" t="s">
        <v>895</v>
      </c>
      <c r="B440">
        <v>2100</v>
      </c>
      <c r="C440" t="s">
        <v>882</v>
      </c>
      <c r="D440">
        <v>641</v>
      </c>
      <c r="E440" t="s">
        <v>896</v>
      </c>
      <c r="F440" t="s">
        <v>2739</v>
      </c>
      <c r="G440" t="s">
        <v>2740</v>
      </c>
      <c r="H440" t="s">
        <v>2745</v>
      </c>
      <c r="I440" t="s">
        <v>2742</v>
      </c>
      <c r="J440">
        <v>346.209619078439</v>
      </c>
      <c r="K440">
        <v>1</v>
      </c>
      <c r="L440">
        <v>1</v>
      </c>
      <c r="M440">
        <v>2</v>
      </c>
      <c r="N440" s="6">
        <v>2476049.2721585101</v>
      </c>
      <c r="O440" s="6">
        <v>680583.99065927602</v>
      </c>
      <c r="P440" s="6">
        <v>685561.78578085697</v>
      </c>
      <c r="Q440" s="6">
        <v>116686.75210635499</v>
      </c>
      <c r="R440" s="6">
        <v>76503.520986435105</v>
      </c>
      <c r="S440" s="6">
        <v>143264.28114422399</v>
      </c>
      <c r="T440" s="6">
        <v>2234038.5699999998</v>
      </c>
      <c r="U440" s="6">
        <v>1801346.7516914399</v>
      </c>
      <c r="V440" s="6">
        <v>3612889.7425594698</v>
      </c>
      <c r="W440" s="6">
        <v>422495.57913196803</v>
      </c>
      <c r="X440" s="6">
        <v>0</v>
      </c>
      <c r="Y440" s="6">
        <v>0</v>
      </c>
      <c r="Z440" s="6">
        <v>0</v>
      </c>
      <c r="AA440" s="6">
        <v>0</v>
      </c>
      <c r="AB440" s="6">
        <v>0</v>
      </c>
      <c r="AC440" s="6">
        <v>140530.930114638</v>
      </c>
      <c r="AD440" s="6">
        <v>2733.35102958581</v>
      </c>
      <c r="AE440" s="6">
        <v>0</v>
      </c>
      <c r="AF440" s="6">
        <v>0</v>
      </c>
      <c r="AG440" s="6">
        <v>0</v>
      </c>
      <c r="AH440" s="6">
        <v>0</v>
      </c>
      <c r="AI440" s="6">
        <v>0</v>
      </c>
      <c r="AJ440" s="6">
        <v>4178649.6028356599</v>
      </c>
      <c r="AK440" s="6">
        <v>12069.709715052501</v>
      </c>
      <c r="AL440" s="6">
        <v>330.98244656580999</v>
      </c>
      <c r="AM440" s="6">
        <v>93035.839999999997</v>
      </c>
      <c r="AN440" s="6">
        <v>5616.86020744294</v>
      </c>
      <c r="AO440" s="6">
        <v>16085.962026105801</v>
      </c>
      <c r="AP440" s="6">
        <v>330.98244656580999</v>
      </c>
      <c r="AQ440" s="6">
        <v>93035.839999999997</v>
      </c>
      <c r="AR440" s="6">
        <v>5616.86020744295</v>
      </c>
      <c r="AS440" s="6">
        <v>16085.962026105801</v>
      </c>
      <c r="AT440" s="6">
        <v>0</v>
      </c>
      <c r="AU440" t="s">
        <v>2973</v>
      </c>
      <c r="AV440" t="s">
        <v>2973</v>
      </c>
    </row>
    <row r="441" spans="1:48" x14ac:dyDescent="0.45">
      <c r="A441" s="5" t="s">
        <v>897</v>
      </c>
      <c r="B441">
        <v>2100</v>
      </c>
      <c r="C441" t="s">
        <v>882</v>
      </c>
      <c r="D441">
        <v>642</v>
      </c>
      <c r="E441" t="s">
        <v>898</v>
      </c>
      <c r="F441" t="s">
        <v>2739</v>
      </c>
      <c r="G441" t="s">
        <v>2747</v>
      </c>
      <c r="H441" t="s">
        <v>2745</v>
      </c>
      <c r="I441" t="s">
        <v>2742</v>
      </c>
      <c r="J441">
        <v>580.89563987254201</v>
      </c>
      <c r="K441">
        <v>1</v>
      </c>
      <c r="L441">
        <v>1</v>
      </c>
      <c r="M441">
        <v>2</v>
      </c>
      <c r="N441" s="6">
        <v>3861143.1561256601</v>
      </c>
      <c r="O441" s="6">
        <v>1470664.61147689</v>
      </c>
      <c r="P441" s="6">
        <v>1233456.4029844401</v>
      </c>
      <c r="Q441" s="6">
        <v>195785.50621989701</v>
      </c>
      <c r="R441" s="6">
        <v>150138.30302883801</v>
      </c>
      <c r="S441" s="6">
        <v>240379.21444146501</v>
      </c>
      <c r="T441" s="6">
        <v>3888757.59</v>
      </c>
      <c r="U441" s="6">
        <v>3022430.38983572</v>
      </c>
      <c r="V441" s="6">
        <v>6019462.4611908598</v>
      </c>
      <c r="W441" s="6">
        <v>891725.51864487096</v>
      </c>
      <c r="X441" s="6">
        <v>0</v>
      </c>
      <c r="Y441" s="6">
        <v>0</v>
      </c>
      <c r="Z441" s="6">
        <v>0</v>
      </c>
      <c r="AA441" s="6">
        <v>0</v>
      </c>
      <c r="AB441" s="6">
        <v>0</v>
      </c>
      <c r="AC441" s="6">
        <v>235792.99959407299</v>
      </c>
      <c r="AD441" s="6">
        <v>4586.2148473921598</v>
      </c>
      <c r="AE441" s="6">
        <v>0</v>
      </c>
      <c r="AF441" s="6">
        <v>0</v>
      </c>
      <c r="AG441" s="6">
        <v>0</v>
      </c>
      <c r="AH441" s="6">
        <v>0</v>
      </c>
      <c r="AI441" s="6">
        <v>0</v>
      </c>
      <c r="AJ441" s="6">
        <v>7151567.1942771897</v>
      </c>
      <c r="AK441" s="6">
        <v>12311.2771096825</v>
      </c>
      <c r="AL441" s="6">
        <v>330.98244656580999</v>
      </c>
      <c r="AM441" s="6">
        <v>93035.839999999997</v>
      </c>
      <c r="AN441" s="6">
        <v>5616.86020744294</v>
      </c>
      <c r="AO441" s="6">
        <v>16085.962026105801</v>
      </c>
      <c r="AP441" s="6">
        <v>3753.1860850462999</v>
      </c>
      <c r="AQ441" s="6">
        <v>20687.885194392002</v>
      </c>
      <c r="AR441" s="6">
        <v>12148.9726269563</v>
      </c>
      <c r="AS441" s="6">
        <v>12715.182311061501</v>
      </c>
      <c r="AT441" s="6">
        <v>0</v>
      </c>
      <c r="AU441" t="s">
        <v>2973</v>
      </c>
      <c r="AV441" t="s">
        <v>2973</v>
      </c>
    </row>
    <row r="442" spans="1:48" x14ac:dyDescent="0.45">
      <c r="A442" s="5" t="s">
        <v>899</v>
      </c>
      <c r="B442">
        <v>2100</v>
      </c>
      <c r="C442" t="s">
        <v>882</v>
      </c>
      <c r="D442">
        <v>637</v>
      </c>
      <c r="E442" t="s">
        <v>900</v>
      </c>
      <c r="F442" t="s">
        <v>2739</v>
      </c>
      <c r="G442" t="s">
        <v>2740</v>
      </c>
      <c r="H442" t="s">
        <v>2745</v>
      </c>
      <c r="I442" t="s">
        <v>2742</v>
      </c>
      <c r="J442">
        <v>241.532379632089</v>
      </c>
      <c r="K442">
        <v>1</v>
      </c>
      <c r="L442">
        <v>1</v>
      </c>
      <c r="M442">
        <v>2</v>
      </c>
      <c r="N442" s="6">
        <v>1918275.1403830401</v>
      </c>
      <c r="O442" s="6">
        <v>545512.30021722999</v>
      </c>
      <c r="P442" s="6">
        <v>540483.761272904</v>
      </c>
      <c r="Q442" s="6">
        <v>81406.256079217404</v>
      </c>
      <c r="R442" s="6">
        <v>73089.053228468794</v>
      </c>
      <c r="S442" s="6">
        <v>99948.010783620994</v>
      </c>
      <c r="T442" s="6">
        <v>1902060.91</v>
      </c>
      <c r="U442" s="6">
        <v>1256705.6011808601</v>
      </c>
      <c r="V442" s="6">
        <v>2858954.6301367301</v>
      </c>
      <c r="W442" s="6">
        <v>299811.88104413101</v>
      </c>
      <c r="X442" s="6">
        <v>0</v>
      </c>
      <c r="Y442" s="6">
        <v>0</v>
      </c>
      <c r="Z442" s="6">
        <v>0</v>
      </c>
      <c r="AA442" s="6">
        <v>0</v>
      </c>
      <c r="AB442" s="6">
        <v>0</v>
      </c>
      <c r="AC442" s="6">
        <v>98041.0944469143</v>
      </c>
      <c r="AD442" s="6">
        <v>1906.9163367067099</v>
      </c>
      <c r="AE442" s="6">
        <v>0</v>
      </c>
      <c r="AF442" s="6">
        <v>0</v>
      </c>
      <c r="AG442" s="6">
        <v>0</v>
      </c>
      <c r="AH442" s="6">
        <v>0</v>
      </c>
      <c r="AI442" s="6">
        <v>0</v>
      </c>
      <c r="AJ442" s="6">
        <v>3258714.5219644899</v>
      </c>
      <c r="AK442" s="6">
        <v>13491.8329663637</v>
      </c>
      <c r="AL442" s="6">
        <v>330.98244656580999</v>
      </c>
      <c r="AM442" s="6">
        <v>93035.839999999997</v>
      </c>
      <c r="AN442" s="6">
        <v>5616.86020744294</v>
      </c>
      <c r="AO442" s="6">
        <v>16085.962026105801</v>
      </c>
      <c r="AP442" s="6">
        <v>330.98244656580999</v>
      </c>
      <c r="AQ442" s="6">
        <v>93035.839999999997</v>
      </c>
      <c r="AR442" s="6">
        <v>5616.86020744295</v>
      </c>
      <c r="AS442" s="6">
        <v>16085.962026105801</v>
      </c>
      <c r="AT442" s="6">
        <v>0</v>
      </c>
      <c r="AU442" t="s">
        <v>2973</v>
      </c>
      <c r="AV442" t="s">
        <v>2973</v>
      </c>
    </row>
    <row r="443" spans="1:48" x14ac:dyDescent="0.45">
      <c r="A443" s="5" t="s">
        <v>901</v>
      </c>
      <c r="B443">
        <v>2100</v>
      </c>
      <c r="C443" t="s">
        <v>882</v>
      </c>
      <c r="D443">
        <v>638</v>
      </c>
      <c r="E443" t="s">
        <v>902</v>
      </c>
      <c r="F443" t="s">
        <v>2739</v>
      </c>
      <c r="G443" t="s">
        <v>2747</v>
      </c>
      <c r="H443" t="s">
        <v>2745</v>
      </c>
      <c r="I443" t="s">
        <v>2742</v>
      </c>
      <c r="J443">
        <v>593.57116209929598</v>
      </c>
      <c r="K443">
        <v>1</v>
      </c>
      <c r="L443">
        <v>1</v>
      </c>
      <c r="M443">
        <v>2</v>
      </c>
      <c r="N443" s="6">
        <v>4069670.6231972598</v>
      </c>
      <c r="O443" s="6">
        <v>1582507.6728469201</v>
      </c>
      <c r="P443" s="6">
        <v>1318340.99384924</v>
      </c>
      <c r="Q443" s="6">
        <v>200057.67382699301</v>
      </c>
      <c r="R443" s="6">
        <v>131164.13107608599</v>
      </c>
      <c r="S443" s="6">
        <v>245624.44588470799</v>
      </c>
      <c r="T443" s="6">
        <v>4213359.3</v>
      </c>
      <c r="U443" s="6">
        <v>3088381.7947964901</v>
      </c>
      <c r="V443" s="6">
        <v>6403561.3432312496</v>
      </c>
      <c r="W443" s="6">
        <v>898179.75156524498</v>
      </c>
      <c r="X443" s="6">
        <v>0</v>
      </c>
      <c r="Y443" s="6">
        <v>0</v>
      </c>
      <c r="Z443" s="6">
        <v>0</v>
      </c>
      <c r="AA443" s="6">
        <v>0</v>
      </c>
      <c r="AB443" s="6">
        <v>0</v>
      </c>
      <c r="AC443" s="6">
        <v>240938.156834233</v>
      </c>
      <c r="AD443" s="6">
        <v>4686.2890504754296</v>
      </c>
      <c r="AE443" s="6">
        <v>0</v>
      </c>
      <c r="AF443" s="6">
        <v>0</v>
      </c>
      <c r="AG443" s="6">
        <v>0</v>
      </c>
      <c r="AH443" s="6">
        <v>0</v>
      </c>
      <c r="AI443" s="6">
        <v>0</v>
      </c>
      <c r="AJ443" s="6">
        <v>7547365.5406812103</v>
      </c>
      <c r="AK443" s="6">
        <v>12715.182311061501</v>
      </c>
      <c r="AL443" s="6">
        <v>330.98244656580999</v>
      </c>
      <c r="AM443" s="6">
        <v>93035.839999999997</v>
      </c>
      <c r="AN443" s="6">
        <v>5616.86020744294</v>
      </c>
      <c r="AO443" s="6">
        <v>16085.962026105801</v>
      </c>
      <c r="AP443" s="6">
        <v>3753.1860850462999</v>
      </c>
      <c r="AQ443" s="6">
        <v>20687.885194392002</v>
      </c>
      <c r="AR443" s="6">
        <v>12148.9726269563</v>
      </c>
      <c r="AS443" s="6">
        <v>12715.182311061501</v>
      </c>
      <c r="AT443" s="6">
        <v>0</v>
      </c>
      <c r="AU443" t="s">
        <v>2973</v>
      </c>
      <c r="AV443" t="s">
        <v>2973</v>
      </c>
    </row>
    <row r="444" spans="1:48" x14ac:dyDescent="0.45">
      <c r="A444" s="5" t="s">
        <v>903</v>
      </c>
      <c r="B444">
        <v>2100</v>
      </c>
      <c r="C444" t="s">
        <v>882</v>
      </c>
      <c r="D444">
        <v>643</v>
      </c>
      <c r="E444" t="s">
        <v>904</v>
      </c>
      <c r="F444" t="s">
        <v>2739</v>
      </c>
      <c r="G444" t="s">
        <v>2740</v>
      </c>
      <c r="H444" t="s">
        <v>2745</v>
      </c>
      <c r="I444" t="s">
        <v>2742</v>
      </c>
      <c r="J444">
        <v>319.80700139188298</v>
      </c>
      <c r="K444">
        <v>1</v>
      </c>
      <c r="L444">
        <v>1</v>
      </c>
      <c r="M444">
        <v>2</v>
      </c>
      <c r="N444" s="6">
        <v>2431397.0168185802</v>
      </c>
      <c r="O444" s="6">
        <v>625179.35553618998</v>
      </c>
      <c r="P444" s="6">
        <v>625453.17109108099</v>
      </c>
      <c r="Q444" s="6">
        <v>107787.993853622</v>
      </c>
      <c r="R444" s="6">
        <v>70669.2139511282</v>
      </c>
      <c r="S444" s="6">
        <v>132338.66892911901</v>
      </c>
      <c r="T444" s="6">
        <v>2196514.2000000002</v>
      </c>
      <c r="U444" s="6">
        <v>1663972.5512506</v>
      </c>
      <c r="V444" s="6">
        <v>3440573.65651944</v>
      </c>
      <c r="W444" s="6">
        <v>419913.09473115799</v>
      </c>
      <c r="X444" s="6">
        <v>0</v>
      </c>
      <c r="Y444" s="6">
        <v>0</v>
      </c>
      <c r="Z444" s="6">
        <v>0</v>
      </c>
      <c r="AA444" s="6">
        <v>0</v>
      </c>
      <c r="AB444" s="6">
        <v>0</v>
      </c>
      <c r="AC444" s="6">
        <v>129813.76855561099</v>
      </c>
      <c r="AD444" s="6">
        <v>2524.9003735081201</v>
      </c>
      <c r="AE444" s="6">
        <v>0</v>
      </c>
      <c r="AF444" s="6">
        <v>0</v>
      </c>
      <c r="AG444" s="6">
        <v>0</v>
      </c>
      <c r="AH444" s="6">
        <v>0</v>
      </c>
      <c r="AI444" s="6">
        <v>0</v>
      </c>
      <c r="AJ444" s="6">
        <v>3992825.42017972</v>
      </c>
      <c r="AK444" s="6">
        <v>12485.1094654023</v>
      </c>
      <c r="AL444" s="6">
        <v>330.98244656580999</v>
      </c>
      <c r="AM444" s="6">
        <v>93035.839999999997</v>
      </c>
      <c r="AN444" s="6">
        <v>5616.86020744294</v>
      </c>
      <c r="AO444" s="6">
        <v>16085.962026105801</v>
      </c>
      <c r="AP444" s="6">
        <v>330.98244656580999</v>
      </c>
      <c r="AQ444" s="6">
        <v>93035.839999999997</v>
      </c>
      <c r="AR444" s="6">
        <v>5616.86020744295</v>
      </c>
      <c r="AS444" s="6">
        <v>16085.962026105801</v>
      </c>
      <c r="AT444" s="6">
        <v>0</v>
      </c>
      <c r="AU444" t="s">
        <v>2973</v>
      </c>
      <c r="AV444" t="s">
        <v>2973</v>
      </c>
    </row>
    <row r="445" spans="1:48" x14ac:dyDescent="0.45">
      <c r="A445" s="5" t="s">
        <v>905</v>
      </c>
      <c r="B445">
        <v>2100</v>
      </c>
      <c r="C445" t="s">
        <v>882</v>
      </c>
      <c r="D445">
        <v>639</v>
      </c>
      <c r="E445" t="s">
        <v>906</v>
      </c>
      <c r="F445" t="s">
        <v>2739</v>
      </c>
      <c r="G445" t="s">
        <v>2740</v>
      </c>
      <c r="H445" t="s">
        <v>2745</v>
      </c>
      <c r="I445" t="s">
        <v>2742</v>
      </c>
      <c r="J445">
        <v>268.64327485378499</v>
      </c>
      <c r="K445">
        <v>1</v>
      </c>
      <c r="L445">
        <v>1</v>
      </c>
      <c r="M445">
        <v>2</v>
      </c>
      <c r="N445" s="6">
        <v>1981872.1480494901</v>
      </c>
      <c r="O445" s="6">
        <v>356250.72086330102</v>
      </c>
      <c r="P445" s="6">
        <v>423683.41344608902</v>
      </c>
      <c r="Q445" s="6">
        <v>90543.732728584204</v>
      </c>
      <c r="R445" s="6">
        <v>59363.331586072403</v>
      </c>
      <c r="S445" s="6">
        <v>111166.71384984801</v>
      </c>
      <c r="T445" s="6">
        <v>1513948.34</v>
      </c>
      <c r="U445" s="6">
        <v>1397765.00667353</v>
      </c>
      <c r="V445" s="6">
        <v>2612899.9147708998</v>
      </c>
      <c r="W445" s="6">
        <v>298813.43190262798</v>
      </c>
      <c r="X445" s="6">
        <v>0</v>
      </c>
      <c r="Y445" s="6">
        <v>0</v>
      </c>
      <c r="Z445" s="6">
        <v>0</v>
      </c>
      <c r="AA445" s="6">
        <v>0</v>
      </c>
      <c r="AB445" s="6">
        <v>0</v>
      </c>
      <c r="AC445" s="6">
        <v>109045.754952555</v>
      </c>
      <c r="AD445" s="6">
        <v>2120.9588972931801</v>
      </c>
      <c r="AE445" s="6">
        <v>0</v>
      </c>
      <c r="AF445" s="6">
        <v>0</v>
      </c>
      <c r="AG445" s="6">
        <v>0</v>
      </c>
      <c r="AH445" s="6">
        <v>0</v>
      </c>
      <c r="AI445" s="6">
        <v>0</v>
      </c>
      <c r="AJ445" s="6">
        <v>3022880.0605233801</v>
      </c>
      <c r="AK445" s="6">
        <v>11252.3943216842</v>
      </c>
      <c r="AL445" s="6">
        <v>330.98244656580999</v>
      </c>
      <c r="AM445" s="6">
        <v>93035.839999999997</v>
      </c>
      <c r="AN445" s="6">
        <v>5616.86020744294</v>
      </c>
      <c r="AO445" s="6">
        <v>16085.962026105801</v>
      </c>
      <c r="AP445" s="6">
        <v>330.98244656580999</v>
      </c>
      <c r="AQ445" s="6">
        <v>93035.839999999997</v>
      </c>
      <c r="AR445" s="6">
        <v>5616.86020744295</v>
      </c>
      <c r="AS445" s="6">
        <v>16085.962026105801</v>
      </c>
      <c r="AT445" s="6">
        <v>0</v>
      </c>
      <c r="AU445" t="s">
        <v>2973</v>
      </c>
      <c r="AV445" t="s">
        <v>2973</v>
      </c>
    </row>
    <row r="446" spans="1:48" x14ac:dyDescent="0.45">
      <c r="A446" s="5" t="s">
        <v>907</v>
      </c>
      <c r="B446">
        <v>2100</v>
      </c>
      <c r="C446" t="s">
        <v>882</v>
      </c>
      <c r="D446">
        <v>636</v>
      </c>
      <c r="E446" t="s">
        <v>908</v>
      </c>
      <c r="F446" t="s">
        <v>2739</v>
      </c>
      <c r="G446" t="s">
        <v>2740</v>
      </c>
      <c r="H446" t="s">
        <v>2745</v>
      </c>
      <c r="I446" t="s">
        <v>2742</v>
      </c>
      <c r="J446">
        <v>447.97524329769601</v>
      </c>
      <c r="K446">
        <v>2</v>
      </c>
      <c r="L446">
        <v>1</v>
      </c>
      <c r="M446">
        <v>2</v>
      </c>
      <c r="N446" s="6">
        <v>3408429.8758110199</v>
      </c>
      <c r="O446" s="6">
        <v>814582.40420250397</v>
      </c>
      <c r="P446" s="6">
        <v>856916.87495001894</v>
      </c>
      <c r="Q446" s="6">
        <v>150985.91513316499</v>
      </c>
      <c r="R446" s="6">
        <v>121778.57582763799</v>
      </c>
      <c r="S446" s="6">
        <v>185375.702074045</v>
      </c>
      <c r="T446" s="6">
        <v>3021855.03</v>
      </c>
      <c r="U446" s="6">
        <v>2330838.6159243602</v>
      </c>
      <c r="V446" s="6">
        <v>4799163.4806838501</v>
      </c>
      <c r="W446" s="6">
        <v>553530.16524050594</v>
      </c>
      <c r="X446" s="6">
        <v>0</v>
      </c>
      <c r="Y446" s="6">
        <v>0</v>
      </c>
      <c r="Z446" s="6">
        <v>0</v>
      </c>
      <c r="AA446" s="6">
        <v>0</v>
      </c>
      <c r="AB446" s="6">
        <v>0</v>
      </c>
      <c r="AC446" s="6">
        <v>181838.903773189</v>
      </c>
      <c r="AD446" s="6">
        <v>3536.7983008562501</v>
      </c>
      <c r="AE446" s="6">
        <v>0</v>
      </c>
      <c r="AF446" s="6">
        <v>0</v>
      </c>
      <c r="AG446" s="6">
        <v>0</v>
      </c>
      <c r="AH446" s="6">
        <v>0</v>
      </c>
      <c r="AI446" s="6">
        <v>0</v>
      </c>
      <c r="AJ446" s="6">
        <v>5538069.34799839</v>
      </c>
      <c r="AK446" s="6">
        <v>12362.445092346599</v>
      </c>
      <c r="AL446" s="6">
        <v>330.98244656580999</v>
      </c>
      <c r="AM446" s="6">
        <v>93035.839999999997</v>
      </c>
      <c r="AN446" s="6">
        <v>5616.86020744294</v>
      </c>
      <c r="AO446" s="6">
        <v>16085.962026105801</v>
      </c>
      <c r="AP446" s="6">
        <v>330.98244656580999</v>
      </c>
      <c r="AQ446" s="6">
        <v>93035.839999999997</v>
      </c>
      <c r="AR446" s="6">
        <v>5616.86020744295</v>
      </c>
      <c r="AS446" s="6">
        <v>16085.962026105801</v>
      </c>
      <c r="AT446" s="6">
        <v>0</v>
      </c>
      <c r="AU446" t="s">
        <v>2973</v>
      </c>
      <c r="AV446" t="s">
        <v>2973</v>
      </c>
    </row>
    <row r="447" spans="1:48" x14ac:dyDescent="0.45">
      <c r="A447" s="5" t="s">
        <v>909</v>
      </c>
      <c r="B447">
        <v>2100</v>
      </c>
      <c r="C447" t="s">
        <v>882</v>
      </c>
      <c r="D447">
        <v>650</v>
      </c>
      <c r="E447" t="s">
        <v>910</v>
      </c>
      <c r="F447" t="s">
        <v>2739</v>
      </c>
      <c r="G447" t="s">
        <v>2744</v>
      </c>
      <c r="H447" t="s">
        <v>2745</v>
      </c>
      <c r="I447" t="s">
        <v>2742</v>
      </c>
      <c r="J447">
        <v>1351.1432772569301</v>
      </c>
      <c r="K447">
        <v>1</v>
      </c>
      <c r="L447">
        <v>1</v>
      </c>
      <c r="M447">
        <v>2</v>
      </c>
      <c r="N447" s="6">
        <v>9395754.5123695191</v>
      </c>
      <c r="O447" s="6">
        <v>4840220.93315697</v>
      </c>
      <c r="P447" s="6">
        <v>2789458.7236729502</v>
      </c>
      <c r="Q447" s="6">
        <v>455467.87302692799</v>
      </c>
      <c r="R447" s="6">
        <v>535063.44189310004</v>
      </c>
      <c r="S447" s="6">
        <v>559113.784459032</v>
      </c>
      <c r="T447" s="6">
        <v>10985896.359999999</v>
      </c>
      <c r="U447" s="6">
        <v>7030069.1241194699</v>
      </c>
      <c r="V447" s="6">
        <v>15010759.3529731</v>
      </c>
      <c r="W447" s="6">
        <v>3005206.13114637</v>
      </c>
      <c r="X447" s="6">
        <v>0</v>
      </c>
      <c r="Y447" s="6">
        <v>0</v>
      </c>
      <c r="Z447" s="6">
        <v>0</v>
      </c>
      <c r="AA447" s="6">
        <v>0</v>
      </c>
      <c r="AB447" s="6">
        <v>0</v>
      </c>
      <c r="AC447" s="6">
        <v>548446.40647618205</v>
      </c>
      <c r="AD447" s="6">
        <v>10667.377982849899</v>
      </c>
      <c r="AE447" s="6">
        <v>0</v>
      </c>
      <c r="AF447" s="6">
        <v>0</v>
      </c>
      <c r="AG447" s="6">
        <v>0</v>
      </c>
      <c r="AH447" s="6">
        <v>0</v>
      </c>
      <c r="AI447" s="6">
        <v>0</v>
      </c>
      <c r="AJ447" s="6">
        <v>18575079.2685785</v>
      </c>
      <c r="AK447" s="6">
        <v>13747.6754547374</v>
      </c>
      <c r="AL447" s="6">
        <v>330.98244656580999</v>
      </c>
      <c r="AM447" s="6">
        <v>93035.839999999997</v>
      </c>
      <c r="AN447" s="6">
        <v>5616.86020744294</v>
      </c>
      <c r="AO447" s="6">
        <v>16085.962026105801</v>
      </c>
      <c r="AP447" s="6">
        <v>330.98244656580999</v>
      </c>
      <c r="AQ447" s="6">
        <v>40734.411818744898</v>
      </c>
      <c r="AR447" s="6">
        <v>13348.075572283</v>
      </c>
      <c r="AS447" s="6">
        <v>15501.1233513098</v>
      </c>
      <c r="AT447" s="6">
        <v>0</v>
      </c>
      <c r="AU447" t="s">
        <v>2973</v>
      </c>
      <c r="AV447" t="s">
        <v>2973</v>
      </c>
    </row>
    <row r="448" spans="1:48" x14ac:dyDescent="0.45">
      <c r="A448" s="5" t="s">
        <v>911</v>
      </c>
      <c r="B448">
        <v>2100</v>
      </c>
      <c r="C448" t="s">
        <v>882</v>
      </c>
      <c r="D448">
        <v>645</v>
      </c>
      <c r="E448" t="s">
        <v>912</v>
      </c>
      <c r="F448" t="s">
        <v>2739</v>
      </c>
      <c r="G448" t="s">
        <v>2740</v>
      </c>
      <c r="H448" t="s">
        <v>2745</v>
      </c>
      <c r="I448" t="s">
        <v>2742</v>
      </c>
      <c r="J448">
        <v>425.60100047392501</v>
      </c>
      <c r="K448">
        <v>4</v>
      </c>
      <c r="L448">
        <v>1</v>
      </c>
      <c r="M448">
        <v>2</v>
      </c>
      <c r="N448" s="6">
        <v>3660214.6990402499</v>
      </c>
      <c r="O448" s="6">
        <v>793953.66331582901</v>
      </c>
      <c r="P448" s="6">
        <v>851848.51760515105</v>
      </c>
      <c r="Q448" s="6">
        <v>143444.88339379799</v>
      </c>
      <c r="R448" s="6">
        <v>94046.997187064699</v>
      </c>
      <c r="S448" s="6">
        <v>176117.06326780299</v>
      </c>
      <c r="T448" s="6">
        <v>3329084.5</v>
      </c>
      <c r="U448" s="6">
        <v>2214424.2605420901</v>
      </c>
      <c r="V448" s="6">
        <v>4561726.14116369</v>
      </c>
      <c r="W448" s="6">
        <v>981782.619378392</v>
      </c>
      <c r="X448" s="6">
        <v>0</v>
      </c>
      <c r="Y448" s="6">
        <v>0</v>
      </c>
      <c r="Z448" s="6">
        <v>0</v>
      </c>
      <c r="AA448" s="6">
        <v>0</v>
      </c>
      <c r="AB448" s="6">
        <v>0</v>
      </c>
      <c r="AC448" s="6">
        <v>172756.91129994401</v>
      </c>
      <c r="AD448" s="6">
        <v>3360.1519678590698</v>
      </c>
      <c r="AE448" s="6">
        <v>0</v>
      </c>
      <c r="AF448" s="6">
        <v>0</v>
      </c>
      <c r="AG448" s="6">
        <v>0</v>
      </c>
      <c r="AH448" s="6">
        <v>0</v>
      </c>
      <c r="AI448" s="6">
        <v>0</v>
      </c>
      <c r="AJ448" s="6">
        <v>5719625.8238098798</v>
      </c>
      <c r="AK448" s="6">
        <v>13438.9388592622</v>
      </c>
      <c r="AL448" s="6">
        <v>330.98244656580999</v>
      </c>
      <c r="AM448" s="6">
        <v>93035.839999999997</v>
      </c>
      <c r="AN448" s="6">
        <v>5616.86020744294</v>
      </c>
      <c r="AO448" s="6">
        <v>16085.962026105801</v>
      </c>
      <c r="AP448" s="6">
        <v>330.98244656580999</v>
      </c>
      <c r="AQ448" s="6">
        <v>93035.839999999997</v>
      </c>
      <c r="AR448" s="6">
        <v>5616.86020744295</v>
      </c>
      <c r="AS448" s="6">
        <v>16085.962026105801</v>
      </c>
      <c r="AT448" s="6">
        <v>0</v>
      </c>
      <c r="AU448" t="s">
        <v>2973</v>
      </c>
      <c r="AV448" t="s">
        <v>2973</v>
      </c>
    </row>
    <row r="449" spans="1:48" x14ac:dyDescent="0.45">
      <c r="A449" s="5" t="s">
        <v>913</v>
      </c>
      <c r="B449">
        <v>2100</v>
      </c>
      <c r="C449" t="s">
        <v>882</v>
      </c>
      <c r="D449">
        <v>644</v>
      </c>
      <c r="E449" t="s">
        <v>914</v>
      </c>
      <c r="F449" t="s">
        <v>2739</v>
      </c>
      <c r="G449" t="s">
        <v>2740</v>
      </c>
      <c r="H449" t="s">
        <v>2745</v>
      </c>
      <c r="I449" t="s">
        <v>2742</v>
      </c>
      <c r="J449">
        <v>333.37562192488701</v>
      </c>
      <c r="K449">
        <v>3</v>
      </c>
      <c r="L449">
        <v>2</v>
      </c>
      <c r="M449">
        <v>2</v>
      </c>
      <c r="N449" s="6">
        <v>2894921.8300731801</v>
      </c>
      <c r="O449" s="6">
        <v>863190.725949788</v>
      </c>
      <c r="P449" s="6">
        <v>747052.63137609197</v>
      </c>
      <c r="Q449" s="6">
        <v>112361.171989961</v>
      </c>
      <c r="R449" s="6">
        <v>85146.584010711798</v>
      </c>
      <c r="S449" s="6">
        <v>137953.47152170501</v>
      </c>
      <c r="T449" s="6">
        <v>2968102.15</v>
      </c>
      <c r="U449" s="6">
        <v>1734570.79339974</v>
      </c>
      <c r="V449" s="6">
        <v>3655802.25594893</v>
      </c>
      <c r="W449" s="6">
        <v>1046870.68745081</v>
      </c>
      <c r="X449" s="6">
        <v>0</v>
      </c>
      <c r="Y449" s="6">
        <v>0</v>
      </c>
      <c r="Z449" s="6">
        <v>0</v>
      </c>
      <c r="AA449" s="6">
        <v>0</v>
      </c>
      <c r="AB449" s="6">
        <v>0</v>
      </c>
      <c r="AC449" s="6">
        <v>135321.44586669101</v>
      </c>
      <c r="AD449" s="6">
        <v>2632.0256550143599</v>
      </c>
      <c r="AE449" s="6">
        <v>0</v>
      </c>
      <c r="AF449" s="6">
        <v>0</v>
      </c>
      <c r="AG449" s="6">
        <v>0</v>
      </c>
      <c r="AH449" s="6">
        <v>0</v>
      </c>
      <c r="AI449" s="6">
        <v>0</v>
      </c>
      <c r="AJ449" s="6">
        <v>4840626.4149214402</v>
      </c>
      <c r="AK449" s="6">
        <v>14520.037149003299</v>
      </c>
      <c r="AL449" s="6">
        <v>330.98244656580999</v>
      </c>
      <c r="AM449" s="6">
        <v>93035.839999999997</v>
      </c>
      <c r="AN449" s="6">
        <v>5616.86020744294</v>
      </c>
      <c r="AO449" s="6">
        <v>16085.962026105801</v>
      </c>
      <c r="AP449" s="6">
        <v>330.98244656580999</v>
      </c>
      <c r="AQ449" s="6">
        <v>93035.839999999997</v>
      </c>
      <c r="AR449" s="6">
        <v>5616.86020744295</v>
      </c>
      <c r="AS449" s="6">
        <v>16085.962026105801</v>
      </c>
      <c r="AT449" s="6">
        <v>0</v>
      </c>
      <c r="AU449" t="s">
        <v>2973</v>
      </c>
      <c r="AV449" t="s">
        <v>2973</v>
      </c>
    </row>
    <row r="450" spans="1:48" x14ac:dyDescent="0.45">
      <c r="A450" s="5" t="s">
        <v>915</v>
      </c>
      <c r="B450">
        <v>2100</v>
      </c>
      <c r="C450" t="s">
        <v>882</v>
      </c>
      <c r="D450">
        <v>647</v>
      </c>
      <c r="E450" t="s">
        <v>916</v>
      </c>
      <c r="F450" t="s">
        <v>2739</v>
      </c>
      <c r="G450" t="s">
        <v>2740</v>
      </c>
      <c r="H450" t="s">
        <v>2745</v>
      </c>
      <c r="I450" t="s">
        <v>2742</v>
      </c>
      <c r="J450">
        <v>142.70921315262601</v>
      </c>
      <c r="K450">
        <v>1</v>
      </c>
      <c r="L450">
        <v>2</v>
      </c>
      <c r="M450">
        <v>2</v>
      </c>
      <c r="N450" s="6">
        <v>1232318.4542724099</v>
      </c>
      <c r="O450" s="6">
        <v>313765.82258435001</v>
      </c>
      <c r="P450" s="6">
        <v>320115.17362370901</v>
      </c>
      <c r="Q450" s="6">
        <v>48098.821236566197</v>
      </c>
      <c r="R450" s="6">
        <v>31535.1067149466</v>
      </c>
      <c r="S450" s="6">
        <v>59054.202160503002</v>
      </c>
      <c r="T450" s="6">
        <v>1203309.8799999999</v>
      </c>
      <c r="U450" s="6">
        <v>742523.49843197502</v>
      </c>
      <c r="V450" s="6">
        <v>1757775.57453133</v>
      </c>
      <c r="W450" s="6">
        <v>188057.80390064599</v>
      </c>
      <c r="X450" s="6">
        <v>0</v>
      </c>
      <c r="Y450" s="6">
        <v>0</v>
      </c>
      <c r="Z450" s="6">
        <v>0</v>
      </c>
      <c r="AA450" s="6">
        <v>0</v>
      </c>
      <c r="AB450" s="6">
        <v>0</v>
      </c>
      <c r="AC450" s="6">
        <v>57927.5021694963</v>
      </c>
      <c r="AD450" s="6">
        <v>1126.6999910067</v>
      </c>
      <c r="AE450" s="6">
        <v>0</v>
      </c>
      <c r="AF450" s="6">
        <v>0</v>
      </c>
      <c r="AG450" s="6">
        <v>0</v>
      </c>
      <c r="AH450" s="6">
        <v>0</v>
      </c>
      <c r="AI450" s="6">
        <v>0</v>
      </c>
      <c r="AJ450" s="6">
        <v>2004887.58059248</v>
      </c>
      <c r="AK450" s="6">
        <v>14048.7606672477</v>
      </c>
      <c r="AL450" s="6">
        <v>330.98244656580999</v>
      </c>
      <c r="AM450" s="6">
        <v>93035.839999999997</v>
      </c>
      <c r="AN450" s="6">
        <v>5616.86020744294</v>
      </c>
      <c r="AO450" s="6">
        <v>16085.962026105801</v>
      </c>
      <c r="AP450" s="6">
        <v>330.98244656580999</v>
      </c>
      <c r="AQ450" s="6">
        <v>93035.839999999997</v>
      </c>
      <c r="AR450" s="6">
        <v>5616.86020744295</v>
      </c>
      <c r="AS450" s="6">
        <v>16085.962026105801</v>
      </c>
      <c r="AT450" s="6">
        <v>0</v>
      </c>
      <c r="AU450" t="s">
        <v>2973</v>
      </c>
      <c r="AV450" t="s">
        <v>2973</v>
      </c>
    </row>
    <row r="451" spans="1:48" x14ac:dyDescent="0.45">
      <c r="A451" s="5" t="s">
        <v>917</v>
      </c>
      <c r="B451">
        <v>2100</v>
      </c>
      <c r="C451" t="s">
        <v>882</v>
      </c>
      <c r="D451">
        <v>646</v>
      </c>
      <c r="E451" t="s">
        <v>918</v>
      </c>
      <c r="F451" t="s">
        <v>2739</v>
      </c>
      <c r="G451" t="s">
        <v>2740</v>
      </c>
      <c r="H451" t="s">
        <v>2745</v>
      </c>
      <c r="I451" t="s">
        <v>2742</v>
      </c>
      <c r="J451">
        <v>135.45795948530801</v>
      </c>
      <c r="K451">
        <v>1</v>
      </c>
      <c r="L451">
        <v>1</v>
      </c>
      <c r="M451">
        <v>2</v>
      </c>
      <c r="N451" s="6">
        <v>1277765.2217494301</v>
      </c>
      <c r="O451" s="6">
        <v>439471.64182080899</v>
      </c>
      <c r="P451" s="6">
        <v>310256.535575805</v>
      </c>
      <c r="Q451" s="6">
        <v>45654.853211093803</v>
      </c>
      <c r="R451" s="6">
        <v>49769.764068915203</v>
      </c>
      <c r="S451" s="6">
        <v>56053.575988393597</v>
      </c>
      <c r="T451" s="6">
        <v>1418123.17</v>
      </c>
      <c r="U451" s="6">
        <v>704794.84642604995</v>
      </c>
      <c r="V451" s="6">
        <v>1790901.63534018</v>
      </c>
      <c r="W451" s="6">
        <v>332016.38108587102</v>
      </c>
      <c r="X451" s="6">
        <v>0</v>
      </c>
      <c r="Y451" s="6">
        <v>0</v>
      </c>
      <c r="Z451" s="6">
        <v>0</v>
      </c>
      <c r="AA451" s="6">
        <v>0</v>
      </c>
      <c r="AB451" s="6">
        <v>0</v>
      </c>
      <c r="AC451" s="6">
        <v>54984.1251914737</v>
      </c>
      <c r="AD451" s="6">
        <v>1069.4507969198601</v>
      </c>
      <c r="AE451" s="6">
        <v>0</v>
      </c>
      <c r="AF451" s="6">
        <v>0</v>
      </c>
      <c r="AG451" s="6">
        <v>0</v>
      </c>
      <c r="AH451" s="6">
        <v>0</v>
      </c>
      <c r="AI451" s="6">
        <v>0</v>
      </c>
      <c r="AJ451" s="6">
        <v>2178971.5924144401</v>
      </c>
      <c r="AK451" s="6">
        <v>16085.962026105801</v>
      </c>
      <c r="AL451" s="6">
        <v>330.98244656580999</v>
      </c>
      <c r="AM451" s="6">
        <v>93035.839999999997</v>
      </c>
      <c r="AN451" s="6">
        <v>5616.86020744294</v>
      </c>
      <c r="AO451" s="6">
        <v>16085.962026105801</v>
      </c>
      <c r="AP451" s="6">
        <v>330.98244656580999</v>
      </c>
      <c r="AQ451" s="6">
        <v>93035.839999999997</v>
      </c>
      <c r="AR451" s="6">
        <v>5616.86020744295</v>
      </c>
      <c r="AS451" s="6">
        <v>16085.962026105801</v>
      </c>
      <c r="AT451" s="6">
        <v>0</v>
      </c>
      <c r="AU451" t="s">
        <v>2973</v>
      </c>
      <c r="AV451" t="s">
        <v>2973</v>
      </c>
    </row>
    <row r="452" spans="1:48" x14ac:dyDescent="0.45">
      <c r="A452" s="5" t="s">
        <v>919</v>
      </c>
      <c r="B452">
        <v>2100</v>
      </c>
      <c r="C452" t="s">
        <v>882</v>
      </c>
      <c r="D452">
        <v>4744</v>
      </c>
      <c r="E452" t="s">
        <v>920</v>
      </c>
      <c r="F452" t="s">
        <v>2739</v>
      </c>
      <c r="G452" t="s">
        <v>2740</v>
      </c>
      <c r="H452" t="s">
        <v>2745</v>
      </c>
      <c r="I452" t="s">
        <v>2742</v>
      </c>
      <c r="J452">
        <v>727.40591997556101</v>
      </c>
      <c r="K452">
        <v>1</v>
      </c>
      <c r="L452">
        <v>1</v>
      </c>
      <c r="M452">
        <v>2</v>
      </c>
      <c r="N452" s="6">
        <v>1622601.4103866301</v>
      </c>
      <c r="O452" s="6">
        <v>622608.06878628198</v>
      </c>
      <c r="P452" s="6">
        <v>1133617.9083892901</v>
      </c>
      <c r="Q452" s="6">
        <v>245165.44193895801</v>
      </c>
      <c r="R452" s="6">
        <v>160738.208870792</v>
      </c>
      <c r="S452" s="6">
        <v>301006.32819720003</v>
      </c>
      <c r="T452" s="6">
        <v>0</v>
      </c>
      <c r="U452" s="6">
        <v>3784731.0383719602</v>
      </c>
      <c r="V452" s="6">
        <v>2981984.9983208999</v>
      </c>
      <c r="W452" s="6">
        <v>802746.04005106504</v>
      </c>
      <c r="X452" s="6">
        <v>0</v>
      </c>
      <c r="Y452" s="6">
        <v>0</v>
      </c>
      <c r="Z452" s="6">
        <v>0</v>
      </c>
      <c r="AA452" s="6">
        <v>0</v>
      </c>
      <c r="AB452" s="6">
        <v>0</v>
      </c>
      <c r="AC452" s="6">
        <v>295263.40364881599</v>
      </c>
      <c r="AD452" s="6">
        <v>5742.9245483833502</v>
      </c>
      <c r="AE452" s="6">
        <v>0</v>
      </c>
      <c r="AF452" s="6">
        <v>0</v>
      </c>
      <c r="AG452" s="6">
        <v>0</v>
      </c>
      <c r="AH452" s="6">
        <v>0</v>
      </c>
      <c r="AI452" s="6">
        <v>0</v>
      </c>
      <c r="AJ452" s="6">
        <v>4085737.36656916</v>
      </c>
      <c r="AK452" s="6">
        <v>5616.86020744295</v>
      </c>
      <c r="AL452" s="6">
        <v>330.98244656580999</v>
      </c>
      <c r="AM452" s="6">
        <v>93035.839999999997</v>
      </c>
      <c r="AN452" s="6">
        <v>5616.86020744294</v>
      </c>
      <c r="AO452" s="6">
        <v>16085.962026105801</v>
      </c>
      <c r="AP452" s="6">
        <v>330.98244656580999</v>
      </c>
      <c r="AQ452" s="6">
        <v>93035.839999999997</v>
      </c>
      <c r="AR452" s="6">
        <v>5616.86020744295</v>
      </c>
      <c r="AS452" s="6">
        <v>16085.962026105801</v>
      </c>
      <c r="AT452" s="6">
        <v>0</v>
      </c>
      <c r="AU452" t="s">
        <v>2973</v>
      </c>
      <c r="AV452" t="s">
        <v>2976</v>
      </c>
    </row>
    <row r="453" spans="1:48" x14ac:dyDescent="0.45">
      <c r="A453" s="5" t="s">
        <v>921</v>
      </c>
      <c r="B453">
        <v>2100</v>
      </c>
      <c r="C453" t="s">
        <v>882</v>
      </c>
      <c r="D453">
        <v>648</v>
      </c>
      <c r="E453" t="s">
        <v>922</v>
      </c>
      <c r="F453" t="s">
        <v>2739</v>
      </c>
      <c r="G453" t="s">
        <v>2740</v>
      </c>
      <c r="H453" t="s">
        <v>2745</v>
      </c>
      <c r="I453" t="s">
        <v>2742</v>
      </c>
      <c r="J453">
        <v>272.857162867206</v>
      </c>
      <c r="K453">
        <v>2</v>
      </c>
      <c r="L453">
        <v>1</v>
      </c>
      <c r="M453">
        <v>2</v>
      </c>
      <c r="N453" s="6">
        <v>2679604.94494429</v>
      </c>
      <c r="O453" s="6">
        <v>627639.88124824106</v>
      </c>
      <c r="P453" s="6">
        <v>564842.761759202</v>
      </c>
      <c r="Q453" s="6">
        <v>91963.984734680605</v>
      </c>
      <c r="R453" s="6">
        <v>73618.643669111494</v>
      </c>
      <c r="S453" s="6">
        <v>112910.45406906</v>
      </c>
      <c r="T453" s="6">
        <v>2617980.13</v>
      </c>
      <c r="U453" s="6">
        <v>1419690.08635553</v>
      </c>
      <c r="V453" s="6">
        <v>3144027.8984807902</v>
      </c>
      <c r="W453" s="6">
        <v>893642.31787474395</v>
      </c>
      <c r="X453" s="6">
        <v>0</v>
      </c>
      <c r="Y453" s="6">
        <v>0</v>
      </c>
      <c r="Z453" s="6">
        <v>0</v>
      </c>
      <c r="AA453" s="6">
        <v>0</v>
      </c>
      <c r="AB453" s="6">
        <v>0</v>
      </c>
      <c r="AC453" s="6">
        <v>110756.226208384</v>
      </c>
      <c r="AD453" s="6">
        <v>2154.2278606764098</v>
      </c>
      <c r="AE453" s="6">
        <v>0</v>
      </c>
      <c r="AF453" s="6">
        <v>0</v>
      </c>
      <c r="AG453" s="6">
        <v>0</v>
      </c>
      <c r="AH453" s="6">
        <v>0</v>
      </c>
      <c r="AI453" s="6">
        <v>0</v>
      </c>
      <c r="AJ453" s="6">
        <v>4150580.6704246001</v>
      </c>
      <c r="AK453" s="6">
        <v>15211.551079729599</v>
      </c>
      <c r="AL453" s="6">
        <v>330.98244656580999</v>
      </c>
      <c r="AM453" s="6">
        <v>93035.839999999997</v>
      </c>
      <c r="AN453" s="6">
        <v>5616.86020744294</v>
      </c>
      <c r="AO453" s="6">
        <v>16085.962026105801</v>
      </c>
      <c r="AP453" s="6">
        <v>330.98244656580999</v>
      </c>
      <c r="AQ453" s="6">
        <v>93035.839999999997</v>
      </c>
      <c r="AR453" s="6">
        <v>5616.86020744295</v>
      </c>
      <c r="AS453" s="6">
        <v>16085.962026105801</v>
      </c>
      <c r="AT453" s="6">
        <v>0</v>
      </c>
      <c r="AU453" t="s">
        <v>2973</v>
      </c>
      <c r="AV453" t="s">
        <v>2973</v>
      </c>
    </row>
    <row r="454" spans="1:48" x14ac:dyDescent="0.45">
      <c r="A454" s="5" t="s">
        <v>923</v>
      </c>
      <c r="B454">
        <v>2100</v>
      </c>
      <c r="C454" t="s">
        <v>882</v>
      </c>
      <c r="D454">
        <v>649</v>
      </c>
      <c r="E454" t="s">
        <v>924</v>
      </c>
      <c r="F454" t="s">
        <v>2739</v>
      </c>
      <c r="G454" t="s">
        <v>2744</v>
      </c>
      <c r="H454" t="s">
        <v>2745</v>
      </c>
      <c r="I454" t="s">
        <v>2742</v>
      </c>
      <c r="J454">
        <v>1245.75452700498</v>
      </c>
      <c r="K454">
        <v>1</v>
      </c>
      <c r="L454">
        <v>1</v>
      </c>
      <c r="M454">
        <v>2</v>
      </c>
      <c r="N454" s="6">
        <v>8704058.0459132493</v>
      </c>
      <c r="O454" s="6">
        <v>4126223.8697409001</v>
      </c>
      <c r="P454" s="6">
        <v>2561595.8728261301</v>
      </c>
      <c r="Q454" s="6">
        <v>420636.72885923297</v>
      </c>
      <c r="R454" s="6">
        <v>300407.96834229399</v>
      </c>
      <c r="S454" s="6">
        <v>515503.085294394</v>
      </c>
      <c r="T454" s="6">
        <v>9631196.5399999991</v>
      </c>
      <c r="U454" s="6">
        <v>6481725.9456818001</v>
      </c>
      <c r="V454" s="6">
        <v>13403904.057233199</v>
      </c>
      <c r="W454" s="6">
        <v>2709018.42844861</v>
      </c>
      <c r="X454" s="6">
        <v>0</v>
      </c>
      <c r="Y454" s="6">
        <v>0</v>
      </c>
      <c r="Z454" s="6">
        <v>0</v>
      </c>
      <c r="AA454" s="6">
        <v>0</v>
      </c>
      <c r="AB454" s="6">
        <v>0</v>
      </c>
      <c r="AC454" s="6">
        <v>505667.759435846</v>
      </c>
      <c r="AD454" s="6">
        <v>9835.3258585480999</v>
      </c>
      <c r="AE454" s="6">
        <v>0</v>
      </c>
      <c r="AF454" s="6">
        <v>0</v>
      </c>
      <c r="AG454" s="6">
        <v>0</v>
      </c>
      <c r="AH454" s="6">
        <v>0</v>
      </c>
      <c r="AI454" s="6">
        <v>0</v>
      </c>
      <c r="AJ454" s="6">
        <v>16628425.5709762</v>
      </c>
      <c r="AK454" s="6">
        <v>13348.075572283</v>
      </c>
      <c r="AL454" s="6">
        <v>330.98244656580999</v>
      </c>
      <c r="AM454" s="6">
        <v>93035.839999999997</v>
      </c>
      <c r="AN454" s="6">
        <v>5616.86020744294</v>
      </c>
      <c r="AO454" s="6">
        <v>16085.962026105801</v>
      </c>
      <c r="AP454" s="6">
        <v>330.98244656580999</v>
      </c>
      <c r="AQ454" s="6">
        <v>40734.411818744898</v>
      </c>
      <c r="AR454" s="6">
        <v>13348.075572283</v>
      </c>
      <c r="AS454" s="6">
        <v>15501.1233513098</v>
      </c>
      <c r="AT454" s="6">
        <v>0</v>
      </c>
      <c r="AU454" t="s">
        <v>2973</v>
      </c>
      <c r="AV454" t="s">
        <v>2973</v>
      </c>
    </row>
    <row r="455" spans="1:48" x14ac:dyDescent="0.45">
      <c r="A455" s="5" t="s">
        <v>926</v>
      </c>
      <c r="B455">
        <v>2183</v>
      </c>
      <c r="C455" t="s">
        <v>925</v>
      </c>
      <c r="D455">
        <v>1312</v>
      </c>
      <c r="E455" t="s">
        <v>927</v>
      </c>
      <c r="F455" t="s">
        <v>2739</v>
      </c>
      <c r="G455" t="s">
        <v>2747</v>
      </c>
      <c r="H455" t="s">
        <v>2741</v>
      </c>
      <c r="I455" t="s">
        <v>2742</v>
      </c>
      <c r="J455">
        <v>643.99897310754295</v>
      </c>
      <c r="K455">
        <v>2</v>
      </c>
      <c r="L455">
        <v>1</v>
      </c>
      <c r="M455">
        <v>2</v>
      </c>
      <c r="N455" s="6">
        <v>3875425.2971770102</v>
      </c>
      <c r="O455" s="6">
        <v>1626593.52535773</v>
      </c>
      <c r="P455" s="6">
        <v>1369881.7544956401</v>
      </c>
      <c r="Q455" s="6">
        <v>197748.35111594599</v>
      </c>
      <c r="R455" s="6">
        <v>159144.731381341</v>
      </c>
      <c r="S455" s="6">
        <v>227850.476683218</v>
      </c>
      <c r="T455" s="6">
        <v>4882116.58</v>
      </c>
      <c r="U455" s="6">
        <v>2346677.0795276701</v>
      </c>
      <c r="V455" s="6">
        <v>6617613.4735682597</v>
      </c>
      <c r="W455" s="6">
        <v>586504.15163769899</v>
      </c>
      <c r="X455" s="6">
        <v>0</v>
      </c>
      <c r="Y455" s="6">
        <v>0</v>
      </c>
      <c r="Z455" s="6">
        <v>0</v>
      </c>
      <c r="AA455" s="6">
        <v>0</v>
      </c>
      <c r="AB455" s="6">
        <v>24676.034321708201</v>
      </c>
      <c r="AC455" s="6">
        <v>227850.476683218</v>
      </c>
      <c r="AD455" s="6">
        <v>0</v>
      </c>
      <c r="AE455" s="6">
        <v>0</v>
      </c>
      <c r="AF455" s="6">
        <v>0</v>
      </c>
      <c r="AG455" s="6">
        <v>0</v>
      </c>
      <c r="AH455" s="6">
        <v>0</v>
      </c>
      <c r="AI455" s="6">
        <v>0</v>
      </c>
      <c r="AJ455" s="6">
        <v>7456644.1362108802</v>
      </c>
      <c r="AK455" s="6">
        <v>11578.658425850799</v>
      </c>
      <c r="AL455" s="6">
        <v>330.98244656580999</v>
      </c>
      <c r="AM455" s="6">
        <v>93035.839999999997</v>
      </c>
      <c r="AN455" s="6">
        <v>3997.71997117915</v>
      </c>
      <c r="AO455" s="6">
        <v>14546.291530348301</v>
      </c>
      <c r="AP455" s="6">
        <v>3753.1860850462999</v>
      </c>
      <c r="AQ455" s="6">
        <v>20687.885194392002</v>
      </c>
      <c r="AR455" s="6">
        <v>11157.424200015999</v>
      </c>
      <c r="AS455" s="6">
        <v>13405.218902782401</v>
      </c>
      <c r="AT455" s="6">
        <v>0</v>
      </c>
      <c r="AU455" t="s">
        <v>2973</v>
      </c>
      <c r="AV455" t="s">
        <v>2973</v>
      </c>
    </row>
    <row r="456" spans="1:48" x14ac:dyDescent="0.45">
      <c r="A456" s="5" t="s">
        <v>928</v>
      </c>
      <c r="B456">
        <v>2183</v>
      </c>
      <c r="C456" t="s">
        <v>925</v>
      </c>
      <c r="D456">
        <v>90</v>
      </c>
      <c r="E456" t="s">
        <v>929</v>
      </c>
      <c r="F456" t="s">
        <v>2739</v>
      </c>
      <c r="G456" t="s">
        <v>2740</v>
      </c>
      <c r="H456" t="s">
        <v>2741</v>
      </c>
      <c r="I456" t="s">
        <v>2742</v>
      </c>
      <c r="J456">
        <v>424.26990932450599</v>
      </c>
      <c r="K456">
        <v>1</v>
      </c>
      <c r="L456">
        <v>1</v>
      </c>
      <c r="M456">
        <v>2</v>
      </c>
      <c r="N456" s="6">
        <v>2928161.2738025002</v>
      </c>
      <c r="O456" s="6">
        <v>988849.61232250696</v>
      </c>
      <c r="P456" s="6">
        <v>1032985.58245943</v>
      </c>
      <c r="Q456" s="6">
        <v>130277.653382255</v>
      </c>
      <c r="R456" s="6">
        <v>104845.385741569</v>
      </c>
      <c r="S456" s="6">
        <v>150109.091968678</v>
      </c>
      <c r="T456" s="6">
        <v>3639116.31</v>
      </c>
      <c r="U456" s="6">
        <v>1546003.19770827</v>
      </c>
      <c r="V456" s="6">
        <v>4739492.6043733098</v>
      </c>
      <c r="W456" s="6">
        <v>429370.20218892401</v>
      </c>
      <c r="X456" s="6">
        <v>0</v>
      </c>
      <c r="Y456" s="6">
        <v>0</v>
      </c>
      <c r="Z456" s="6">
        <v>0</v>
      </c>
      <c r="AA456" s="6">
        <v>0</v>
      </c>
      <c r="AB456" s="6">
        <v>16256.70114603</v>
      </c>
      <c r="AC456" s="6">
        <v>150109.091968678</v>
      </c>
      <c r="AD456" s="6">
        <v>0</v>
      </c>
      <c r="AE456" s="6">
        <v>0</v>
      </c>
      <c r="AF456" s="6">
        <v>0</v>
      </c>
      <c r="AG456" s="6">
        <v>0</v>
      </c>
      <c r="AH456" s="6">
        <v>0</v>
      </c>
      <c r="AI456" s="6">
        <v>0</v>
      </c>
      <c r="AJ456" s="6">
        <v>5335228.5996769397</v>
      </c>
      <c r="AK456" s="6">
        <v>12575.081292405001</v>
      </c>
      <c r="AL456" s="6">
        <v>330.98244656580999</v>
      </c>
      <c r="AM456" s="6">
        <v>93035.839999999997</v>
      </c>
      <c r="AN456" s="6">
        <v>3997.71997117915</v>
      </c>
      <c r="AO456" s="6">
        <v>14546.291530348301</v>
      </c>
      <c r="AP456" s="6">
        <v>330.98244656580999</v>
      </c>
      <c r="AQ456" s="6">
        <v>93035.839999999997</v>
      </c>
      <c r="AR456" s="6">
        <v>3997.71997117915</v>
      </c>
      <c r="AS456" s="6">
        <v>14546.291530348301</v>
      </c>
      <c r="AT456" s="6">
        <v>0</v>
      </c>
      <c r="AU456" t="s">
        <v>2973</v>
      </c>
      <c r="AV456" t="s">
        <v>2973</v>
      </c>
    </row>
    <row r="457" spans="1:48" x14ac:dyDescent="0.45">
      <c r="A457" s="5" t="s">
        <v>930</v>
      </c>
      <c r="B457">
        <v>2183</v>
      </c>
      <c r="C457" t="s">
        <v>925</v>
      </c>
      <c r="D457">
        <v>932</v>
      </c>
      <c r="E457" t="s">
        <v>931</v>
      </c>
      <c r="F457" t="s">
        <v>2739</v>
      </c>
      <c r="G457" t="s">
        <v>2747</v>
      </c>
      <c r="H457" t="s">
        <v>2741</v>
      </c>
      <c r="I457" t="s">
        <v>2742</v>
      </c>
      <c r="J457">
        <v>508.19724931770099</v>
      </c>
      <c r="K457">
        <v>2</v>
      </c>
      <c r="L457">
        <v>1</v>
      </c>
      <c r="M457">
        <v>2</v>
      </c>
      <c r="N457" s="6">
        <v>3691963.9450481501</v>
      </c>
      <c r="O457" s="6">
        <v>1459690.02568739</v>
      </c>
      <c r="P457" s="6">
        <v>1199404.2248649001</v>
      </c>
      <c r="Q457" s="6">
        <v>156048.646489771</v>
      </c>
      <c r="R457" s="6">
        <v>125585.471574807</v>
      </c>
      <c r="S457" s="6">
        <v>179803.05923065799</v>
      </c>
      <c r="T457" s="6">
        <v>4780865.08</v>
      </c>
      <c r="U457" s="6">
        <v>1851827.23366502</v>
      </c>
      <c r="V457" s="6">
        <v>6082102.9009140097</v>
      </c>
      <c r="W457" s="6">
        <v>531116.87740541296</v>
      </c>
      <c r="X457" s="6">
        <v>0</v>
      </c>
      <c r="Y457" s="6">
        <v>0</v>
      </c>
      <c r="Z457" s="6">
        <v>0</v>
      </c>
      <c r="AA457" s="6">
        <v>0</v>
      </c>
      <c r="AB457" s="6">
        <v>19472.535345591601</v>
      </c>
      <c r="AC457" s="6">
        <v>179803.05923065799</v>
      </c>
      <c r="AD457" s="6">
        <v>0</v>
      </c>
      <c r="AE457" s="6">
        <v>0</v>
      </c>
      <c r="AF457" s="6">
        <v>0</v>
      </c>
      <c r="AG457" s="6">
        <v>0</v>
      </c>
      <c r="AH457" s="6">
        <v>0</v>
      </c>
      <c r="AI457" s="6">
        <v>0</v>
      </c>
      <c r="AJ457" s="6">
        <v>6812495.3728956804</v>
      </c>
      <c r="AK457" s="6">
        <v>13405.218902782401</v>
      </c>
      <c r="AL457" s="6">
        <v>330.98244656580999</v>
      </c>
      <c r="AM457" s="6">
        <v>93035.839999999997</v>
      </c>
      <c r="AN457" s="6">
        <v>3997.71997117915</v>
      </c>
      <c r="AO457" s="6">
        <v>14546.291530348301</v>
      </c>
      <c r="AP457" s="6">
        <v>3753.1860850462999</v>
      </c>
      <c r="AQ457" s="6">
        <v>20687.885194392002</v>
      </c>
      <c r="AR457" s="6">
        <v>11157.424200015999</v>
      </c>
      <c r="AS457" s="6">
        <v>13405.218902782401</v>
      </c>
      <c r="AT457" s="6">
        <v>0</v>
      </c>
      <c r="AU457" t="s">
        <v>2973</v>
      </c>
      <c r="AV457" t="s">
        <v>2973</v>
      </c>
    </row>
    <row r="458" spans="1:48" x14ac:dyDescent="0.45">
      <c r="A458" s="5" t="s">
        <v>932</v>
      </c>
      <c r="B458">
        <v>2183</v>
      </c>
      <c r="C458" t="s">
        <v>925</v>
      </c>
      <c r="D458">
        <v>933</v>
      </c>
      <c r="E458" t="s">
        <v>933</v>
      </c>
      <c r="F458" t="s">
        <v>2739</v>
      </c>
      <c r="G458" t="s">
        <v>2740</v>
      </c>
      <c r="H458" t="s">
        <v>2741</v>
      </c>
      <c r="I458" t="s">
        <v>2742</v>
      </c>
      <c r="J458">
        <v>369.75662137018202</v>
      </c>
      <c r="K458">
        <v>3</v>
      </c>
      <c r="L458">
        <v>1</v>
      </c>
      <c r="M458">
        <v>2</v>
      </c>
      <c r="N458" s="6">
        <v>3187572.5172779299</v>
      </c>
      <c r="O458" s="6">
        <v>896434.09940998396</v>
      </c>
      <c r="P458" s="6">
        <v>958846.29183754302</v>
      </c>
      <c r="Q458" s="6">
        <v>113538.631649256</v>
      </c>
      <c r="R458" s="6">
        <v>91374.086981041299</v>
      </c>
      <c r="S458" s="6">
        <v>130821.98257155099</v>
      </c>
      <c r="T458" s="6">
        <v>3900404.18</v>
      </c>
      <c r="U458" s="6">
        <v>1347361.4471557499</v>
      </c>
      <c r="V458" s="6">
        <v>4140497.5825642901</v>
      </c>
      <c r="W458" s="6">
        <v>1093100.1228080201</v>
      </c>
      <c r="X458" s="6">
        <v>0</v>
      </c>
      <c r="Y458" s="6">
        <v>0</v>
      </c>
      <c r="Z458" s="6">
        <v>0</v>
      </c>
      <c r="AA458" s="6">
        <v>0</v>
      </c>
      <c r="AB458" s="6">
        <v>14167.921783449499</v>
      </c>
      <c r="AC458" s="6">
        <v>130821.98257155099</v>
      </c>
      <c r="AD458" s="6">
        <v>0</v>
      </c>
      <c r="AE458" s="6">
        <v>0</v>
      </c>
      <c r="AF458" s="6">
        <v>0</v>
      </c>
      <c r="AG458" s="6">
        <v>0</v>
      </c>
      <c r="AH458" s="6">
        <v>0</v>
      </c>
      <c r="AI458" s="6">
        <v>0</v>
      </c>
      <c r="AJ458" s="6">
        <v>5378587.6097272998</v>
      </c>
      <c r="AK458" s="6">
        <v>14546.291530348301</v>
      </c>
      <c r="AL458" s="6">
        <v>330.98244656580999</v>
      </c>
      <c r="AM458" s="6">
        <v>93035.839999999997</v>
      </c>
      <c r="AN458" s="6">
        <v>3997.71997117915</v>
      </c>
      <c r="AO458" s="6">
        <v>14546.291530348301</v>
      </c>
      <c r="AP458" s="6">
        <v>330.98244656580999</v>
      </c>
      <c r="AQ458" s="6">
        <v>93035.839999999997</v>
      </c>
      <c r="AR458" s="6">
        <v>3997.71997117915</v>
      </c>
      <c r="AS458" s="6">
        <v>14546.291530348301</v>
      </c>
      <c r="AT458" s="6">
        <v>0</v>
      </c>
      <c r="AU458" t="s">
        <v>2973</v>
      </c>
      <c r="AV458" t="s">
        <v>2973</v>
      </c>
    </row>
    <row r="459" spans="1:48" x14ac:dyDescent="0.45">
      <c r="A459" s="5" t="s">
        <v>934</v>
      </c>
      <c r="B459">
        <v>2183</v>
      </c>
      <c r="C459" t="s">
        <v>925</v>
      </c>
      <c r="D459">
        <v>941</v>
      </c>
      <c r="E459" t="s">
        <v>935</v>
      </c>
      <c r="F459" t="s">
        <v>2739</v>
      </c>
      <c r="G459" t="s">
        <v>2740</v>
      </c>
      <c r="H459" t="s">
        <v>2741</v>
      </c>
      <c r="I459" t="s">
        <v>2742</v>
      </c>
      <c r="J459">
        <v>487.51486798778899</v>
      </c>
      <c r="K459">
        <v>1</v>
      </c>
      <c r="L459">
        <v>1</v>
      </c>
      <c r="M459">
        <v>2</v>
      </c>
      <c r="N459" s="6">
        <v>2982394.7923129499</v>
      </c>
      <c r="O459" s="6">
        <v>843835.65966337302</v>
      </c>
      <c r="P459" s="6">
        <v>1052490.36584111</v>
      </c>
      <c r="Q459" s="6">
        <v>149697.84939858</v>
      </c>
      <c r="R459" s="6">
        <v>120474.450969925</v>
      </c>
      <c r="S459" s="6">
        <v>172485.51581560401</v>
      </c>
      <c r="T459" s="6">
        <v>3372430.71</v>
      </c>
      <c r="U459" s="6">
        <v>1776462.40818595</v>
      </c>
      <c r="V459" s="6">
        <v>4614975.43999252</v>
      </c>
      <c r="W459" s="6">
        <v>515237.62726607698</v>
      </c>
      <c r="X459" s="6">
        <v>0</v>
      </c>
      <c r="Y459" s="6">
        <v>0</v>
      </c>
      <c r="Z459" s="6">
        <v>0</v>
      </c>
      <c r="AA459" s="6">
        <v>0</v>
      </c>
      <c r="AB459" s="6">
        <v>18680.050927349599</v>
      </c>
      <c r="AC459" s="6">
        <v>172485.51581560401</v>
      </c>
      <c r="AD459" s="6">
        <v>0</v>
      </c>
      <c r="AE459" s="6">
        <v>0</v>
      </c>
      <c r="AF459" s="6">
        <v>0</v>
      </c>
      <c r="AG459" s="6">
        <v>0</v>
      </c>
      <c r="AH459" s="6">
        <v>0</v>
      </c>
      <c r="AI459" s="6">
        <v>0</v>
      </c>
      <c r="AJ459" s="6">
        <v>5321378.6340015503</v>
      </c>
      <c r="AK459" s="6">
        <v>10915.315579944199</v>
      </c>
      <c r="AL459" s="6">
        <v>330.98244656580999</v>
      </c>
      <c r="AM459" s="6">
        <v>93035.839999999997</v>
      </c>
      <c r="AN459" s="6">
        <v>3997.71997117915</v>
      </c>
      <c r="AO459" s="6">
        <v>14546.291530348301</v>
      </c>
      <c r="AP459" s="6">
        <v>330.98244656580999</v>
      </c>
      <c r="AQ459" s="6">
        <v>93035.839999999997</v>
      </c>
      <c r="AR459" s="6">
        <v>3997.71997117915</v>
      </c>
      <c r="AS459" s="6">
        <v>14546.291530348301</v>
      </c>
      <c r="AT459" s="6">
        <v>0</v>
      </c>
      <c r="AU459" t="s">
        <v>2973</v>
      </c>
      <c r="AV459" t="s">
        <v>2973</v>
      </c>
    </row>
    <row r="460" spans="1:48" x14ac:dyDescent="0.45">
      <c r="A460" s="5" t="s">
        <v>936</v>
      </c>
      <c r="B460">
        <v>2183</v>
      </c>
      <c r="C460" t="s">
        <v>925</v>
      </c>
      <c r="D460">
        <v>934</v>
      </c>
      <c r="E460" t="s">
        <v>937</v>
      </c>
      <c r="F460" t="s">
        <v>2739</v>
      </c>
      <c r="G460" t="s">
        <v>2747</v>
      </c>
      <c r="H460" t="s">
        <v>2741</v>
      </c>
      <c r="I460" t="s">
        <v>2742</v>
      </c>
      <c r="J460">
        <v>827.27261639440906</v>
      </c>
      <c r="K460">
        <v>1</v>
      </c>
      <c r="L460">
        <v>1</v>
      </c>
      <c r="M460">
        <v>2</v>
      </c>
      <c r="N460" s="6">
        <v>4961405.0926660802</v>
      </c>
      <c r="O460" s="6">
        <v>1820243.100112</v>
      </c>
      <c r="P460" s="6">
        <v>1697429.42689877</v>
      </c>
      <c r="Q460" s="6">
        <v>254024.93271996299</v>
      </c>
      <c r="R460" s="6">
        <v>204435.23019910499</v>
      </c>
      <c r="S460" s="6">
        <v>292693.72757363302</v>
      </c>
      <c r="T460" s="6">
        <v>5923027.25</v>
      </c>
      <c r="U460" s="6">
        <v>3014510.5325959199</v>
      </c>
      <c r="V460" s="6">
        <v>8076832.1856244998</v>
      </c>
      <c r="W460" s="6">
        <v>829007.087613474</v>
      </c>
      <c r="X460" s="6">
        <v>0</v>
      </c>
      <c r="Y460" s="6">
        <v>0</v>
      </c>
      <c r="Z460" s="6">
        <v>0</v>
      </c>
      <c r="AA460" s="6">
        <v>0</v>
      </c>
      <c r="AB460" s="6">
        <v>31698.509357947201</v>
      </c>
      <c r="AC460" s="6">
        <v>292693.72757363302</v>
      </c>
      <c r="AD460" s="6">
        <v>0</v>
      </c>
      <c r="AE460" s="6">
        <v>0</v>
      </c>
      <c r="AF460" s="6">
        <v>0</v>
      </c>
      <c r="AG460" s="6">
        <v>0</v>
      </c>
      <c r="AH460" s="6">
        <v>0</v>
      </c>
      <c r="AI460" s="6">
        <v>0</v>
      </c>
      <c r="AJ460" s="6">
        <v>9230231.5101695508</v>
      </c>
      <c r="AK460" s="6">
        <v>11157.424200015999</v>
      </c>
      <c r="AL460" s="6">
        <v>330.98244656580999</v>
      </c>
      <c r="AM460" s="6">
        <v>93035.839999999997</v>
      </c>
      <c r="AN460" s="6">
        <v>3997.71997117915</v>
      </c>
      <c r="AO460" s="6">
        <v>14546.291530348301</v>
      </c>
      <c r="AP460" s="6">
        <v>3753.1860850462999</v>
      </c>
      <c r="AQ460" s="6">
        <v>20687.885194392002</v>
      </c>
      <c r="AR460" s="6">
        <v>11157.424200015999</v>
      </c>
      <c r="AS460" s="6">
        <v>13405.218902782401</v>
      </c>
      <c r="AT460" s="6">
        <v>0</v>
      </c>
      <c r="AU460" t="s">
        <v>2973</v>
      </c>
      <c r="AV460" t="s">
        <v>2973</v>
      </c>
    </row>
    <row r="461" spans="1:48" x14ac:dyDescent="0.45">
      <c r="A461" s="5" t="s">
        <v>938</v>
      </c>
      <c r="B461">
        <v>2183</v>
      </c>
      <c r="C461" t="s">
        <v>925</v>
      </c>
      <c r="D461">
        <v>4601</v>
      </c>
      <c r="E461" t="s">
        <v>939</v>
      </c>
      <c r="F461" t="s">
        <v>3</v>
      </c>
      <c r="G461" t="s">
        <v>2740</v>
      </c>
      <c r="H461" t="s">
        <v>2741</v>
      </c>
      <c r="I461" t="s">
        <v>2742</v>
      </c>
      <c r="J461">
        <v>170.47393643507701</v>
      </c>
      <c r="K461">
        <v>1</v>
      </c>
      <c r="L461">
        <v>1</v>
      </c>
      <c r="M461">
        <v>2</v>
      </c>
      <c r="N461" s="6">
        <v>114218.174094275</v>
      </c>
      <c r="O461" s="6">
        <v>122909.55758651601</v>
      </c>
      <c r="P461" s="6">
        <v>289590.98184834898</v>
      </c>
      <c r="Q461" s="6">
        <v>52346.263342024999</v>
      </c>
      <c r="R461" s="6">
        <v>42127.441120856798</v>
      </c>
      <c r="S461" s="6">
        <v>60314.642260012697</v>
      </c>
      <c r="T461" s="6">
        <v>0</v>
      </c>
      <c r="U461" s="6">
        <v>621192.41799202096</v>
      </c>
      <c r="V461" s="6">
        <v>471364.03244684299</v>
      </c>
      <c r="W461" s="6">
        <v>143296.355399027</v>
      </c>
      <c r="X461" s="6">
        <v>0</v>
      </c>
      <c r="Y461" s="6">
        <v>0</v>
      </c>
      <c r="Z461" s="6">
        <v>0</v>
      </c>
      <c r="AA461" s="6">
        <v>0</v>
      </c>
      <c r="AB461" s="6">
        <v>6532.0301461508798</v>
      </c>
      <c r="AC461" s="6">
        <v>60314.642260012697</v>
      </c>
      <c r="AD461" s="6">
        <v>0</v>
      </c>
      <c r="AE461" s="6">
        <v>0</v>
      </c>
      <c r="AF461" s="6">
        <v>0</v>
      </c>
      <c r="AG461" s="6">
        <v>0</v>
      </c>
      <c r="AH461" s="6">
        <v>0</v>
      </c>
      <c r="AI461" s="6">
        <v>0</v>
      </c>
      <c r="AJ461" s="6">
        <v>681507.06025203399</v>
      </c>
      <c r="AK461" s="6">
        <v>3997.71997117915</v>
      </c>
      <c r="AL461" s="6">
        <v>330.98244656580999</v>
      </c>
      <c r="AM461" s="6">
        <v>93035.839999999997</v>
      </c>
      <c r="AN461" s="6">
        <v>3997.71997117915</v>
      </c>
      <c r="AO461" s="6">
        <v>14546.291530348301</v>
      </c>
      <c r="AP461" s="6">
        <v>330.98244656580999</v>
      </c>
      <c r="AQ461" s="6">
        <v>93035.839999999997</v>
      </c>
      <c r="AR461" s="6">
        <v>3997.71997117915</v>
      </c>
      <c r="AS461" s="6">
        <v>14546.291530348301</v>
      </c>
      <c r="AT461" s="6">
        <v>0</v>
      </c>
      <c r="AU461" t="s">
        <v>2973</v>
      </c>
      <c r="AV461" t="s">
        <v>2976</v>
      </c>
    </row>
    <row r="462" spans="1:48" x14ac:dyDescent="0.45">
      <c r="A462" s="5" t="s">
        <v>940</v>
      </c>
      <c r="B462">
        <v>2183</v>
      </c>
      <c r="C462" t="s">
        <v>925</v>
      </c>
      <c r="D462">
        <v>986</v>
      </c>
      <c r="E462" t="s">
        <v>941</v>
      </c>
      <c r="F462" t="s">
        <v>2739</v>
      </c>
      <c r="G462" t="s">
        <v>2744</v>
      </c>
      <c r="H462" t="s">
        <v>2741</v>
      </c>
      <c r="I462" t="s">
        <v>2742</v>
      </c>
      <c r="J462">
        <v>1439.53314132737</v>
      </c>
      <c r="K462">
        <v>1</v>
      </c>
      <c r="L462">
        <v>1</v>
      </c>
      <c r="M462">
        <v>2</v>
      </c>
      <c r="N462" s="6">
        <v>8848006.7610299792</v>
      </c>
      <c r="O462" s="6">
        <v>5144589.5647265203</v>
      </c>
      <c r="P462" s="6">
        <v>2882583.65373208</v>
      </c>
      <c r="Q462" s="6">
        <v>442027.57606991899</v>
      </c>
      <c r="R462" s="6">
        <v>355736.77079889498</v>
      </c>
      <c r="S462" s="6">
        <v>509314.961901278</v>
      </c>
      <c r="T462" s="6">
        <v>12427408.9</v>
      </c>
      <c r="U462" s="6">
        <v>5245535.4263573904</v>
      </c>
      <c r="V462" s="6">
        <v>15087127.6600847</v>
      </c>
      <c r="W462" s="6">
        <v>2530658.2410484999</v>
      </c>
      <c r="X462" s="6">
        <v>0</v>
      </c>
      <c r="Y462" s="6">
        <v>0</v>
      </c>
      <c r="Z462" s="6">
        <v>0</v>
      </c>
      <c r="AA462" s="6">
        <v>0</v>
      </c>
      <c r="AB462" s="6">
        <v>55158.425224225699</v>
      </c>
      <c r="AC462" s="6">
        <v>509314.961901278</v>
      </c>
      <c r="AD462" s="6">
        <v>0</v>
      </c>
      <c r="AE462" s="6">
        <v>0</v>
      </c>
      <c r="AF462" s="6">
        <v>0</v>
      </c>
      <c r="AG462" s="6">
        <v>0</v>
      </c>
      <c r="AH462" s="6">
        <v>0</v>
      </c>
      <c r="AI462" s="6">
        <v>0</v>
      </c>
      <c r="AJ462" s="6">
        <v>18182259.288258601</v>
      </c>
      <c r="AK462" s="6">
        <v>12630.6639050305</v>
      </c>
      <c r="AL462" s="6">
        <v>330.98244656580999</v>
      </c>
      <c r="AM462" s="6">
        <v>93035.839999999997</v>
      </c>
      <c r="AN462" s="6">
        <v>3997.71997117915</v>
      </c>
      <c r="AO462" s="6">
        <v>14546.291530348301</v>
      </c>
      <c r="AP462" s="6">
        <v>330.98244656580999</v>
      </c>
      <c r="AQ462" s="6">
        <v>40734.411818744898</v>
      </c>
      <c r="AR462" s="6">
        <v>12516.681137768899</v>
      </c>
      <c r="AS462" s="6">
        <v>14383.653619992199</v>
      </c>
      <c r="AT462" s="6">
        <v>0</v>
      </c>
      <c r="AU462" t="s">
        <v>2973</v>
      </c>
      <c r="AV462" t="s">
        <v>2973</v>
      </c>
    </row>
    <row r="463" spans="1:48" x14ac:dyDescent="0.45">
      <c r="A463" s="5" t="s">
        <v>942</v>
      </c>
      <c r="B463">
        <v>2183</v>
      </c>
      <c r="C463" t="s">
        <v>925</v>
      </c>
      <c r="D463">
        <v>2183</v>
      </c>
      <c r="E463" t="s">
        <v>925</v>
      </c>
      <c r="F463" t="s">
        <v>1</v>
      </c>
      <c r="G463" t="s">
        <v>1</v>
      </c>
      <c r="H463" t="s">
        <v>2743</v>
      </c>
      <c r="I463" t="s">
        <v>2742</v>
      </c>
      <c r="J463">
        <v>154.32438103834099</v>
      </c>
      <c r="K463">
        <v>1</v>
      </c>
      <c r="L463">
        <v>3</v>
      </c>
      <c r="M463">
        <v>2</v>
      </c>
      <c r="N463" s="6">
        <v>103397.911663413</v>
      </c>
      <c r="O463" s="6">
        <v>111265.93187727001</v>
      </c>
      <c r="P463" s="6">
        <v>262157.07786539901</v>
      </c>
      <c r="Q463" s="6">
        <v>47387.330045050599</v>
      </c>
      <c r="R463" s="6">
        <v>38136.5703852406</v>
      </c>
      <c r="S463" s="6">
        <v>54600.838280461801</v>
      </c>
      <c r="T463" s="6">
        <v>0</v>
      </c>
      <c r="U463" s="6">
        <v>562344.82183637202</v>
      </c>
      <c r="V463" s="6">
        <v>426710.17090520699</v>
      </c>
      <c r="W463" s="6">
        <v>129721.421435157</v>
      </c>
      <c r="X463" s="6">
        <v>0</v>
      </c>
      <c r="Y463" s="6">
        <v>0</v>
      </c>
      <c r="Z463" s="6">
        <v>0</v>
      </c>
      <c r="AA463" s="6">
        <v>0</v>
      </c>
      <c r="AB463" s="6">
        <v>5913.2294960081299</v>
      </c>
      <c r="AC463" s="6">
        <v>54600.838280461801</v>
      </c>
      <c r="AD463" s="6">
        <v>0</v>
      </c>
      <c r="AE463" s="6">
        <v>0</v>
      </c>
      <c r="AF463" s="6">
        <v>0</v>
      </c>
      <c r="AG463" s="6">
        <v>0</v>
      </c>
      <c r="AH463" s="6">
        <v>0</v>
      </c>
      <c r="AI463" s="6">
        <v>0</v>
      </c>
      <c r="AJ463" s="6">
        <v>616945.66011683503</v>
      </c>
      <c r="AK463" s="6">
        <v>3997.71997117915</v>
      </c>
      <c r="AL463" s="6">
        <v>330.98244656580999</v>
      </c>
      <c r="AM463" s="6">
        <v>93035.839999999997</v>
      </c>
      <c r="AN463" s="6">
        <v>3997.71997117915</v>
      </c>
      <c r="AO463" s="6">
        <v>14546.291530348301</v>
      </c>
      <c r="AP463" s="6">
        <v>634.54287297753501</v>
      </c>
      <c r="AQ463" s="6">
        <v>40331.279999999999</v>
      </c>
      <c r="AR463" s="6">
        <v>3997.71997117915</v>
      </c>
      <c r="AS463" s="6">
        <v>3997.71997117915</v>
      </c>
      <c r="AT463" s="6">
        <v>0</v>
      </c>
      <c r="AU463" t="s">
        <v>2973</v>
      </c>
      <c r="AV463" t="s">
        <v>2977</v>
      </c>
    </row>
    <row r="464" spans="1:48" x14ac:dyDescent="0.45">
      <c r="A464" s="5" t="s">
        <v>943</v>
      </c>
      <c r="B464">
        <v>2183</v>
      </c>
      <c r="C464" t="s">
        <v>925</v>
      </c>
      <c r="D464">
        <v>936</v>
      </c>
      <c r="E464" t="s">
        <v>944</v>
      </c>
      <c r="F464" t="s">
        <v>2739</v>
      </c>
      <c r="G464" t="s">
        <v>2740</v>
      </c>
      <c r="H464" t="s">
        <v>2741</v>
      </c>
      <c r="I464" t="s">
        <v>2742</v>
      </c>
      <c r="J464">
        <v>409.91475145146302</v>
      </c>
      <c r="K464">
        <v>3</v>
      </c>
      <c r="L464">
        <v>1</v>
      </c>
      <c r="M464">
        <v>2</v>
      </c>
      <c r="N464" s="6">
        <v>2879661.0144141898</v>
      </c>
      <c r="O464" s="6">
        <v>801289.33459094597</v>
      </c>
      <c r="P464" s="6">
        <v>896419.47424236301</v>
      </c>
      <c r="Q464" s="6">
        <v>125869.71343523099</v>
      </c>
      <c r="R464" s="6">
        <v>101297.94570044801</v>
      </c>
      <c r="S464" s="6">
        <v>145030.155975267</v>
      </c>
      <c r="T464" s="6">
        <v>3310843.25</v>
      </c>
      <c r="U464" s="6">
        <v>1493694.2323831799</v>
      </c>
      <c r="V464" s="6">
        <v>4003126.6198591501</v>
      </c>
      <c r="W464" s="6">
        <v>785704.20630534296</v>
      </c>
      <c r="X464" s="6">
        <v>0</v>
      </c>
      <c r="Y464" s="6">
        <v>0</v>
      </c>
      <c r="Z464" s="6">
        <v>0</v>
      </c>
      <c r="AA464" s="6">
        <v>0</v>
      </c>
      <c r="AB464" s="6">
        <v>15706.6562186919</v>
      </c>
      <c r="AC464" s="6">
        <v>145030.155975267</v>
      </c>
      <c r="AD464" s="6">
        <v>0</v>
      </c>
      <c r="AE464" s="6">
        <v>0</v>
      </c>
      <c r="AF464" s="6">
        <v>0</v>
      </c>
      <c r="AG464" s="6">
        <v>0</v>
      </c>
      <c r="AH464" s="6">
        <v>0</v>
      </c>
      <c r="AI464" s="6">
        <v>0</v>
      </c>
      <c r="AJ464" s="6">
        <v>4949567.6383584598</v>
      </c>
      <c r="AK464" s="6">
        <v>12074.6267872346</v>
      </c>
      <c r="AL464" s="6">
        <v>330.98244656580999</v>
      </c>
      <c r="AM464" s="6">
        <v>93035.839999999997</v>
      </c>
      <c r="AN464" s="6">
        <v>3997.71997117915</v>
      </c>
      <c r="AO464" s="6">
        <v>14546.291530348301</v>
      </c>
      <c r="AP464" s="6">
        <v>330.98244656580999</v>
      </c>
      <c r="AQ464" s="6">
        <v>93035.839999999997</v>
      </c>
      <c r="AR464" s="6">
        <v>3997.71997117915</v>
      </c>
      <c r="AS464" s="6">
        <v>14546.291530348301</v>
      </c>
      <c r="AT464" s="6">
        <v>0</v>
      </c>
      <c r="AU464" t="s">
        <v>2973</v>
      </c>
      <c r="AV464" t="s">
        <v>2973</v>
      </c>
    </row>
    <row r="465" spans="1:48" x14ac:dyDescent="0.45">
      <c r="A465" s="5" t="s">
        <v>945</v>
      </c>
      <c r="B465">
        <v>2183</v>
      </c>
      <c r="C465" t="s">
        <v>925</v>
      </c>
      <c r="D465">
        <v>935</v>
      </c>
      <c r="E465" t="s">
        <v>869</v>
      </c>
      <c r="F465" t="s">
        <v>2739</v>
      </c>
      <c r="G465" t="s">
        <v>2740</v>
      </c>
      <c r="H465" t="s">
        <v>2741</v>
      </c>
      <c r="I465" t="s">
        <v>2742</v>
      </c>
      <c r="J465">
        <v>479.78684959334902</v>
      </c>
      <c r="K465">
        <v>3</v>
      </c>
      <c r="L465">
        <v>1</v>
      </c>
      <c r="M465">
        <v>2</v>
      </c>
      <c r="N465" s="6">
        <v>3915877.3911262201</v>
      </c>
      <c r="O465" s="6">
        <v>818811.31589240301</v>
      </c>
      <c r="P465" s="6">
        <v>1056496.5979267</v>
      </c>
      <c r="Q465" s="6">
        <v>147324.85975308399</v>
      </c>
      <c r="R465" s="6">
        <v>118564.706602541</v>
      </c>
      <c r="S465" s="6">
        <v>169751.299227504</v>
      </c>
      <c r="T465" s="6">
        <v>4308772.7</v>
      </c>
      <c r="U465" s="6">
        <v>1748302.17130095</v>
      </c>
      <c r="V465" s="6">
        <v>5083325.19601613</v>
      </c>
      <c r="W465" s="6">
        <v>955365.73794631695</v>
      </c>
      <c r="X465" s="6">
        <v>0</v>
      </c>
      <c r="Y465" s="6">
        <v>0</v>
      </c>
      <c r="Z465" s="6">
        <v>0</v>
      </c>
      <c r="AA465" s="6">
        <v>0</v>
      </c>
      <c r="AB465" s="6">
        <v>18383.937338503601</v>
      </c>
      <c r="AC465" s="6">
        <v>169751.299227504</v>
      </c>
      <c r="AD465" s="6">
        <v>0</v>
      </c>
      <c r="AE465" s="6">
        <v>0</v>
      </c>
      <c r="AF465" s="6">
        <v>0</v>
      </c>
      <c r="AG465" s="6">
        <v>0</v>
      </c>
      <c r="AH465" s="6">
        <v>0</v>
      </c>
      <c r="AI465" s="6">
        <v>0</v>
      </c>
      <c r="AJ465" s="6">
        <v>6226826.1705284603</v>
      </c>
      <c r="AK465" s="6">
        <v>12978.317717140601</v>
      </c>
      <c r="AL465" s="6">
        <v>330.98244656580999</v>
      </c>
      <c r="AM465" s="6">
        <v>93035.839999999997</v>
      </c>
      <c r="AN465" s="6">
        <v>3997.71997117915</v>
      </c>
      <c r="AO465" s="6">
        <v>14546.291530348301</v>
      </c>
      <c r="AP465" s="6">
        <v>330.98244656580999</v>
      </c>
      <c r="AQ465" s="6">
        <v>93035.839999999997</v>
      </c>
      <c r="AR465" s="6">
        <v>3997.71997117915</v>
      </c>
      <c r="AS465" s="6">
        <v>14546.291530348301</v>
      </c>
      <c r="AT465" s="6">
        <v>0</v>
      </c>
      <c r="AU465" t="s">
        <v>2973</v>
      </c>
      <c r="AV465" t="s">
        <v>2973</v>
      </c>
    </row>
    <row r="466" spans="1:48" x14ac:dyDescent="0.45">
      <c r="A466" s="5" t="s">
        <v>946</v>
      </c>
      <c r="B466">
        <v>2183</v>
      </c>
      <c r="C466" t="s">
        <v>925</v>
      </c>
      <c r="D466">
        <v>3543</v>
      </c>
      <c r="E466" t="s">
        <v>947</v>
      </c>
      <c r="F466" t="s">
        <v>2739</v>
      </c>
      <c r="G466" t="s">
        <v>2740</v>
      </c>
      <c r="H466" t="s">
        <v>2741</v>
      </c>
      <c r="I466" t="s">
        <v>2742</v>
      </c>
      <c r="J466">
        <v>558.76930894302905</v>
      </c>
      <c r="K466">
        <v>3</v>
      </c>
      <c r="L466">
        <v>1</v>
      </c>
      <c r="M466">
        <v>2</v>
      </c>
      <c r="N466" s="6">
        <v>4270806.7638726803</v>
      </c>
      <c r="O466" s="6">
        <v>1021672.29269456</v>
      </c>
      <c r="P466" s="6">
        <v>1144204.91126223</v>
      </c>
      <c r="Q466" s="6">
        <v>171577.46225043799</v>
      </c>
      <c r="R466" s="6">
        <v>138082.81579515201</v>
      </c>
      <c r="S466" s="6">
        <v>197695.73976845501</v>
      </c>
      <c r="T466" s="6">
        <v>4710236.76</v>
      </c>
      <c r="U466" s="6">
        <v>2036107.4858750601</v>
      </c>
      <c r="V466" s="6">
        <v>5695753.0332056098</v>
      </c>
      <c r="W466" s="6">
        <v>1029180.91355225</v>
      </c>
      <c r="X466" s="6">
        <v>0</v>
      </c>
      <c r="Y466" s="6">
        <v>0</v>
      </c>
      <c r="Z466" s="6">
        <v>0</v>
      </c>
      <c r="AA466" s="6">
        <v>0</v>
      </c>
      <c r="AB466" s="6">
        <v>21410.299117189501</v>
      </c>
      <c r="AC466" s="6">
        <v>197695.73976845501</v>
      </c>
      <c r="AD466" s="6">
        <v>0</v>
      </c>
      <c r="AE466" s="6">
        <v>0</v>
      </c>
      <c r="AF466" s="6">
        <v>0</v>
      </c>
      <c r="AG466" s="6">
        <v>0</v>
      </c>
      <c r="AH466" s="6">
        <v>0</v>
      </c>
      <c r="AI466" s="6">
        <v>0</v>
      </c>
      <c r="AJ466" s="6">
        <v>6944039.9856435098</v>
      </c>
      <c r="AK466" s="6">
        <v>12427.3825969055</v>
      </c>
      <c r="AL466" s="6">
        <v>330.98244656580999</v>
      </c>
      <c r="AM466" s="6">
        <v>93035.839999999997</v>
      </c>
      <c r="AN466" s="6">
        <v>3997.71997117915</v>
      </c>
      <c r="AO466" s="6">
        <v>14546.291530348301</v>
      </c>
      <c r="AP466" s="6">
        <v>330.98244656580999</v>
      </c>
      <c r="AQ466" s="6">
        <v>93035.839999999997</v>
      </c>
      <c r="AR466" s="6">
        <v>3997.71997117915</v>
      </c>
      <c r="AS466" s="6">
        <v>14546.291530348301</v>
      </c>
      <c r="AT466" s="6">
        <v>0</v>
      </c>
      <c r="AU466" t="s">
        <v>2973</v>
      </c>
      <c r="AV466" t="s">
        <v>2973</v>
      </c>
    </row>
    <row r="467" spans="1:48" x14ac:dyDescent="0.45">
      <c r="A467" s="5" t="s">
        <v>948</v>
      </c>
      <c r="B467">
        <v>2183</v>
      </c>
      <c r="C467" t="s">
        <v>925</v>
      </c>
      <c r="D467">
        <v>937</v>
      </c>
      <c r="E467" t="s">
        <v>949</v>
      </c>
      <c r="F467" t="s">
        <v>2739</v>
      </c>
      <c r="G467" t="s">
        <v>2740</v>
      </c>
      <c r="H467" t="s">
        <v>2741</v>
      </c>
      <c r="I467" t="s">
        <v>2742</v>
      </c>
      <c r="J467">
        <v>437.72691637624303</v>
      </c>
      <c r="K467">
        <v>2</v>
      </c>
      <c r="L467">
        <v>1</v>
      </c>
      <c r="M467">
        <v>2</v>
      </c>
      <c r="N467" s="6">
        <v>3233817.94878614</v>
      </c>
      <c r="O467" s="6">
        <v>771052.99464236596</v>
      </c>
      <c r="P467" s="6">
        <v>959588.05549159402</v>
      </c>
      <c r="Q467" s="6">
        <v>134409.80431193099</v>
      </c>
      <c r="R467" s="6">
        <v>108170.87516294399</v>
      </c>
      <c r="S467" s="6">
        <v>154870.25712500099</v>
      </c>
      <c r="T467" s="6">
        <v>3612000.3</v>
      </c>
      <c r="U467" s="6">
        <v>1595039.37839497</v>
      </c>
      <c r="V467" s="6">
        <v>4560362.6629092405</v>
      </c>
      <c r="W467" s="6">
        <v>629904.68375371804</v>
      </c>
      <c r="X467" s="6">
        <v>0</v>
      </c>
      <c r="Y467" s="6">
        <v>0</v>
      </c>
      <c r="Z467" s="6">
        <v>0</v>
      </c>
      <c r="AA467" s="6">
        <v>0</v>
      </c>
      <c r="AB467" s="6">
        <v>16772.331732013401</v>
      </c>
      <c r="AC467" s="6">
        <v>154870.25712500099</v>
      </c>
      <c r="AD467" s="6">
        <v>0</v>
      </c>
      <c r="AE467" s="6">
        <v>0</v>
      </c>
      <c r="AF467" s="6">
        <v>0</v>
      </c>
      <c r="AG467" s="6">
        <v>0</v>
      </c>
      <c r="AH467" s="6">
        <v>0</v>
      </c>
      <c r="AI467" s="6">
        <v>0</v>
      </c>
      <c r="AJ467" s="6">
        <v>5361909.93551997</v>
      </c>
      <c r="AK467" s="6">
        <v>12249.4407698502</v>
      </c>
      <c r="AL467" s="6">
        <v>330.98244656580999</v>
      </c>
      <c r="AM467" s="6">
        <v>93035.839999999997</v>
      </c>
      <c r="AN467" s="6">
        <v>3997.71997117915</v>
      </c>
      <c r="AO467" s="6">
        <v>14546.291530348301</v>
      </c>
      <c r="AP467" s="6">
        <v>330.98244656580999</v>
      </c>
      <c r="AQ467" s="6">
        <v>93035.839999999997</v>
      </c>
      <c r="AR467" s="6">
        <v>3997.71997117915</v>
      </c>
      <c r="AS467" s="6">
        <v>14546.291530348301</v>
      </c>
      <c r="AT467" s="6">
        <v>0</v>
      </c>
      <c r="AU467" t="s">
        <v>2973</v>
      </c>
      <c r="AV467" t="s">
        <v>2973</v>
      </c>
    </row>
    <row r="468" spans="1:48" x14ac:dyDescent="0.45">
      <c r="A468" s="5" t="s">
        <v>950</v>
      </c>
      <c r="B468">
        <v>2183</v>
      </c>
      <c r="C468" t="s">
        <v>925</v>
      </c>
      <c r="D468">
        <v>1313</v>
      </c>
      <c r="E468" t="s">
        <v>951</v>
      </c>
      <c r="F468" t="s">
        <v>2739</v>
      </c>
      <c r="G468" t="s">
        <v>2740</v>
      </c>
      <c r="H468" t="s">
        <v>2741</v>
      </c>
      <c r="I468" t="s">
        <v>2742</v>
      </c>
      <c r="J468">
        <v>507.76967276652999</v>
      </c>
      <c r="K468">
        <v>2</v>
      </c>
      <c r="L468">
        <v>1</v>
      </c>
      <c r="M468">
        <v>2</v>
      </c>
      <c r="N468" s="6">
        <v>3398933.0771619701</v>
      </c>
      <c r="O468" s="6">
        <v>850409.10838801204</v>
      </c>
      <c r="P468" s="6">
        <v>1135176.87325598</v>
      </c>
      <c r="Q468" s="6">
        <v>155917.353488539</v>
      </c>
      <c r="R468" s="6">
        <v>125479.809053246</v>
      </c>
      <c r="S468" s="6">
        <v>179651.780230114</v>
      </c>
      <c r="T468" s="6">
        <v>3815647.04</v>
      </c>
      <c r="U468" s="6">
        <v>1850269.1813477499</v>
      </c>
      <c r="V468" s="6">
        <v>5172804.4527251404</v>
      </c>
      <c r="W468" s="6">
        <v>473655.61667836498</v>
      </c>
      <c r="X468" s="6">
        <v>0</v>
      </c>
      <c r="Y468" s="6">
        <v>0</v>
      </c>
      <c r="Z468" s="6">
        <v>0</v>
      </c>
      <c r="AA468" s="6">
        <v>0</v>
      </c>
      <c r="AB468" s="6">
        <v>19456.151944231598</v>
      </c>
      <c r="AC468" s="6">
        <v>179651.780230114</v>
      </c>
      <c r="AD468" s="6">
        <v>0</v>
      </c>
      <c r="AE468" s="6">
        <v>0</v>
      </c>
      <c r="AF468" s="6">
        <v>0</v>
      </c>
      <c r="AG468" s="6">
        <v>0</v>
      </c>
      <c r="AH468" s="6">
        <v>0</v>
      </c>
      <c r="AI468" s="6">
        <v>0</v>
      </c>
      <c r="AJ468" s="6">
        <v>5845568.0015778597</v>
      </c>
      <c r="AK468" s="6">
        <v>11512.2432770136</v>
      </c>
      <c r="AL468" s="6">
        <v>330.98244656580999</v>
      </c>
      <c r="AM468" s="6">
        <v>93035.839999999997</v>
      </c>
      <c r="AN468" s="6">
        <v>3997.71997117915</v>
      </c>
      <c r="AO468" s="6">
        <v>14546.291530348301</v>
      </c>
      <c r="AP468" s="6">
        <v>330.98244656580999</v>
      </c>
      <c r="AQ468" s="6">
        <v>93035.839999999997</v>
      </c>
      <c r="AR468" s="6">
        <v>3997.71997117915</v>
      </c>
      <c r="AS468" s="6">
        <v>14546.291530348301</v>
      </c>
      <c r="AT468" s="6">
        <v>0</v>
      </c>
      <c r="AU468" t="s">
        <v>2973</v>
      </c>
      <c r="AV468" t="s">
        <v>2973</v>
      </c>
    </row>
    <row r="469" spans="1:48" x14ac:dyDescent="0.45">
      <c r="A469" s="5" t="s">
        <v>952</v>
      </c>
      <c r="B469">
        <v>2183</v>
      </c>
      <c r="C469" t="s">
        <v>925</v>
      </c>
      <c r="D469">
        <v>4667</v>
      </c>
      <c r="E469" t="s">
        <v>953</v>
      </c>
      <c r="F469" t="s">
        <v>3</v>
      </c>
      <c r="G469" t="s">
        <v>2740</v>
      </c>
      <c r="H469" t="s">
        <v>2741</v>
      </c>
      <c r="I469" t="s">
        <v>2742</v>
      </c>
      <c r="J469">
        <v>368.90308802188002</v>
      </c>
      <c r="K469">
        <v>1</v>
      </c>
      <c r="L469">
        <v>1</v>
      </c>
      <c r="M469">
        <v>2</v>
      </c>
      <c r="N469" s="6">
        <v>247166.44674680501</v>
      </c>
      <c r="O469" s="6">
        <v>265974.47263345402</v>
      </c>
      <c r="P469" s="6">
        <v>626670.620161511</v>
      </c>
      <c r="Q469" s="6">
        <v>113276.54301356401</v>
      </c>
      <c r="R469" s="6">
        <v>91163.162210796494</v>
      </c>
      <c r="S469" s="6">
        <v>130519.997648599</v>
      </c>
      <c r="T469" s="6">
        <v>0</v>
      </c>
      <c r="U469" s="6">
        <v>1344251.2447661301</v>
      </c>
      <c r="V469" s="6">
        <v>1020024.82484065</v>
      </c>
      <c r="W469" s="6">
        <v>310091.20288082102</v>
      </c>
      <c r="X469" s="6">
        <v>0</v>
      </c>
      <c r="Y469" s="6">
        <v>0</v>
      </c>
      <c r="Z469" s="6">
        <v>0</v>
      </c>
      <c r="AA469" s="6">
        <v>0</v>
      </c>
      <c r="AB469" s="6">
        <v>14135.2170446581</v>
      </c>
      <c r="AC469" s="6">
        <v>130519.997648599</v>
      </c>
      <c r="AD469" s="6">
        <v>0</v>
      </c>
      <c r="AE469" s="6">
        <v>0</v>
      </c>
      <c r="AF469" s="6">
        <v>0</v>
      </c>
      <c r="AG469" s="6">
        <v>0</v>
      </c>
      <c r="AH469" s="6">
        <v>0</v>
      </c>
      <c r="AI469" s="6">
        <v>0</v>
      </c>
      <c r="AJ469" s="6">
        <v>1474771.2424147299</v>
      </c>
      <c r="AK469" s="6">
        <v>3997.71997117915</v>
      </c>
      <c r="AL469" s="6">
        <v>330.98244656580999</v>
      </c>
      <c r="AM469" s="6">
        <v>93035.839999999997</v>
      </c>
      <c r="AN469" s="6">
        <v>3997.71997117915</v>
      </c>
      <c r="AO469" s="6">
        <v>14546.291530348301</v>
      </c>
      <c r="AP469" s="6">
        <v>330.98244656580999</v>
      </c>
      <c r="AQ469" s="6">
        <v>93035.839999999997</v>
      </c>
      <c r="AR469" s="6">
        <v>3997.71997117915</v>
      </c>
      <c r="AS469" s="6">
        <v>14546.291530348301</v>
      </c>
      <c r="AT469" s="6">
        <v>0</v>
      </c>
      <c r="AU469" t="s">
        <v>2973</v>
      </c>
      <c r="AV469" t="s">
        <v>2976</v>
      </c>
    </row>
    <row r="470" spans="1:48" x14ac:dyDescent="0.45">
      <c r="A470" s="5" t="s">
        <v>954</v>
      </c>
      <c r="B470">
        <v>2183</v>
      </c>
      <c r="C470" t="s">
        <v>925</v>
      </c>
      <c r="D470">
        <v>4740</v>
      </c>
      <c r="E470" t="s">
        <v>955</v>
      </c>
      <c r="F470" t="s">
        <v>3</v>
      </c>
      <c r="G470" t="s">
        <v>2748</v>
      </c>
      <c r="H470" t="s">
        <v>2749</v>
      </c>
      <c r="I470" t="s">
        <v>2742</v>
      </c>
      <c r="J470">
        <v>538.88483418883698</v>
      </c>
      <c r="K470">
        <v>1</v>
      </c>
      <c r="L470">
        <v>1</v>
      </c>
      <c r="M470">
        <v>2</v>
      </c>
      <c r="N470" s="6">
        <v>625534.51152321498</v>
      </c>
      <c r="O470" s="6">
        <v>388529.16724579199</v>
      </c>
      <c r="P470" s="6">
        <v>915425.49846240901</v>
      </c>
      <c r="Q470" s="6">
        <v>165471.672863113</v>
      </c>
      <c r="R470" s="6">
        <v>133168.97349794299</v>
      </c>
      <c r="S470" s="6">
        <v>190660.500209802</v>
      </c>
      <c r="T470" s="6">
        <v>264479.65999999997</v>
      </c>
      <c r="U470" s="6">
        <v>1963650.1635924701</v>
      </c>
      <c r="V470" s="6">
        <v>1490027.9408074501</v>
      </c>
      <c r="W470" s="6">
        <v>717453.494791909</v>
      </c>
      <c r="X470" s="6">
        <v>0</v>
      </c>
      <c r="Y470" s="6">
        <v>0</v>
      </c>
      <c r="Z470" s="6">
        <v>0</v>
      </c>
      <c r="AA470" s="6">
        <v>0</v>
      </c>
      <c r="AB470" s="6">
        <v>20648.3879931144</v>
      </c>
      <c r="AC470" s="6">
        <v>190660.500209802</v>
      </c>
      <c r="AD470" s="6">
        <v>0</v>
      </c>
      <c r="AE470" s="6">
        <v>0</v>
      </c>
      <c r="AF470" s="6">
        <v>0</v>
      </c>
      <c r="AG470" s="6">
        <v>0</v>
      </c>
      <c r="AH470" s="6">
        <v>0</v>
      </c>
      <c r="AI470" s="6">
        <v>0</v>
      </c>
      <c r="AJ470" s="6">
        <v>2418790.32380227</v>
      </c>
      <c r="AK470" s="6">
        <v>4488.5106619175704</v>
      </c>
      <c r="AL470" s="6">
        <v>330.98244656580999</v>
      </c>
      <c r="AM470" s="6">
        <v>93035.839999999997</v>
      </c>
      <c r="AN470" s="6">
        <v>3997.71997117915</v>
      </c>
      <c r="AO470" s="6">
        <v>14546.291530348301</v>
      </c>
      <c r="AP470" s="6">
        <v>330.98244656580999</v>
      </c>
      <c r="AQ470" s="6">
        <v>56162.493707719797</v>
      </c>
      <c r="AR470" s="6">
        <v>4488.5106619175704</v>
      </c>
      <c r="AS470" s="6">
        <v>4488.5106619175704</v>
      </c>
      <c r="AT470" s="6">
        <v>0</v>
      </c>
      <c r="AU470" t="s">
        <v>2973</v>
      </c>
      <c r="AV470" t="s">
        <v>2973</v>
      </c>
    </row>
    <row r="471" spans="1:48" x14ac:dyDescent="0.45">
      <c r="A471" s="5" t="s">
        <v>956</v>
      </c>
      <c r="B471">
        <v>2183</v>
      </c>
      <c r="C471" t="s">
        <v>925</v>
      </c>
      <c r="D471">
        <v>938</v>
      </c>
      <c r="E471" t="s">
        <v>957</v>
      </c>
      <c r="F471" t="s">
        <v>2739</v>
      </c>
      <c r="G471" t="s">
        <v>2740</v>
      </c>
      <c r="H471" t="s">
        <v>2741</v>
      </c>
      <c r="I471" t="s">
        <v>2742</v>
      </c>
      <c r="J471">
        <v>502.92583449456401</v>
      </c>
      <c r="K471">
        <v>3</v>
      </c>
      <c r="L471">
        <v>1</v>
      </c>
      <c r="M471">
        <v>2</v>
      </c>
      <c r="N471" s="6">
        <v>3893128.16742907</v>
      </c>
      <c r="O471" s="6">
        <v>830121.05210049194</v>
      </c>
      <c r="P471" s="6">
        <v>1196611.5189559001</v>
      </c>
      <c r="Q471" s="6">
        <v>154429.98926692901</v>
      </c>
      <c r="R471" s="6">
        <v>124282.801957214</v>
      </c>
      <c r="S471" s="6">
        <v>177938.00287124899</v>
      </c>
      <c r="T471" s="6">
        <v>4365954.88</v>
      </c>
      <c r="U471" s="6">
        <v>1832618.64970961</v>
      </c>
      <c r="V471" s="6">
        <v>5307209.5776639599</v>
      </c>
      <c r="W471" s="6">
        <v>872093.40089339495</v>
      </c>
      <c r="X471" s="6">
        <v>0</v>
      </c>
      <c r="Y471" s="6">
        <v>0</v>
      </c>
      <c r="Z471" s="6">
        <v>0</v>
      </c>
      <c r="AA471" s="6">
        <v>0</v>
      </c>
      <c r="AB471" s="6">
        <v>19270.551152244199</v>
      </c>
      <c r="AC471" s="6">
        <v>177938.00287124899</v>
      </c>
      <c r="AD471" s="6">
        <v>0</v>
      </c>
      <c r="AE471" s="6">
        <v>0</v>
      </c>
      <c r="AF471" s="6">
        <v>0</v>
      </c>
      <c r="AG471" s="6">
        <v>0</v>
      </c>
      <c r="AH471" s="6">
        <v>0</v>
      </c>
      <c r="AI471" s="6">
        <v>0</v>
      </c>
      <c r="AJ471" s="6">
        <v>6376511.5325808497</v>
      </c>
      <c r="AK471" s="6">
        <v>12678.830744475799</v>
      </c>
      <c r="AL471" s="6">
        <v>330.98244656580999</v>
      </c>
      <c r="AM471" s="6">
        <v>93035.839999999997</v>
      </c>
      <c r="AN471" s="6">
        <v>3997.71997117915</v>
      </c>
      <c r="AO471" s="6">
        <v>14546.291530348301</v>
      </c>
      <c r="AP471" s="6">
        <v>330.98244656580999</v>
      </c>
      <c r="AQ471" s="6">
        <v>93035.839999999997</v>
      </c>
      <c r="AR471" s="6">
        <v>3997.71997117915</v>
      </c>
      <c r="AS471" s="6">
        <v>14546.291530348301</v>
      </c>
      <c r="AT471" s="6">
        <v>0</v>
      </c>
      <c r="AU471" t="s">
        <v>2973</v>
      </c>
      <c r="AV471" t="s">
        <v>2973</v>
      </c>
    </row>
    <row r="472" spans="1:48" x14ac:dyDescent="0.45">
      <c r="A472" s="5" t="s">
        <v>958</v>
      </c>
      <c r="B472">
        <v>2183</v>
      </c>
      <c r="C472" t="s">
        <v>925</v>
      </c>
      <c r="D472">
        <v>939</v>
      </c>
      <c r="E472" t="s">
        <v>959</v>
      </c>
      <c r="F472" t="s">
        <v>2739</v>
      </c>
      <c r="G472" t="s">
        <v>2740</v>
      </c>
      <c r="H472" t="s">
        <v>2741</v>
      </c>
      <c r="I472" t="s">
        <v>2742</v>
      </c>
      <c r="J472">
        <v>461.59410352105198</v>
      </c>
      <c r="K472">
        <v>2</v>
      </c>
      <c r="L472">
        <v>1</v>
      </c>
      <c r="M472">
        <v>2</v>
      </c>
      <c r="N472" s="6">
        <v>2759255.0633118702</v>
      </c>
      <c r="O472" s="6">
        <v>793173.235481582</v>
      </c>
      <c r="P472" s="6">
        <v>1055338.093172</v>
      </c>
      <c r="Q472" s="6">
        <v>141738.53789808499</v>
      </c>
      <c r="R472" s="6">
        <v>114068.923522649</v>
      </c>
      <c r="S472" s="6">
        <v>163314.60283846001</v>
      </c>
      <c r="T472" s="6">
        <v>3181564.49</v>
      </c>
      <c r="U472" s="6">
        <v>1682009.36338618</v>
      </c>
      <c r="V472" s="6">
        <v>4438603.8591308203</v>
      </c>
      <c r="W472" s="6">
        <v>407283.14626829</v>
      </c>
      <c r="X472" s="6">
        <v>0</v>
      </c>
      <c r="Y472" s="6">
        <v>0</v>
      </c>
      <c r="Z472" s="6">
        <v>0</v>
      </c>
      <c r="AA472" s="6">
        <v>0</v>
      </c>
      <c r="AB472" s="6">
        <v>17686.847987072098</v>
      </c>
      <c r="AC472" s="6">
        <v>163314.60283846001</v>
      </c>
      <c r="AD472" s="6">
        <v>0</v>
      </c>
      <c r="AE472" s="6">
        <v>0</v>
      </c>
      <c r="AF472" s="6">
        <v>0</v>
      </c>
      <c r="AG472" s="6">
        <v>0</v>
      </c>
      <c r="AH472" s="6">
        <v>0</v>
      </c>
      <c r="AI472" s="6">
        <v>0</v>
      </c>
      <c r="AJ472" s="6">
        <v>5026888.4562246399</v>
      </c>
      <c r="AK472" s="6">
        <v>10890.2787489689</v>
      </c>
      <c r="AL472" s="6">
        <v>330.98244656580999</v>
      </c>
      <c r="AM472" s="6">
        <v>93035.839999999997</v>
      </c>
      <c r="AN472" s="6">
        <v>3997.71997117915</v>
      </c>
      <c r="AO472" s="6">
        <v>14546.291530348301</v>
      </c>
      <c r="AP472" s="6">
        <v>330.98244656580999</v>
      </c>
      <c r="AQ472" s="6">
        <v>93035.839999999997</v>
      </c>
      <c r="AR472" s="6">
        <v>3997.71997117915</v>
      </c>
      <c r="AS472" s="6">
        <v>14546.291530348301</v>
      </c>
      <c r="AT472" s="6">
        <v>0</v>
      </c>
      <c r="AU472" t="s">
        <v>2973</v>
      </c>
      <c r="AV472" t="s">
        <v>2973</v>
      </c>
    </row>
    <row r="473" spans="1:48" x14ac:dyDescent="0.45">
      <c r="A473" s="5" t="s">
        <v>960</v>
      </c>
      <c r="B473">
        <v>2183</v>
      </c>
      <c r="C473" t="s">
        <v>925</v>
      </c>
      <c r="D473">
        <v>987</v>
      </c>
      <c r="E473" t="s">
        <v>961</v>
      </c>
      <c r="F473" t="s">
        <v>2739</v>
      </c>
      <c r="G473" t="s">
        <v>2744</v>
      </c>
      <c r="H473" t="s">
        <v>2741</v>
      </c>
      <c r="I473" t="s">
        <v>2742</v>
      </c>
      <c r="J473">
        <v>1583.8691767861901</v>
      </c>
      <c r="K473">
        <v>1</v>
      </c>
      <c r="L473">
        <v>1</v>
      </c>
      <c r="M473">
        <v>2</v>
      </c>
      <c r="N473" s="6">
        <v>9486529.8638508301</v>
      </c>
      <c r="O473" s="6">
        <v>5789369.4154471299</v>
      </c>
      <c r="P473" s="6">
        <v>3110751.4243262401</v>
      </c>
      <c r="Q473" s="6">
        <v>486347.85329158598</v>
      </c>
      <c r="R473" s="6">
        <v>391405.02579766</v>
      </c>
      <c r="S473" s="6">
        <v>560381.86705978506</v>
      </c>
      <c r="T473" s="6">
        <v>13492920.01</v>
      </c>
      <c r="U473" s="6">
        <v>5771483.5727134496</v>
      </c>
      <c r="V473" s="6">
        <v>16459040.6046379</v>
      </c>
      <c r="W473" s="6">
        <v>2744674.0456400402</v>
      </c>
      <c r="X473" s="6">
        <v>0</v>
      </c>
      <c r="Y473" s="6">
        <v>0</v>
      </c>
      <c r="Z473" s="6">
        <v>0</v>
      </c>
      <c r="AA473" s="6">
        <v>0</v>
      </c>
      <c r="AB473" s="6">
        <v>60688.932435526003</v>
      </c>
      <c r="AC473" s="6">
        <v>560381.86705978506</v>
      </c>
      <c r="AD473" s="6">
        <v>0</v>
      </c>
      <c r="AE473" s="6">
        <v>0</v>
      </c>
      <c r="AF473" s="6">
        <v>0</v>
      </c>
      <c r="AG473" s="6">
        <v>0</v>
      </c>
      <c r="AH473" s="6">
        <v>0</v>
      </c>
      <c r="AI473" s="6">
        <v>0</v>
      </c>
      <c r="AJ473" s="6">
        <v>19824785.4497732</v>
      </c>
      <c r="AK473" s="6">
        <v>12516.681137768899</v>
      </c>
      <c r="AL473" s="6">
        <v>330.98244656580999</v>
      </c>
      <c r="AM473" s="6">
        <v>93035.839999999997</v>
      </c>
      <c r="AN473" s="6">
        <v>3997.71997117915</v>
      </c>
      <c r="AO473" s="6">
        <v>14546.291530348301</v>
      </c>
      <c r="AP473" s="6">
        <v>330.98244656580999</v>
      </c>
      <c r="AQ473" s="6">
        <v>40734.411818744898</v>
      </c>
      <c r="AR473" s="6">
        <v>12516.681137768899</v>
      </c>
      <c r="AS473" s="6">
        <v>14383.653619992199</v>
      </c>
      <c r="AT473" s="6">
        <v>0</v>
      </c>
      <c r="AU473" t="s">
        <v>2973</v>
      </c>
      <c r="AV473" t="s">
        <v>2973</v>
      </c>
    </row>
    <row r="474" spans="1:48" x14ac:dyDescent="0.45">
      <c r="A474" s="5" t="s">
        <v>962</v>
      </c>
      <c r="B474">
        <v>2183</v>
      </c>
      <c r="C474" t="s">
        <v>925</v>
      </c>
      <c r="D474">
        <v>3577</v>
      </c>
      <c r="E474" t="s">
        <v>963</v>
      </c>
      <c r="F474" t="s">
        <v>2739</v>
      </c>
      <c r="G474" t="s">
        <v>2744</v>
      </c>
      <c r="H474" t="s">
        <v>2741</v>
      </c>
      <c r="I474" t="s">
        <v>2742</v>
      </c>
      <c r="J474">
        <v>187.383440507769</v>
      </c>
      <c r="K474">
        <v>1</v>
      </c>
      <c r="L474">
        <v>2</v>
      </c>
      <c r="M474">
        <v>2</v>
      </c>
      <c r="N474" s="6">
        <v>1349398.0849762701</v>
      </c>
      <c r="O474" s="6">
        <v>699429.37670412997</v>
      </c>
      <c r="P474" s="6">
        <v>410567.24143323</v>
      </c>
      <c r="Q474" s="6">
        <v>57538.548870723796</v>
      </c>
      <c r="R474" s="6">
        <v>112027.93002533499</v>
      </c>
      <c r="S474" s="6">
        <v>66297.320376482705</v>
      </c>
      <c r="T474" s="6">
        <v>1946151.98</v>
      </c>
      <c r="U474" s="6">
        <v>682809.20200968604</v>
      </c>
      <c r="V474" s="6">
        <v>2178262.3081177799</v>
      </c>
      <c r="W474" s="6">
        <v>443518.92422991199</v>
      </c>
      <c r="X474" s="6">
        <v>0</v>
      </c>
      <c r="Y474" s="6">
        <v>0</v>
      </c>
      <c r="Z474" s="6">
        <v>0</v>
      </c>
      <c r="AA474" s="6">
        <v>0</v>
      </c>
      <c r="AB474" s="6">
        <v>7179.9496619963402</v>
      </c>
      <c r="AC474" s="6">
        <v>66297.320376482705</v>
      </c>
      <c r="AD474" s="6">
        <v>0</v>
      </c>
      <c r="AE474" s="6">
        <v>0</v>
      </c>
      <c r="AF474" s="6">
        <v>0</v>
      </c>
      <c r="AG474" s="6">
        <v>0</v>
      </c>
      <c r="AH474" s="6">
        <v>0</v>
      </c>
      <c r="AI474" s="6">
        <v>0</v>
      </c>
      <c r="AJ474" s="6">
        <v>2695258.50238617</v>
      </c>
      <c r="AK474" s="6">
        <v>14383.653619992199</v>
      </c>
      <c r="AL474" s="6">
        <v>330.98244656580999</v>
      </c>
      <c r="AM474" s="6">
        <v>93035.839999999997</v>
      </c>
      <c r="AN474" s="6">
        <v>3997.71997117915</v>
      </c>
      <c r="AO474" s="6">
        <v>14546.291530348301</v>
      </c>
      <c r="AP474" s="6">
        <v>330.98244656580999</v>
      </c>
      <c r="AQ474" s="6">
        <v>40734.411818744898</v>
      </c>
      <c r="AR474" s="6">
        <v>12516.681137768899</v>
      </c>
      <c r="AS474" s="6">
        <v>14383.653619992199</v>
      </c>
      <c r="AT474" s="6">
        <v>0</v>
      </c>
      <c r="AU474" t="s">
        <v>2973</v>
      </c>
      <c r="AV474" t="s">
        <v>2973</v>
      </c>
    </row>
    <row r="475" spans="1:48" x14ac:dyDescent="0.45">
      <c r="A475" s="5" t="s">
        <v>964</v>
      </c>
      <c r="B475">
        <v>2183</v>
      </c>
      <c r="C475" t="s">
        <v>925</v>
      </c>
      <c r="D475">
        <v>940</v>
      </c>
      <c r="E475" t="s">
        <v>965</v>
      </c>
      <c r="F475" t="s">
        <v>2739</v>
      </c>
      <c r="G475" t="s">
        <v>2740</v>
      </c>
      <c r="H475" t="s">
        <v>2741</v>
      </c>
      <c r="I475" t="s">
        <v>2742</v>
      </c>
      <c r="J475">
        <v>287.02418699177099</v>
      </c>
      <c r="K475">
        <v>2</v>
      </c>
      <c r="L475">
        <v>1</v>
      </c>
      <c r="M475">
        <v>2</v>
      </c>
      <c r="N475" s="6">
        <v>2093920.9072568901</v>
      </c>
      <c r="O475" s="6">
        <v>667693.49791924295</v>
      </c>
      <c r="P475" s="6">
        <v>687812.81400642497</v>
      </c>
      <c r="Q475" s="6">
        <v>88134.550019754795</v>
      </c>
      <c r="R475" s="6">
        <v>70929.285676244705</v>
      </c>
      <c r="S475" s="6">
        <v>101550.779669903</v>
      </c>
      <c r="T475" s="6">
        <v>2562599.5099999998</v>
      </c>
      <c r="U475" s="6">
        <v>1045891.54487856</v>
      </c>
      <c r="V475" s="6">
        <v>3343651.6952693998</v>
      </c>
      <c r="W475" s="6">
        <v>253841.48696474201</v>
      </c>
      <c r="X475" s="6">
        <v>0</v>
      </c>
      <c r="Y475" s="6">
        <v>0</v>
      </c>
      <c r="Z475" s="6">
        <v>0</v>
      </c>
      <c r="AA475" s="6">
        <v>0</v>
      </c>
      <c r="AB475" s="6">
        <v>10997.872644412701</v>
      </c>
      <c r="AC475" s="6">
        <v>101550.779669903</v>
      </c>
      <c r="AD475" s="6">
        <v>0</v>
      </c>
      <c r="AE475" s="6">
        <v>0</v>
      </c>
      <c r="AF475" s="6">
        <v>0</v>
      </c>
      <c r="AG475" s="6">
        <v>0</v>
      </c>
      <c r="AH475" s="6">
        <v>0</v>
      </c>
      <c r="AI475" s="6">
        <v>0</v>
      </c>
      <c r="AJ475" s="6">
        <v>3710041.8345484599</v>
      </c>
      <c r="AK475" s="6">
        <v>12925.885701245201</v>
      </c>
      <c r="AL475" s="6">
        <v>330.98244656580999</v>
      </c>
      <c r="AM475" s="6">
        <v>93035.839999999997</v>
      </c>
      <c r="AN475" s="6">
        <v>3997.71997117915</v>
      </c>
      <c r="AO475" s="6">
        <v>14546.291530348301</v>
      </c>
      <c r="AP475" s="6">
        <v>330.98244656580999</v>
      </c>
      <c r="AQ475" s="6">
        <v>93035.839999999997</v>
      </c>
      <c r="AR475" s="6">
        <v>3997.71997117915</v>
      </c>
      <c r="AS475" s="6">
        <v>14546.291530348301</v>
      </c>
      <c r="AT475" s="6">
        <v>0</v>
      </c>
      <c r="AU475" t="s">
        <v>2973</v>
      </c>
      <c r="AV475" t="s">
        <v>2973</v>
      </c>
    </row>
    <row r="476" spans="1:48" x14ac:dyDescent="0.45">
      <c r="A476" s="5" t="s">
        <v>966</v>
      </c>
      <c r="B476">
        <v>2183</v>
      </c>
      <c r="C476" t="s">
        <v>925</v>
      </c>
      <c r="D476">
        <v>942</v>
      </c>
      <c r="E476" t="s">
        <v>967</v>
      </c>
      <c r="F476" t="s">
        <v>2739</v>
      </c>
      <c r="G476" t="s">
        <v>2747</v>
      </c>
      <c r="H476" t="s">
        <v>2741</v>
      </c>
      <c r="I476" t="s">
        <v>2742</v>
      </c>
      <c r="J476">
        <v>472.97342293736801</v>
      </c>
      <c r="K476">
        <v>1</v>
      </c>
      <c r="L476">
        <v>1</v>
      </c>
      <c r="M476">
        <v>2</v>
      </c>
      <c r="N476" s="6">
        <v>2927583.8098200602</v>
      </c>
      <c r="O476" s="6">
        <v>1062447.8012270001</v>
      </c>
      <c r="P476" s="6">
        <v>1040549.2140491999</v>
      </c>
      <c r="Q476" s="6">
        <v>145232.70752469101</v>
      </c>
      <c r="R476" s="6">
        <v>116880.975726822</v>
      </c>
      <c r="S476" s="6">
        <v>167340.67036590801</v>
      </c>
      <c r="T476" s="6">
        <v>3569219.88</v>
      </c>
      <c r="U476" s="6">
        <v>1723474.6283477701</v>
      </c>
      <c r="V476" s="6">
        <v>4722529.0175009295</v>
      </c>
      <c r="W476" s="6">
        <v>552042.62279110204</v>
      </c>
      <c r="X476" s="6">
        <v>0</v>
      </c>
      <c r="Y476" s="6">
        <v>0</v>
      </c>
      <c r="Z476" s="6">
        <v>0</v>
      </c>
      <c r="AA476" s="6">
        <v>0</v>
      </c>
      <c r="AB476" s="6">
        <v>18122.868055737301</v>
      </c>
      <c r="AC476" s="6">
        <v>167340.67036590801</v>
      </c>
      <c r="AD476" s="6">
        <v>0</v>
      </c>
      <c r="AE476" s="6">
        <v>0</v>
      </c>
      <c r="AF476" s="6">
        <v>0</v>
      </c>
      <c r="AG476" s="6">
        <v>0</v>
      </c>
      <c r="AH476" s="6">
        <v>0</v>
      </c>
      <c r="AI476" s="6">
        <v>0</v>
      </c>
      <c r="AJ476" s="6">
        <v>5460035.1787136802</v>
      </c>
      <c r="AK476" s="6">
        <v>11544.063395369099</v>
      </c>
      <c r="AL476" s="6">
        <v>330.98244656580999</v>
      </c>
      <c r="AM476" s="6">
        <v>93035.839999999997</v>
      </c>
      <c r="AN476" s="6">
        <v>3997.71997117915</v>
      </c>
      <c r="AO476" s="6">
        <v>14546.291530348301</v>
      </c>
      <c r="AP476" s="6">
        <v>3753.1860850462999</v>
      </c>
      <c r="AQ476" s="6">
        <v>20687.885194392002</v>
      </c>
      <c r="AR476" s="6">
        <v>11157.424200015999</v>
      </c>
      <c r="AS476" s="6">
        <v>13405.218902782401</v>
      </c>
      <c r="AT476" s="6">
        <v>0</v>
      </c>
      <c r="AU476" t="s">
        <v>2973</v>
      </c>
      <c r="AV476" t="s">
        <v>2973</v>
      </c>
    </row>
    <row r="477" spans="1:48" x14ac:dyDescent="0.45">
      <c r="A477" s="5" t="s">
        <v>968</v>
      </c>
      <c r="B477">
        <v>2014</v>
      </c>
      <c r="C477" t="s">
        <v>969</v>
      </c>
      <c r="D477">
        <v>3740</v>
      </c>
      <c r="E477" t="s">
        <v>970</v>
      </c>
      <c r="F477" t="s">
        <v>2750</v>
      </c>
      <c r="G477" t="s">
        <v>2748</v>
      </c>
      <c r="H477" t="s">
        <v>2745</v>
      </c>
      <c r="I477" t="s">
        <v>2742</v>
      </c>
      <c r="J477">
        <v>3.2441662730230001</v>
      </c>
      <c r="K477">
        <v>0</v>
      </c>
      <c r="L477">
        <v>0</v>
      </c>
      <c r="M477">
        <v>3</v>
      </c>
      <c r="N477" s="6">
        <v>71580.806948796002</v>
      </c>
      <c r="O477" s="6">
        <v>29520.373213595201</v>
      </c>
      <c r="P477" s="6">
        <v>4957.7049106950699</v>
      </c>
      <c r="Q477" s="6">
        <v>2094.0764771914401</v>
      </c>
      <c r="R477" s="6">
        <v>1958.6094220923901</v>
      </c>
      <c r="S477" s="6">
        <v>1631.4974954414299</v>
      </c>
      <c r="T477" s="6">
        <v>96725.66</v>
      </c>
      <c r="U477" s="6">
        <v>13385.9109723702</v>
      </c>
      <c r="V477" s="6">
        <v>105126.913534223</v>
      </c>
      <c r="W477" s="6">
        <v>4984.6574381468899</v>
      </c>
      <c r="X477" s="6">
        <v>0</v>
      </c>
      <c r="Y477" s="6">
        <v>0</v>
      </c>
      <c r="Z477" s="6">
        <v>0</v>
      </c>
      <c r="AA477" s="6">
        <v>0</v>
      </c>
      <c r="AB477" s="6">
        <v>0</v>
      </c>
      <c r="AC477" s="6">
        <v>1631.4974954414299</v>
      </c>
      <c r="AD477" s="6">
        <v>0</v>
      </c>
      <c r="AE477" s="6">
        <v>0</v>
      </c>
      <c r="AF477" s="6">
        <v>0</v>
      </c>
      <c r="AG477" s="6">
        <v>0</v>
      </c>
      <c r="AH477" s="6">
        <v>0</v>
      </c>
      <c r="AI477" s="6">
        <v>0</v>
      </c>
      <c r="AJ477" s="6">
        <v>111743.068467812</v>
      </c>
      <c r="AK477" s="6">
        <v>34444.309897743398</v>
      </c>
      <c r="AL477" s="6">
        <v>330.98244656580999</v>
      </c>
      <c r="AM477" s="6">
        <v>93035.839999999997</v>
      </c>
      <c r="AN477" s="6">
        <v>12029.1840618766</v>
      </c>
      <c r="AO477" s="6">
        <v>34444.309897743398</v>
      </c>
      <c r="AP477" s="6">
        <v>330.98244656580999</v>
      </c>
      <c r="AQ477" s="6">
        <v>56162.493707719797</v>
      </c>
      <c r="AR477" s="6">
        <v>34444.309897743398</v>
      </c>
      <c r="AS477" s="6">
        <v>34444.309897743398</v>
      </c>
      <c r="AT477" s="6">
        <v>0</v>
      </c>
      <c r="AU477" t="s">
        <v>2973</v>
      </c>
      <c r="AV477" t="s">
        <v>2973</v>
      </c>
    </row>
    <row r="478" spans="1:48" x14ac:dyDescent="0.45">
      <c r="A478" s="5" t="s">
        <v>971</v>
      </c>
      <c r="B478">
        <v>2014</v>
      </c>
      <c r="C478" t="s">
        <v>969</v>
      </c>
      <c r="D478">
        <v>359</v>
      </c>
      <c r="E478" t="s">
        <v>972</v>
      </c>
      <c r="F478" t="s">
        <v>2739</v>
      </c>
      <c r="G478" t="s">
        <v>2744</v>
      </c>
      <c r="H478" t="s">
        <v>2745</v>
      </c>
      <c r="I478" t="s">
        <v>2742</v>
      </c>
      <c r="J478">
        <v>227.85961265940099</v>
      </c>
      <c r="K478">
        <v>1</v>
      </c>
      <c r="L478">
        <v>1</v>
      </c>
      <c r="M478">
        <v>3</v>
      </c>
      <c r="N478" s="6">
        <v>1873874.40614071</v>
      </c>
      <c r="O478" s="6">
        <v>805028.547926486</v>
      </c>
      <c r="P478" s="6">
        <v>814417.003825558</v>
      </c>
      <c r="Q478" s="6">
        <v>147081.07255161699</v>
      </c>
      <c r="R478" s="6">
        <v>137566.31032760299</v>
      </c>
      <c r="S478" s="6">
        <v>114591.04006394101</v>
      </c>
      <c r="T478" s="6">
        <v>2837784.8</v>
      </c>
      <c r="U478" s="6">
        <v>940182.54077197297</v>
      </c>
      <c r="V478" s="6">
        <v>3006404.7197019602</v>
      </c>
      <c r="W478" s="6">
        <v>771562.62107001303</v>
      </c>
      <c r="X478" s="6">
        <v>0</v>
      </c>
      <c r="Y478" s="6">
        <v>0</v>
      </c>
      <c r="Z478" s="6">
        <v>0</v>
      </c>
      <c r="AA478" s="6">
        <v>0</v>
      </c>
      <c r="AB478" s="6">
        <v>0</v>
      </c>
      <c r="AC478" s="6">
        <v>114591.04006394101</v>
      </c>
      <c r="AD478" s="6">
        <v>0</v>
      </c>
      <c r="AE478" s="6">
        <v>0</v>
      </c>
      <c r="AF478" s="6">
        <v>0</v>
      </c>
      <c r="AG478" s="6">
        <v>0</v>
      </c>
      <c r="AH478" s="6">
        <v>0</v>
      </c>
      <c r="AI478" s="6">
        <v>0</v>
      </c>
      <c r="AJ478" s="6">
        <v>3892558.3808359099</v>
      </c>
      <c r="AK478" s="6">
        <v>17083.143148559699</v>
      </c>
      <c r="AL478" s="6">
        <v>330.98244656580999</v>
      </c>
      <c r="AM478" s="6">
        <v>93035.839999999997</v>
      </c>
      <c r="AN478" s="6">
        <v>12029.1840618766</v>
      </c>
      <c r="AO478" s="6">
        <v>34444.309897743398</v>
      </c>
      <c r="AP478" s="6">
        <v>330.98244656580999</v>
      </c>
      <c r="AQ478" s="6">
        <v>40734.411818744898</v>
      </c>
      <c r="AR478" s="6">
        <v>17083.143148559699</v>
      </c>
      <c r="AS478" s="6">
        <v>17083.143148559699</v>
      </c>
      <c r="AT478" s="6">
        <v>0</v>
      </c>
      <c r="AU478" t="s">
        <v>2973</v>
      </c>
      <c r="AV478" t="s">
        <v>2973</v>
      </c>
    </row>
    <row r="479" spans="1:48" x14ac:dyDescent="0.45">
      <c r="A479" s="5" t="s">
        <v>973</v>
      </c>
      <c r="B479">
        <v>2014</v>
      </c>
      <c r="C479" t="s">
        <v>969</v>
      </c>
      <c r="D479">
        <v>342</v>
      </c>
      <c r="E479" t="s">
        <v>974</v>
      </c>
      <c r="F479" t="s">
        <v>2739</v>
      </c>
      <c r="G479" t="s">
        <v>2740</v>
      </c>
      <c r="H479" t="s">
        <v>2741</v>
      </c>
      <c r="I479" t="s">
        <v>2742</v>
      </c>
      <c r="J479">
        <v>423.82876712324901</v>
      </c>
      <c r="K479">
        <v>1</v>
      </c>
      <c r="L479">
        <v>1</v>
      </c>
      <c r="M479">
        <v>3</v>
      </c>
      <c r="N479" s="6">
        <v>2696891.7566307699</v>
      </c>
      <c r="O479" s="6">
        <v>586143.428653726</v>
      </c>
      <c r="P479" s="6">
        <v>1071028.2342189499</v>
      </c>
      <c r="Q479" s="6">
        <v>273577.17727668199</v>
      </c>
      <c r="R479" s="6">
        <v>257529.346663242</v>
      </c>
      <c r="S479" s="6">
        <v>213144.30700041601</v>
      </c>
      <c r="T479" s="6">
        <v>3136389.62</v>
      </c>
      <c r="U479" s="6">
        <v>1748780.3234433699</v>
      </c>
      <c r="V479" s="6">
        <v>3929041.8206037702</v>
      </c>
      <c r="W479" s="6">
        <v>954478.08283960598</v>
      </c>
      <c r="X479" s="6">
        <v>0</v>
      </c>
      <c r="Y479" s="6">
        <v>0</v>
      </c>
      <c r="Z479" s="6">
        <v>0</v>
      </c>
      <c r="AA479" s="6">
        <v>0</v>
      </c>
      <c r="AB479" s="6">
        <v>1650.04</v>
      </c>
      <c r="AC479" s="6">
        <v>213144.30700041601</v>
      </c>
      <c r="AD479" s="6">
        <v>0</v>
      </c>
      <c r="AE479" s="6">
        <v>0</v>
      </c>
      <c r="AF479" s="6">
        <v>0</v>
      </c>
      <c r="AG479" s="6">
        <v>0</v>
      </c>
      <c r="AH479" s="6">
        <v>0</v>
      </c>
      <c r="AI479" s="6">
        <v>0</v>
      </c>
      <c r="AJ479" s="6">
        <v>5098314.2504437799</v>
      </c>
      <c r="AK479" s="6">
        <v>12029.1840618766</v>
      </c>
      <c r="AL479" s="6">
        <v>330.98244656580999</v>
      </c>
      <c r="AM479" s="6">
        <v>93035.839999999997</v>
      </c>
      <c r="AN479" s="6">
        <v>12029.1840618766</v>
      </c>
      <c r="AO479" s="6">
        <v>34444.309897743398</v>
      </c>
      <c r="AP479" s="6">
        <v>330.98244656580999</v>
      </c>
      <c r="AQ479" s="6">
        <v>93035.839999999997</v>
      </c>
      <c r="AR479" s="6">
        <v>12029.1840618766</v>
      </c>
      <c r="AS479" s="6">
        <v>12029.1840618766</v>
      </c>
      <c r="AT479" s="6">
        <v>0</v>
      </c>
      <c r="AU479" t="s">
        <v>2973</v>
      </c>
      <c r="AV479" t="s">
        <v>2973</v>
      </c>
    </row>
    <row r="480" spans="1:48" x14ac:dyDescent="0.45">
      <c r="A480" s="5" t="s">
        <v>975</v>
      </c>
      <c r="B480">
        <v>2014</v>
      </c>
      <c r="C480" t="s">
        <v>969</v>
      </c>
      <c r="D480">
        <v>355</v>
      </c>
      <c r="E480" t="s">
        <v>976</v>
      </c>
      <c r="F480" t="s">
        <v>2739</v>
      </c>
      <c r="G480" t="s">
        <v>2747</v>
      </c>
      <c r="H480" t="s">
        <v>2741</v>
      </c>
      <c r="I480" t="s">
        <v>2742</v>
      </c>
      <c r="J480">
        <v>199.287671232864</v>
      </c>
      <c r="K480">
        <v>1</v>
      </c>
      <c r="L480">
        <v>1</v>
      </c>
      <c r="M480">
        <v>3</v>
      </c>
      <c r="N480" s="6">
        <v>1433894.1102797301</v>
      </c>
      <c r="O480" s="6">
        <v>420566.540206192</v>
      </c>
      <c r="P480" s="6">
        <v>548354.257044798</v>
      </c>
      <c r="Q480" s="6">
        <v>128638.17369451</v>
      </c>
      <c r="R480" s="6">
        <v>120316.493587063</v>
      </c>
      <c r="S480" s="6">
        <v>100222.155440202</v>
      </c>
      <c r="T480" s="6">
        <v>1829479.1</v>
      </c>
      <c r="U480" s="6">
        <v>822290.47481229005</v>
      </c>
      <c r="V480" s="6">
        <v>2277001.6761600501</v>
      </c>
      <c r="W480" s="6">
        <v>374767.89865223598</v>
      </c>
      <c r="X480" s="6">
        <v>0</v>
      </c>
      <c r="Y480" s="6">
        <v>0</v>
      </c>
      <c r="Z480" s="6">
        <v>0</v>
      </c>
      <c r="AA480" s="6">
        <v>0</v>
      </c>
      <c r="AB480" s="6">
        <v>0</v>
      </c>
      <c r="AC480" s="6">
        <v>100222.155440202</v>
      </c>
      <c r="AD480" s="6">
        <v>0</v>
      </c>
      <c r="AE480" s="6">
        <v>0</v>
      </c>
      <c r="AF480" s="6">
        <v>0</v>
      </c>
      <c r="AG480" s="6">
        <v>0</v>
      </c>
      <c r="AH480" s="6">
        <v>0</v>
      </c>
      <c r="AI480" s="6">
        <v>0</v>
      </c>
      <c r="AJ480" s="6">
        <v>2751991.7302524899</v>
      </c>
      <c r="AK480" s="6">
        <v>13809.1418963737</v>
      </c>
      <c r="AL480" s="6">
        <v>330.98244656580999</v>
      </c>
      <c r="AM480" s="6">
        <v>93035.839999999997</v>
      </c>
      <c r="AN480" s="6">
        <v>12029.1840618766</v>
      </c>
      <c r="AO480" s="6">
        <v>34444.309897743398</v>
      </c>
      <c r="AP480" s="6">
        <v>3753.1860850462999</v>
      </c>
      <c r="AQ480" s="6">
        <v>20687.885194392002</v>
      </c>
      <c r="AR480" s="6">
        <v>13809.1418963737</v>
      </c>
      <c r="AS480" s="6">
        <v>13809.1418963737</v>
      </c>
      <c r="AT480" s="6">
        <v>0</v>
      </c>
      <c r="AU480" t="s">
        <v>2973</v>
      </c>
      <c r="AV480" t="s">
        <v>2973</v>
      </c>
    </row>
    <row r="481" spans="1:48" x14ac:dyDescent="0.45">
      <c r="A481" s="5" t="s">
        <v>977</v>
      </c>
      <c r="B481">
        <v>2015</v>
      </c>
      <c r="C481" t="s">
        <v>978</v>
      </c>
      <c r="D481">
        <v>346</v>
      </c>
      <c r="E481" t="s">
        <v>979</v>
      </c>
      <c r="F481" t="s">
        <v>2739</v>
      </c>
      <c r="G481" t="s">
        <v>2740</v>
      </c>
      <c r="H481" t="s">
        <v>2741</v>
      </c>
      <c r="I481" t="s">
        <v>2742</v>
      </c>
      <c r="J481">
        <v>103.709219858151</v>
      </c>
      <c r="K481">
        <v>1</v>
      </c>
      <c r="L481">
        <v>1</v>
      </c>
      <c r="M481">
        <v>1</v>
      </c>
      <c r="N481" s="6">
        <v>898139.66</v>
      </c>
      <c r="O481" s="6">
        <v>90970.66</v>
      </c>
      <c r="P481" s="6">
        <v>490097.08</v>
      </c>
      <c r="Q481" s="6">
        <v>1910444.69</v>
      </c>
      <c r="R481" s="6">
        <v>164681.07</v>
      </c>
      <c r="S481" s="6">
        <v>39780.586585540397</v>
      </c>
      <c r="T481" s="6">
        <v>3554333.16</v>
      </c>
      <c r="U481" s="6">
        <v>0</v>
      </c>
      <c r="V481" s="6">
        <v>3431782.04</v>
      </c>
      <c r="W481" s="6">
        <v>117870.05</v>
      </c>
      <c r="X481" s="6">
        <v>0</v>
      </c>
      <c r="Y481" s="6">
        <v>0</v>
      </c>
      <c r="Z481" s="6">
        <v>0</v>
      </c>
      <c r="AA481" s="6">
        <v>0</v>
      </c>
      <c r="AB481" s="6">
        <v>4681.07</v>
      </c>
      <c r="AC481" s="6">
        <v>39780.586585540397</v>
      </c>
      <c r="AD481" s="6">
        <v>0</v>
      </c>
      <c r="AE481" s="6">
        <v>0</v>
      </c>
      <c r="AF481" s="6">
        <v>0</v>
      </c>
      <c r="AG481" s="6">
        <v>0</v>
      </c>
      <c r="AH481" s="6">
        <v>0</v>
      </c>
      <c r="AI481" s="6">
        <v>0</v>
      </c>
      <c r="AJ481" s="6">
        <v>3594113.74658554</v>
      </c>
      <c r="AK481" s="6">
        <v>34655.682026163297</v>
      </c>
      <c r="AL481" s="6">
        <v>330.98244656580999</v>
      </c>
      <c r="AM481" s="6">
        <v>93035.839999999997</v>
      </c>
      <c r="AN481" s="6">
        <v>383.57811041246498</v>
      </c>
      <c r="AO481" s="6">
        <v>34655.682026163297</v>
      </c>
      <c r="AP481" s="6">
        <v>330.98244656580999</v>
      </c>
      <c r="AQ481" s="6">
        <v>93035.839999999997</v>
      </c>
      <c r="AR481" s="6">
        <v>34655.682026163297</v>
      </c>
      <c r="AS481" s="6">
        <v>34655.682026163297</v>
      </c>
      <c r="AT481" s="6">
        <v>0</v>
      </c>
      <c r="AU481" t="s">
        <v>2973</v>
      </c>
      <c r="AV481" t="s">
        <v>2973</v>
      </c>
    </row>
    <row r="482" spans="1:48" x14ac:dyDescent="0.45">
      <c r="A482" s="5" t="s">
        <v>2944</v>
      </c>
      <c r="B482">
        <v>2015</v>
      </c>
      <c r="C482" t="s">
        <v>978</v>
      </c>
      <c r="D482">
        <v>5446</v>
      </c>
      <c r="E482" t="s">
        <v>2945</v>
      </c>
      <c r="F482" t="s">
        <v>3</v>
      </c>
      <c r="G482" t="s">
        <v>2748</v>
      </c>
      <c r="H482" t="s">
        <v>2749</v>
      </c>
      <c r="I482" t="s">
        <v>2742</v>
      </c>
      <c r="J482">
        <v>278.220812182695</v>
      </c>
      <c r="K482">
        <v>1</v>
      </c>
      <c r="L482">
        <v>1</v>
      </c>
      <c r="M482">
        <v>1</v>
      </c>
      <c r="N482" s="6">
        <v>0</v>
      </c>
      <c r="O482" s="6">
        <v>0</v>
      </c>
      <c r="P482" s="6">
        <v>0</v>
      </c>
      <c r="Q482" s="6">
        <v>0</v>
      </c>
      <c r="R482" s="6">
        <v>0</v>
      </c>
      <c r="S482" s="6">
        <v>106719.41341445901</v>
      </c>
      <c r="T482" s="6">
        <v>0</v>
      </c>
      <c r="U482" s="6">
        <v>0</v>
      </c>
      <c r="V482" s="6">
        <v>0</v>
      </c>
      <c r="W482" s="6">
        <v>0</v>
      </c>
      <c r="X482" s="6">
        <v>0</v>
      </c>
      <c r="Y482" s="6">
        <v>0</v>
      </c>
      <c r="Z482" s="6">
        <v>0</v>
      </c>
      <c r="AA482" s="6">
        <v>0</v>
      </c>
      <c r="AB482" s="6">
        <v>0</v>
      </c>
      <c r="AC482" s="6">
        <v>106719.41341445901</v>
      </c>
      <c r="AD482" s="6">
        <v>0</v>
      </c>
      <c r="AE482" s="6">
        <v>0</v>
      </c>
      <c r="AF482" s="6">
        <v>0</v>
      </c>
      <c r="AG482" s="6">
        <v>0</v>
      </c>
      <c r="AH482" s="6">
        <v>0</v>
      </c>
      <c r="AI482" s="6">
        <v>0</v>
      </c>
      <c r="AJ482" s="6">
        <v>106719.41341445901</v>
      </c>
      <c r="AK482" s="6">
        <v>383.57811041246498</v>
      </c>
      <c r="AL482" s="6">
        <v>330.98244656580999</v>
      </c>
      <c r="AM482" s="6">
        <v>93035.839999999997</v>
      </c>
      <c r="AN482" s="6">
        <v>383.57811041246498</v>
      </c>
      <c r="AO482" s="6">
        <v>34655.682026163297</v>
      </c>
      <c r="AP482" s="6">
        <v>330.98244656580999</v>
      </c>
      <c r="AQ482" s="6">
        <v>56162.493707719797</v>
      </c>
      <c r="AR482" s="6">
        <v>383.57811041246498</v>
      </c>
      <c r="AS482" s="6">
        <v>383.57811041246498</v>
      </c>
      <c r="AT482" s="6">
        <v>0</v>
      </c>
      <c r="AU482" t="s">
        <v>2973</v>
      </c>
      <c r="AV482" t="s">
        <v>2976</v>
      </c>
    </row>
    <row r="483" spans="1:48" x14ac:dyDescent="0.45">
      <c r="A483" s="5" t="s">
        <v>980</v>
      </c>
      <c r="B483">
        <v>2023</v>
      </c>
      <c r="C483" t="s">
        <v>981</v>
      </c>
      <c r="D483">
        <v>358</v>
      </c>
      <c r="E483" t="s">
        <v>982</v>
      </c>
      <c r="F483" t="s">
        <v>2739</v>
      </c>
      <c r="G483" t="s">
        <v>2744</v>
      </c>
      <c r="H483" t="s">
        <v>2741</v>
      </c>
      <c r="I483" t="s">
        <v>2742</v>
      </c>
      <c r="J483">
        <v>65.880281690136997</v>
      </c>
      <c r="K483">
        <v>1</v>
      </c>
      <c r="L483">
        <v>1</v>
      </c>
      <c r="M483">
        <v>2</v>
      </c>
      <c r="N483" s="6">
        <v>543706.87</v>
      </c>
      <c r="O483" s="6">
        <v>187998.17</v>
      </c>
      <c r="P483" s="6">
        <v>775945.26</v>
      </c>
      <c r="Q483" s="6">
        <v>122270.77</v>
      </c>
      <c r="R483" s="6">
        <v>844188.13</v>
      </c>
      <c r="S483" s="6">
        <v>48389</v>
      </c>
      <c r="T483" s="6">
        <v>2474109.2000000002</v>
      </c>
      <c r="U483" s="6">
        <v>0</v>
      </c>
      <c r="V483" s="6">
        <v>1499180.66</v>
      </c>
      <c r="W483" s="6">
        <v>212740.41</v>
      </c>
      <c r="X483" s="6">
        <v>0</v>
      </c>
      <c r="Y483" s="6">
        <v>0</v>
      </c>
      <c r="Z483" s="6">
        <v>0</v>
      </c>
      <c r="AA483" s="6">
        <v>0</v>
      </c>
      <c r="AB483" s="6">
        <v>762188.13</v>
      </c>
      <c r="AC483" s="6">
        <v>48389</v>
      </c>
      <c r="AD483" s="6">
        <v>0</v>
      </c>
      <c r="AE483" s="6">
        <v>0</v>
      </c>
      <c r="AF483" s="6">
        <v>0</v>
      </c>
      <c r="AG483" s="6">
        <v>0</v>
      </c>
      <c r="AH483" s="6">
        <v>0</v>
      </c>
      <c r="AI483" s="6">
        <v>0</v>
      </c>
      <c r="AJ483" s="6">
        <v>2522498.2000000002</v>
      </c>
      <c r="AK483" s="6">
        <v>38289.122864780402</v>
      </c>
      <c r="AL483" s="6">
        <v>330.98244656580999</v>
      </c>
      <c r="AM483" s="6">
        <v>93035.839999999997</v>
      </c>
      <c r="AN483" s="6">
        <v>38289.122864780402</v>
      </c>
      <c r="AO483" s="6">
        <v>38289.122864780402</v>
      </c>
      <c r="AP483" s="6">
        <v>330.98244656580999</v>
      </c>
      <c r="AQ483" s="6">
        <v>40734.411818744898</v>
      </c>
      <c r="AR483" s="6">
        <v>38289.122864780402</v>
      </c>
      <c r="AS483" s="6">
        <v>38289.122864780402</v>
      </c>
      <c r="AT483" s="6">
        <v>0</v>
      </c>
      <c r="AU483" t="s">
        <v>2973</v>
      </c>
      <c r="AV483" t="s">
        <v>2973</v>
      </c>
    </row>
    <row r="484" spans="1:48" x14ac:dyDescent="0.45">
      <c r="A484" s="5" t="s">
        <v>985</v>
      </c>
      <c r="B484">
        <v>2114</v>
      </c>
      <c r="C484" t="s">
        <v>986</v>
      </c>
      <c r="D484">
        <v>3362</v>
      </c>
      <c r="E484" t="s">
        <v>987</v>
      </c>
      <c r="F484" t="s">
        <v>3</v>
      </c>
      <c r="G484" t="s">
        <v>2748</v>
      </c>
      <c r="H484" t="s">
        <v>2741</v>
      </c>
      <c r="I484" t="s">
        <v>2742</v>
      </c>
      <c r="J484">
        <v>104.666666666662</v>
      </c>
      <c r="K484">
        <v>1</v>
      </c>
      <c r="L484">
        <v>1</v>
      </c>
      <c r="M484">
        <v>2</v>
      </c>
      <c r="N484" s="6">
        <v>1152547.58</v>
      </c>
      <c r="O484" s="6">
        <v>253582.38</v>
      </c>
      <c r="P484" s="6">
        <v>615129.99</v>
      </c>
      <c r="Q484" s="6">
        <v>196929.93</v>
      </c>
      <c r="R484" s="6">
        <v>191428.71</v>
      </c>
      <c r="S484" s="6">
        <v>90538.3</v>
      </c>
      <c r="T484" s="6">
        <v>0</v>
      </c>
      <c r="U484" s="6">
        <v>2409618.59</v>
      </c>
      <c r="V484" s="6">
        <v>2138350.94</v>
      </c>
      <c r="W484" s="6">
        <v>271267.65000000002</v>
      </c>
      <c r="X484" s="6">
        <v>0</v>
      </c>
      <c r="Y484" s="6">
        <v>0</v>
      </c>
      <c r="Z484" s="6">
        <v>0</v>
      </c>
      <c r="AA484" s="6">
        <v>0</v>
      </c>
      <c r="AB484" s="6">
        <v>0</v>
      </c>
      <c r="AC484" s="6">
        <v>76305.3</v>
      </c>
      <c r="AD484" s="6">
        <v>14233</v>
      </c>
      <c r="AE484" s="6">
        <v>0</v>
      </c>
      <c r="AF484" s="6">
        <v>0</v>
      </c>
      <c r="AG484" s="6">
        <v>0</v>
      </c>
      <c r="AH484" s="6">
        <v>0</v>
      </c>
      <c r="AI484" s="6">
        <v>0</v>
      </c>
      <c r="AJ484" s="6">
        <v>2500156.89</v>
      </c>
      <c r="AK484" s="6">
        <v>23886.849267516998</v>
      </c>
      <c r="AL484" s="6">
        <v>330.98244656580999</v>
      </c>
      <c r="AM484" s="6">
        <v>93035.839999999997</v>
      </c>
      <c r="AN484" s="6">
        <v>23886.849267516998</v>
      </c>
      <c r="AO484" s="6">
        <v>23886.849267516998</v>
      </c>
      <c r="AP484" s="6">
        <v>330.98244656580999</v>
      </c>
      <c r="AQ484" s="6">
        <v>56162.493707719797</v>
      </c>
      <c r="AR484" s="6">
        <v>23886.849267516998</v>
      </c>
      <c r="AS484" s="6">
        <v>23886.849267516998</v>
      </c>
      <c r="AT484" s="6">
        <v>0</v>
      </c>
      <c r="AU484" t="s">
        <v>2973</v>
      </c>
      <c r="AV484" t="s">
        <v>2976</v>
      </c>
    </row>
    <row r="485" spans="1:48" x14ac:dyDescent="0.45">
      <c r="A485" s="5" t="s">
        <v>988</v>
      </c>
      <c r="B485">
        <v>2099</v>
      </c>
      <c r="C485" t="s">
        <v>989</v>
      </c>
      <c r="D485">
        <v>659</v>
      </c>
      <c r="E485" t="s">
        <v>990</v>
      </c>
      <c r="F485" t="s">
        <v>2739</v>
      </c>
      <c r="G485" t="s">
        <v>2740</v>
      </c>
      <c r="H485" t="s">
        <v>2745</v>
      </c>
      <c r="I485" t="s">
        <v>2742</v>
      </c>
      <c r="J485">
        <v>381.26945812795998</v>
      </c>
      <c r="K485">
        <v>1</v>
      </c>
      <c r="L485">
        <v>1</v>
      </c>
      <c r="M485">
        <v>2</v>
      </c>
      <c r="N485" s="6">
        <v>2256714.1235017101</v>
      </c>
      <c r="O485" s="6">
        <v>572727.78421706799</v>
      </c>
      <c r="P485" s="6">
        <v>674682.70150421804</v>
      </c>
      <c r="Q485" s="6">
        <v>244839.50333723499</v>
      </c>
      <c r="R485" s="6">
        <v>73578.076121232996</v>
      </c>
      <c r="S485" s="6">
        <v>156803.494624513</v>
      </c>
      <c r="T485" s="6">
        <v>2905270.87</v>
      </c>
      <c r="U485" s="6">
        <v>917271.31868146197</v>
      </c>
      <c r="V485" s="6">
        <v>3281210.7176399799</v>
      </c>
      <c r="W485" s="6">
        <v>541331.47104148695</v>
      </c>
      <c r="X485" s="6">
        <v>0</v>
      </c>
      <c r="Y485" s="6">
        <v>0</v>
      </c>
      <c r="Z485" s="6">
        <v>0</v>
      </c>
      <c r="AA485" s="6">
        <v>0</v>
      </c>
      <c r="AB485" s="6">
        <v>0</v>
      </c>
      <c r="AC485" s="6">
        <v>156803.494624513</v>
      </c>
      <c r="AD485" s="6">
        <v>0</v>
      </c>
      <c r="AE485" s="6">
        <v>0</v>
      </c>
      <c r="AF485" s="6">
        <v>0</v>
      </c>
      <c r="AG485" s="6">
        <v>0</v>
      </c>
      <c r="AH485" s="6">
        <v>0</v>
      </c>
      <c r="AI485" s="6">
        <v>0</v>
      </c>
      <c r="AJ485" s="6">
        <v>3979345.6833059699</v>
      </c>
      <c r="AK485" s="6">
        <v>10437.095336313099</v>
      </c>
      <c r="AL485" s="6">
        <v>330.98244656580999</v>
      </c>
      <c r="AM485" s="6">
        <v>93035.839999999997</v>
      </c>
      <c r="AN485" s="6">
        <v>10437.095336313099</v>
      </c>
      <c r="AO485" s="6">
        <v>14724.929130324001</v>
      </c>
      <c r="AP485" s="6">
        <v>330.98244656580999</v>
      </c>
      <c r="AQ485" s="6">
        <v>93035.839999999997</v>
      </c>
      <c r="AR485" s="6">
        <v>10437.095336313099</v>
      </c>
      <c r="AS485" s="6">
        <v>10437.095336313099</v>
      </c>
      <c r="AT485" s="6">
        <v>0</v>
      </c>
      <c r="AU485" t="s">
        <v>2973</v>
      </c>
      <c r="AV485" t="s">
        <v>2973</v>
      </c>
    </row>
    <row r="486" spans="1:48" x14ac:dyDescent="0.45">
      <c r="A486" s="5" t="s">
        <v>991</v>
      </c>
      <c r="B486">
        <v>2099</v>
      </c>
      <c r="C486" t="s">
        <v>989</v>
      </c>
      <c r="D486">
        <v>689</v>
      </c>
      <c r="E486" t="s">
        <v>992</v>
      </c>
      <c r="F486" t="s">
        <v>2739</v>
      </c>
      <c r="G486" t="s">
        <v>2744</v>
      </c>
      <c r="H486" t="s">
        <v>2745</v>
      </c>
      <c r="I486" t="s">
        <v>2742</v>
      </c>
      <c r="J486">
        <v>252.95628701457599</v>
      </c>
      <c r="K486">
        <v>1</v>
      </c>
      <c r="L486">
        <v>1</v>
      </c>
      <c r="M486">
        <v>2</v>
      </c>
      <c r="N486" s="6">
        <v>1811024.4260317499</v>
      </c>
      <c r="O486" s="6">
        <v>969341.05341099796</v>
      </c>
      <c r="P486" s="6">
        <v>628547.56423380098</v>
      </c>
      <c r="Q486" s="6">
        <v>162587.08572552699</v>
      </c>
      <c r="R486" s="6">
        <v>49230.730907813399</v>
      </c>
      <c r="S486" s="6">
        <v>104032.53904962599</v>
      </c>
      <c r="T486" s="6">
        <v>3012159.83</v>
      </c>
      <c r="U486" s="6">
        <v>608571.03030989098</v>
      </c>
      <c r="V486" s="6">
        <v>3004389.2334577702</v>
      </c>
      <c r="W486" s="6">
        <v>616341.626852124</v>
      </c>
      <c r="X486" s="6">
        <v>0</v>
      </c>
      <c r="Y486" s="6">
        <v>0</v>
      </c>
      <c r="Z486" s="6">
        <v>0</v>
      </c>
      <c r="AA486" s="6">
        <v>0</v>
      </c>
      <c r="AB486" s="6">
        <v>0</v>
      </c>
      <c r="AC486" s="6">
        <v>104032.53904962599</v>
      </c>
      <c r="AD486" s="6">
        <v>0</v>
      </c>
      <c r="AE486" s="6">
        <v>0</v>
      </c>
      <c r="AF486" s="6">
        <v>0</v>
      </c>
      <c r="AG486" s="6">
        <v>0</v>
      </c>
      <c r="AH486" s="6">
        <v>0</v>
      </c>
      <c r="AI486" s="6">
        <v>0</v>
      </c>
      <c r="AJ486" s="6">
        <v>3724763.3993595201</v>
      </c>
      <c r="AK486" s="6">
        <v>14724.929130324001</v>
      </c>
      <c r="AL486" s="6">
        <v>330.98244656580999</v>
      </c>
      <c r="AM486" s="6">
        <v>93035.839999999997</v>
      </c>
      <c r="AN486" s="6">
        <v>10437.095336313099</v>
      </c>
      <c r="AO486" s="6">
        <v>14724.929130324001</v>
      </c>
      <c r="AP486" s="6">
        <v>330.98244656580999</v>
      </c>
      <c r="AQ486" s="6">
        <v>40734.411818744898</v>
      </c>
      <c r="AR486" s="6">
        <v>14724.929130324001</v>
      </c>
      <c r="AS486" s="6">
        <v>14724.929130324001</v>
      </c>
      <c r="AT486" s="6">
        <v>0</v>
      </c>
      <c r="AU486" t="s">
        <v>2973</v>
      </c>
      <c r="AV486" t="s">
        <v>2973</v>
      </c>
    </row>
    <row r="487" spans="1:48" x14ac:dyDescent="0.45">
      <c r="A487" s="5" t="s">
        <v>993</v>
      </c>
      <c r="B487">
        <v>2099</v>
      </c>
      <c r="C487" t="s">
        <v>989</v>
      </c>
      <c r="D487">
        <v>2723</v>
      </c>
      <c r="E487" t="s">
        <v>994</v>
      </c>
      <c r="F487" t="s">
        <v>2739</v>
      </c>
      <c r="G487" t="s">
        <v>2747</v>
      </c>
      <c r="H487" t="s">
        <v>2745</v>
      </c>
      <c r="I487" t="s">
        <v>2742</v>
      </c>
      <c r="J487">
        <v>179.632673280966</v>
      </c>
      <c r="K487">
        <v>1</v>
      </c>
      <c r="L487">
        <v>1</v>
      </c>
      <c r="M487">
        <v>2</v>
      </c>
      <c r="N487" s="6">
        <v>1174684.3604665401</v>
      </c>
      <c r="O487" s="6">
        <v>348564.04237193399</v>
      </c>
      <c r="P487" s="6">
        <v>403817.32426198001</v>
      </c>
      <c r="Q487" s="6">
        <v>115592.560937238</v>
      </c>
      <c r="R487" s="6">
        <v>33966.1929709537</v>
      </c>
      <c r="S487" s="6">
        <v>73876.966325861504</v>
      </c>
      <c r="T487" s="6">
        <v>1644457.95</v>
      </c>
      <c r="U487" s="6">
        <v>432166.53100864898</v>
      </c>
      <c r="V487" s="6">
        <v>1939569.60890226</v>
      </c>
      <c r="W487" s="6">
        <v>137054.872106389</v>
      </c>
      <c r="X487" s="6">
        <v>0</v>
      </c>
      <c r="Y487" s="6">
        <v>0</v>
      </c>
      <c r="Z487" s="6">
        <v>0</v>
      </c>
      <c r="AA487" s="6">
        <v>0</v>
      </c>
      <c r="AB487" s="6">
        <v>0</v>
      </c>
      <c r="AC487" s="6">
        <v>73876.966325861504</v>
      </c>
      <c r="AD487" s="6">
        <v>0</v>
      </c>
      <c r="AE487" s="6">
        <v>0</v>
      </c>
      <c r="AF487" s="6">
        <v>0</v>
      </c>
      <c r="AG487" s="6">
        <v>0</v>
      </c>
      <c r="AH487" s="6">
        <v>0</v>
      </c>
      <c r="AI487" s="6">
        <v>0</v>
      </c>
      <c r="AJ487" s="6">
        <v>2150501.4473345098</v>
      </c>
      <c r="AK487" s="6">
        <v>11971.660879147999</v>
      </c>
      <c r="AL487" s="6">
        <v>330.98244656580999</v>
      </c>
      <c r="AM487" s="6">
        <v>93035.839999999997</v>
      </c>
      <c r="AN487" s="6">
        <v>10437.095336313099</v>
      </c>
      <c r="AO487" s="6">
        <v>14724.929130324001</v>
      </c>
      <c r="AP487" s="6">
        <v>3753.1860850462999</v>
      </c>
      <c r="AQ487" s="6">
        <v>20687.885194392002</v>
      </c>
      <c r="AR487" s="6">
        <v>11971.660879147999</v>
      </c>
      <c r="AS487" s="6">
        <v>11971.660879147999</v>
      </c>
      <c r="AT487" s="6">
        <v>0</v>
      </c>
      <c r="AU487" t="s">
        <v>2973</v>
      </c>
      <c r="AV487" t="s">
        <v>2973</v>
      </c>
    </row>
    <row r="488" spans="1:48" x14ac:dyDescent="0.45">
      <c r="A488" s="5" t="s">
        <v>995</v>
      </c>
      <c r="B488">
        <v>2201</v>
      </c>
      <c r="C488" t="s">
        <v>996</v>
      </c>
      <c r="D488">
        <v>3364</v>
      </c>
      <c r="E488" t="s">
        <v>997</v>
      </c>
      <c r="F488" t="s">
        <v>2739</v>
      </c>
      <c r="G488" t="s">
        <v>2748</v>
      </c>
      <c r="H488" t="s">
        <v>2741</v>
      </c>
      <c r="I488" t="s">
        <v>2742</v>
      </c>
      <c r="J488">
        <v>183.21597633134499</v>
      </c>
      <c r="K488">
        <v>1</v>
      </c>
      <c r="L488">
        <v>1</v>
      </c>
      <c r="M488">
        <v>1</v>
      </c>
      <c r="N488" s="6">
        <v>1550220.44</v>
      </c>
      <c r="O488" s="6">
        <v>425804.09</v>
      </c>
      <c r="P488" s="6">
        <v>543579.84</v>
      </c>
      <c r="Q488" s="6">
        <v>83565.009999999995</v>
      </c>
      <c r="R488" s="6">
        <v>489836</v>
      </c>
      <c r="S488" s="6">
        <v>82279.92</v>
      </c>
      <c r="T488" s="6">
        <v>0</v>
      </c>
      <c r="U488" s="6">
        <v>3093005.38</v>
      </c>
      <c r="V488" s="6">
        <v>2790109.08</v>
      </c>
      <c r="W488" s="6">
        <v>302896.3</v>
      </c>
      <c r="X488" s="6">
        <v>0</v>
      </c>
      <c r="Y488" s="6">
        <v>0</v>
      </c>
      <c r="Z488" s="6">
        <v>0</v>
      </c>
      <c r="AA488" s="6">
        <v>0</v>
      </c>
      <c r="AB488" s="6">
        <v>0</v>
      </c>
      <c r="AC488" s="6">
        <v>82279.92</v>
      </c>
      <c r="AD488" s="6">
        <v>0</v>
      </c>
      <c r="AE488" s="6">
        <v>0</v>
      </c>
      <c r="AF488" s="6">
        <v>0</v>
      </c>
      <c r="AG488" s="6">
        <v>0</v>
      </c>
      <c r="AH488" s="6">
        <v>0</v>
      </c>
      <c r="AI488" s="6">
        <v>0</v>
      </c>
      <c r="AJ488" s="6">
        <v>3175285.3</v>
      </c>
      <c r="AK488" s="6">
        <v>17330.831969901599</v>
      </c>
      <c r="AL488" s="6">
        <v>330.98244656580999</v>
      </c>
      <c r="AM488" s="6">
        <v>93035.839999999997</v>
      </c>
      <c r="AN488" s="6">
        <v>17330.831969901599</v>
      </c>
      <c r="AO488" s="6">
        <v>17330.831969901599</v>
      </c>
      <c r="AP488" s="6">
        <v>330.98244656580999</v>
      </c>
      <c r="AQ488" s="6">
        <v>56162.493707719797</v>
      </c>
      <c r="AR488" s="6">
        <v>17330.831969901599</v>
      </c>
      <c r="AS488" s="6">
        <v>17330.831969901599</v>
      </c>
      <c r="AT488" s="6">
        <v>0</v>
      </c>
      <c r="AU488" t="s">
        <v>2973</v>
      </c>
      <c r="AV488" t="s">
        <v>2976</v>
      </c>
    </row>
    <row r="489" spans="1:48" x14ac:dyDescent="0.45">
      <c r="A489" s="5" t="s">
        <v>998</v>
      </c>
      <c r="B489">
        <v>2206</v>
      </c>
      <c r="C489" t="s">
        <v>999</v>
      </c>
      <c r="D489">
        <v>1039</v>
      </c>
      <c r="E489" t="s">
        <v>1000</v>
      </c>
      <c r="F489" t="s">
        <v>2739</v>
      </c>
      <c r="G489" t="s">
        <v>2747</v>
      </c>
      <c r="H489" t="s">
        <v>2745</v>
      </c>
      <c r="I489" t="s">
        <v>2742</v>
      </c>
      <c r="J489">
        <v>788.04597701142404</v>
      </c>
      <c r="K489">
        <v>2</v>
      </c>
      <c r="L489">
        <v>1</v>
      </c>
      <c r="M489">
        <v>2</v>
      </c>
      <c r="N489" s="6">
        <v>4407547.9278162802</v>
      </c>
      <c r="O489" s="6">
        <v>1586933.0875156601</v>
      </c>
      <c r="P489" s="6">
        <v>1713362.0687360901</v>
      </c>
      <c r="Q489" s="6">
        <v>337146.64349826501</v>
      </c>
      <c r="R489" s="6">
        <v>92886.986240649203</v>
      </c>
      <c r="S489" s="6">
        <v>329923.07408220001</v>
      </c>
      <c r="T489" s="6">
        <v>4468219.1100000003</v>
      </c>
      <c r="U489" s="6">
        <v>3669657.6038069399</v>
      </c>
      <c r="V489" s="6">
        <v>7126982.9555488201</v>
      </c>
      <c r="W489" s="6">
        <v>1010893.75825812</v>
      </c>
      <c r="X489" s="6">
        <v>0</v>
      </c>
      <c r="Y489" s="6">
        <v>0</v>
      </c>
      <c r="Z489" s="6">
        <v>0</v>
      </c>
      <c r="AA489" s="6">
        <v>0</v>
      </c>
      <c r="AB489" s="6">
        <v>0</v>
      </c>
      <c r="AC489" s="6">
        <v>329823.78620938101</v>
      </c>
      <c r="AD489" s="6">
        <v>99.287872818835496</v>
      </c>
      <c r="AE489" s="6">
        <v>0</v>
      </c>
      <c r="AF489" s="6">
        <v>0</v>
      </c>
      <c r="AG489" s="6">
        <v>0</v>
      </c>
      <c r="AH489" s="6">
        <v>0</v>
      </c>
      <c r="AI489" s="6">
        <v>0</v>
      </c>
      <c r="AJ489" s="6">
        <v>8467799.7878891509</v>
      </c>
      <c r="AK489" s="6">
        <v>10745.3118661964</v>
      </c>
      <c r="AL489" s="6">
        <v>330.98244656580999</v>
      </c>
      <c r="AM489" s="6">
        <v>93035.839999999997</v>
      </c>
      <c r="AN489" s="6">
        <v>5075.3138707174303</v>
      </c>
      <c r="AO489" s="6">
        <v>12610.1087352179</v>
      </c>
      <c r="AP489" s="6">
        <v>3753.1860850462999</v>
      </c>
      <c r="AQ489" s="6">
        <v>20687.885194392002</v>
      </c>
      <c r="AR489" s="6">
        <v>10745.3118661964</v>
      </c>
      <c r="AS489" s="6">
        <v>12200.6372914654</v>
      </c>
      <c r="AT489" s="6">
        <v>0</v>
      </c>
      <c r="AU489" t="s">
        <v>2973</v>
      </c>
      <c r="AV489" t="s">
        <v>2973</v>
      </c>
    </row>
    <row r="490" spans="1:48" x14ac:dyDescent="0.45">
      <c r="A490" s="5" t="s">
        <v>1001</v>
      </c>
      <c r="B490">
        <v>2206</v>
      </c>
      <c r="C490" t="s">
        <v>999</v>
      </c>
      <c r="D490">
        <v>3426</v>
      </c>
      <c r="E490" t="s">
        <v>1002</v>
      </c>
      <c r="F490" t="s">
        <v>2739</v>
      </c>
      <c r="G490" t="s">
        <v>2740</v>
      </c>
      <c r="H490" t="s">
        <v>2745</v>
      </c>
      <c r="I490" t="s">
        <v>2742</v>
      </c>
      <c r="J490">
        <v>578.09694114895694</v>
      </c>
      <c r="K490">
        <v>3</v>
      </c>
      <c r="L490">
        <v>1</v>
      </c>
      <c r="M490">
        <v>2</v>
      </c>
      <c r="N490" s="6">
        <v>3732250.6299188701</v>
      </c>
      <c r="O490" s="6">
        <v>982536.68435495801</v>
      </c>
      <c r="P490" s="6">
        <v>1257287.3851035</v>
      </c>
      <c r="Q490" s="6">
        <v>247324.96454602099</v>
      </c>
      <c r="R490" s="6">
        <v>68140.291537185403</v>
      </c>
      <c r="S490" s="6">
        <v>242025.878572077</v>
      </c>
      <c r="T490" s="6">
        <v>3595542.41</v>
      </c>
      <c r="U490" s="6">
        <v>2691997.5454605399</v>
      </c>
      <c r="V490" s="6">
        <v>5715378.0137378797</v>
      </c>
      <c r="W490" s="6">
        <v>572161.941722658</v>
      </c>
      <c r="X490" s="6">
        <v>0</v>
      </c>
      <c r="Y490" s="6">
        <v>0</v>
      </c>
      <c r="Z490" s="6">
        <v>0</v>
      </c>
      <c r="AA490" s="6">
        <v>0</v>
      </c>
      <c r="AB490" s="6">
        <v>0</v>
      </c>
      <c r="AC490" s="6">
        <v>241953.042700511</v>
      </c>
      <c r="AD490" s="6">
        <v>72.8358715660614</v>
      </c>
      <c r="AE490" s="6">
        <v>0</v>
      </c>
      <c r="AF490" s="6">
        <v>0</v>
      </c>
      <c r="AG490" s="6">
        <v>0</v>
      </c>
      <c r="AH490" s="6">
        <v>0</v>
      </c>
      <c r="AI490" s="6">
        <v>0</v>
      </c>
      <c r="AJ490" s="6">
        <v>6529565.8340326101</v>
      </c>
      <c r="AK490" s="6">
        <v>11294.9323361844</v>
      </c>
      <c r="AL490" s="6">
        <v>330.98244656580999</v>
      </c>
      <c r="AM490" s="6">
        <v>93035.839999999997</v>
      </c>
      <c r="AN490" s="6">
        <v>5075.3138707174303</v>
      </c>
      <c r="AO490" s="6">
        <v>12610.1087352179</v>
      </c>
      <c r="AP490" s="6">
        <v>330.98244656580999</v>
      </c>
      <c r="AQ490" s="6">
        <v>93035.839999999997</v>
      </c>
      <c r="AR490" s="6">
        <v>11210.770974842901</v>
      </c>
      <c r="AS490" s="6">
        <v>11717.547930332101</v>
      </c>
      <c r="AT490" s="6">
        <v>0</v>
      </c>
      <c r="AU490" t="s">
        <v>2973</v>
      </c>
      <c r="AV490" t="s">
        <v>2973</v>
      </c>
    </row>
    <row r="491" spans="1:48" x14ac:dyDescent="0.45">
      <c r="A491" s="5" t="s">
        <v>1003</v>
      </c>
      <c r="B491">
        <v>2206</v>
      </c>
      <c r="C491" t="s">
        <v>999</v>
      </c>
      <c r="D491">
        <v>1040</v>
      </c>
      <c r="E491" t="s">
        <v>1004</v>
      </c>
      <c r="F491" t="s">
        <v>2739</v>
      </c>
      <c r="G491" t="s">
        <v>2744</v>
      </c>
      <c r="H491" t="s">
        <v>2745</v>
      </c>
      <c r="I491" t="s">
        <v>2742</v>
      </c>
      <c r="J491">
        <v>1589.0973444296801</v>
      </c>
      <c r="K491">
        <v>1</v>
      </c>
      <c r="L491">
        <v>1</v>
      </c>
      <c r="M491">
        <v>2</v>
      </c>
      <c r="N491" s="6">
        <v>9833604.6483277809</v>
      </c>
      <c r="O491" s="6">
        <v>5033176.5128739402</v>
      </c>
      <c r="P491" s="6">
        <v>3516721.0516689401</v>
      </c>
      <c r="Q491" s="6">
        <v>679857.33256107301</v>
      </c>
      <c r="R491" s="6">
        <v>310039.77796292398</v>
      </c>
      <c r="S491" s="6">
        <v>665290.98070949095</v>
      </c>
      <c r="T491" s="6">
        <v>11973522.51</v>
      </c>
      <c r="U491" s="6">
        <v>7399876.8133946499</v>
      </c>
      <c r="V491" s="6">
        <v>16259889.2966912</v>
      </c>
      <c r="W491" s="6">
        <v>3113510.0267035002</v>
      </c>
      <c r="X491" s="6">
        <v>0</v>
      </c>
      <c r="Y491" s="6">
        <v>0</v>
      </c>
      <c r="Z491" s="6">
        <v>0</v>
      </c>
      <c r="AA491" s="6">
        <v>0</v>
      </c>
      <c r="AB491" s="6">
        <v>0</v>
      </c>
      <c r="AC491" s="6">
        <v>665090.766382367</v>
      </c>
      <c r="AD491" s="6">
        <v>200.21432712446401</v>
      </c>
      <c r="AE491" s="6">
        <v>0</v>
      </c>
      <c r="AF491" s="6">
        <v>0</v>
      </c>
      <c r="AG491" s="6">
        <v>0</v>
      </c>
      <c r="AH491" s="6">
        <v>0</v>
      </c>
      <c r="AI491" s="6">
        <v>0</v>
      </c>
      <c r="AJ491" s="6">
        <v>20038690.304104101</v>
      </c>
      <c r="AK491" s="6">
        <v>12610.1087352179</v>
      </c>
      <c r="AL491" s="6">
        <v>330.98244656580999</v>
      </c>
      <c r="AM491" s="6">
        <v>93035.839999999997</v>
      </c>
      <c r="AN491" s="6">
        <v>5075.3138707174303</v>
      </c>
      <c r="AO491" s="6">
        <v>12610.1087352179</v>
      </c>
      <c r="AP491" s="6">
        <v>330.98244656580999</v>
      </c>
      <c r="AQ491" s="6">
        <v>40734.411818744898</v>
      </c>
      <c r="AR491" s="6">
        <v>12610.1087352179</v>
      </c>
      <c r="AS491" s="6">
        <v>12610.1087352179</v>
      </c>
      <c r="AT491" s="6">
        <v>0</v>
      </c>
      <c r="AU491" t="s">
        <v>2973</v>
      </c>
      <c r="AV491" t="s">
        <v>2973</v>
      </c>
    </row>
    <row r="492" spans="1:48" x14ac:dyDescent="0.45">
      <c r="A492" s="5" t="s">
        <v>2758</v>
      </c>
      <c r="B492">
        <v>2206</v>
      </c>
      <c r="C492" t="s">
        <v>999</v>
      </c>
      <c r="D492">
        <v>2206</v>
      </c>
      <c r="E492" t="s">
        <v>999</v>
      </c>
      <c r="F492" t="s">
        <v>1</v>
      </c>
      <c r="G492" t="s">
        <v>1</v>
      </c>
      <c r="H492" t="s">
        <v>2743</v>
      </c>
      <c r="I492" t="s">
        <v>2742</v>
      </c>
      <c r="J492">
        <v>0.39942528735600002</v>
      </c>
      <c r="K492">
        <v>0</v>
      </c>
      <c r="L492">
        <v>0</v>
      </c>
      <c r="M492">
        <v>2</v>
      </c>
      <c r="N492" s="6">
        <v>471.33756423705501</v>
      </c>
      <c r="O492" s="6">
        <v>303.60133643748799</v>
      </c>
      <c r="P492" s="6">
        <v>867.08171045123504</v>
      </c>
      <c r="Q492" s="6">
        <v>170.88456624207001</v>
      </c>
      <c r="R492" s="6">
        <v>47.080262133317497</v>
      </c>
      <c r="S492" s="6">
        <v>167.22326173203399</v>
      </c>
      <c r="T492" s="6">
        <v>0</v>
      </c>
      <c r="U492" s="6">
        <v>1859.98543950117</v>
      </c>
      <c r="V492" s="6">
        <v>1470.3948475459399</v>
      </c>
      <c r="W492" s="6">
        <v>389.59059195523099</v>
      </c>
      <c r="X492" s="6">
        <v>0</v>
      </c>
      <c r="Y492" s="6">
        <v>0</v>
      </c>
      <c r="Z492" s="6">
        <v>0</v>
      </c>
      <c r="AA492" s="6">
        <v>0</v>
      </c>
      <c r="AB492" s="6">
        <v>0</v>
      </c>
      <c r="AC492" s="6">
        <v>167.172937146555</v>
      </c>
      <c r="AD492" s="6">
        <v>5.0324585479172401E-2</v>
      </c>
      <c r="AE492" s="6">
        <v>0</v>
      </c>
      <c r="AF492" s="6">
        <v>0</v>
      </c>
      <c r="AG492" s="6">
        <v>0</v>
      </c>
      <c r="AH492" s="6">
        <v>0</v>
      </c>
      <c r="AI492" s="6">
        <v>0</v>
      </c>
      <c r="AJ492" s="6">
        <v>2027.2087012331999</v>
      </c>
      <c r="AK492" s="6">
        <v>5075.3138707174303</v>
      </c>
      <c r="AL492" s="6">
        <v>330.98244656580999</v>
      </c>
      <c r="AM492" s="6">
        <v>93035.839999999997</v>
      </c>
      <c r="AN492" s="6">
        <v>5075.3138707174303</v>
      </c>
      <c r="AO492" s="6">
        <v>12610.1087352179</v>
      </c>
      <c r="AP492" s="6">
        <v>634.54287297753501</v>
      </c>
      <c r="AQ492" s="6">
        <v>40331.279999999999</v>
      </c>
      <c r="AR492" s="6">
        <v>5075.3138707174303</v>
      </c>
      <c r="AS492" s="6">
        <v>5075.3138707174303</v>
      </c>
      <c r="AT492" s="6">
        <v>0</v>
      </c>
      <c r="AU492" t="s">
        <v>2973</v>
      </c>
      <c r="AV492" t="s">
        <v>2977</v>
      </c>
    </row>
    <row r="493" spans="1:48" x14ac:dyDescent="0.45">
      <c r="A493" s="5" t="s">
        <v>1005</v>
      </c>
      <c r="B493">
        <v>2206</v>
      </c>
      <c r="C493" t="s">
        <v>999</v>
      </c>
      <c r="D493">
        <v>1034</v>
      </c>
      <c r="E493" t="s">
        <v>1006</v>
      </c>
      <c r="F493" t="s">
        <v>2739</v>
      </c>
      <c r="G493" t="s">
        <v>2740</v>
      </c>
      <c r="H493" t="s">
        <v>2745</v>
      </c>
      <c r="I493" t="s">
        <v>2742</v>
      </c>
      <c r="J493">
        <v>472.67948016411401</v>
      </c>
      <c r="K493">
        <v>2</v>
      </c>
      <c r="L493">
        <v>1</v>
      </c>
      <c r="M493">
        <v>2</v>
      </c>
      <c r="N493" s="6">
        <v>3019586.81572848</v>
      </c>
      <c r="O493" s="6">
        <v>912749.09378282202</v>
      </c>
      <c r="P493" s="6">
        <v>1048803.1771968901</v>
      </c>
      <c r="Q493" s="6">
        <v>202224.622467079</v>
      </c>
      <c r="R493" s="6">
        <v>55714.734483829197</v>
      </c>
      <c r="S493" s="6">
        <v>197891.83842132601</v>
      </c>
      <c r="T493" s="6">
        <v>3037973.56</v>
      </c>
      <c r="U493" s="6">
        <v>2201104.8836591002</v>
      </c>
      <c r="V493" s="6">
        <v>4747241.0420629401</v>
      </c>
      <c r="W493" s="6">
        <v>491837.40159616602</v>
      </c>
      <c r="X493" s="6">
        <v>0</v>
      </c>
      <c r="Y493" s="6">
        <v>0</v>
      </c>
      <c r="Z493" s="6">
        <v>0</v>
      </c>
      <c r="AA493" s="6">
        <v>0</v>
      </c>
      <c r="AB493" s="6">
        <v>0</v>
      </c>
      <c r="AC493" s="6">
        <v>197832.284357884</v>
      </c>
      <c r="AD493" s="6">
        <v>59.554063442579398</v>
      </c>
      <c r="AE493" s="6">
        <v>0</v>
      </c>
      <c r="AF493" s="6">
        <v>0</v>
      </c>
      <c r="AG493" s="6">
        <v>0</v>
      </c>
      <c r="AH493" s="6">
        <v>0</v>
      </c>
      <c r="AI493" s="6">
        <v>0</v>
      </c>
      <c r="AJ493" s="6">
        <v>5436970.2820804296</v>
      </c>
      <c r="AK493" s="6">
        <v>11502.4461823321</v>
      </c>
      <c r="AL493" s="6">
        <v>330.98244656580999</v>
      </c>
      <c r="AM493" s="6">
        <v>93035.839999999997</v>
      </c>
      <c r="AN493" s="6">
        <v>5075.3138707174303</v>
      </c>
      <c r="AO493" s="6">
        <v>12610.1087352179</v>
      </c>
      <c r="AP493" s="6">
        <v>330.98244656580999</v>
      </c>
      <c r="AQ493" s="6">
        <v>93035.839999999997</v>
      </c>
      <c r="AR493" s="6">
        <v>11210.770974842901</v>
      </c>
      <c r="AS493" s="6">
        <v>11717.547930332101</v>
      </c>
      <c r="AT493" s="6">
        <v>0</v>
      </c>
      <c r="AU493" t="s">
        <v>2973</v>
      </c>
      <c r="AV493" t="s">
        <v>2973</v>
      </c>
    </row>
    <row r="494" spans="1:48" x14ac:dyDescent="0.45">
      <c r="A494" s="5" t="s">
        <v>1007</v>
      </c>
      <c r="B494">
        <v>2206</v>
      </c>
      <c r="C494" t="s">
        <v>999</v>
      </c>
      <c r="D494">
        <v>1036</v>
      </c>
      <c r="E494" t="s">
        <v>1008</v>
      </c>
      <c r="F494" t="s">
        <v>2739</v>
      </c>
      <c r="G494" t="s">
        <v>2740</v>
      </c>
      <c r="H494" t="s">
        <v>2745</v>
      </c>
      <c r="I494" t="s">
        <v>2742</v>
      </c>
      <c r="J494">
        <v>507.41219073666701</v>
      </c>
      <c r="K494">
        <v>2</v>
      </c>
      <c r="L494">
        <v>1</v>
      </c>
      <c r="M494">
        <v>2</v>
      </c>
      <c r="N494" s="6">
        <v>3372796.3416120699</v>
      </c>
      <c r="O494" s="6">
        <v>970865.628438076</v>
      </c>
      <c r="P494" s="6">
        <v>1104554.9237146999</v>
      </c>
      <c r="Q494" s="6">
        <v>217084.18286169201</v>
      </c>
      <c r="R494" s="6">
        <v>59808.679384465897</v>
      </c>
      <c r="S494" s="6">
        <v>212433.02380591701</v>
      </c>
      <c r="T494" s="6">
        <v>3362266.65</v>
      </c>
      <c r="U494" s="6">
        <v>2362843.106011</v>
      </c>
      <c r="V494" s="6">
        <v>5199079.9966398804</v>
      </c>
      <c r="W494" s="6">
        <v>526029.75937112502</v>
      </c>
      <c r="X494" s="6">
        <v>0</v>
      </c>
      <c r="Y494" s="6">
        <v>0</v>
      </c>
      <c r="Z494" s="6">
        <v>0</v>
      </c>
      <c r="AA494" s="6">
        <v>0</v>
      </c>
      <c r="AB494" s="6">
        <v>0</v>
      </c>
      <c r="AC494" s="6">
        <v>212369.09368187599</v>
      </c>
      <c r="AD494" s="6">
        <v>63.930124041301397</v>
      </c>
      <c r="AE494" s="6">
        <v>0</v>
      </c>
      <c r="AF494" s="6">
        <v>0</v>
      </c>
      <c r="AG494" s="6">
        <v>0</v>
      </c>
      <c r="AH494" s="6">
        <v>0</v>
      </c>
      <c r="AI494" s="6">
        <v>0</v>
      </c>
      <c r="AJ494" s="6">
        <v>5937542.7798169199</v>
      </c>
      <c r="AK494" s="6">
        <v>11701.616335225801</v>
      </c>
      <c r="AL494" s="6">
        <v>330.98244656580999</v>
      </c>
      <c r="AM494" s="6">
        <v>93035.839999999997</v>
      </c>
      <c r="AN494" s="6">
        <v>5075.3138707174303</v>
      </c>
      <c r="AO494" s="6">
        <v>12610.1087352179</v>
      </c>
      <c r="AP494" s="6">
        <v>330.98244656580999</v>
      </c>
      <c r="AQ494" s="6">
        <v>93035.839999999997</v>
      </c>
      <c r="AR494" s="6">
        <v>11210.770974842901</v>
      </c>
      <c r="AS494" s="6">
        <v>11717.547930332101</v>
      </c>
      <c r="AT494" s="6">
        <v>0</v>
      </c>
      <c r="AU494" t="s">
        <v>2973</v>
      </c>
      <c r="AV494" t="s">
        <v>2973</v>
      </c>
    </row>
    <row r="495" spans="1:48" x14ac:dyDescent="0.45">
      <c r="A495" s="5" t="s">
        <v>1009</v>
      </c>
      <c r="B495">
        <v>2206</v>
      </c>
      <c r="C495" t="s">
        <v>999</v>
      </c>
      <c r="D495">
        <v>1333</v>
      </c>
      <c r="E495" t="s">
        <v>1010</v>
      </c>
      <c r="F495" t="s">
        <v>2739</v>
      </c>
      <c r="G495" t="s">
        <v>2747</v>
      </c>
      <c r="H495" t="s">
        <v>2745</v>
      </c>
      <c r="I495" t="s">
        <v>2742</v>
      </c>
      <c r="J495">
        <v>569.58045977005702</v>
      </c>
      <c r="K495">
        <v>2</v>
      </c>
      <c r="L495">
        <v>1</v>
      </c>
      <c r="M495">
        <v>2</v>
      </c>
      <c r="N495" s="6">
        <v>3776739.1466025198</v>
      </c>
      <c r="O495" s="6">
        <v>1384004.5357601601</v>
      </c>
      <c r="P495" s="6">
        <v>1239222.69910433</v>
      </c>
      <c r="Q495" s="6">
        <v>243681.391461363</v>
      </c>
      <c r="R495" s="6">
        <v>67136.453802157994</v>
      </c>
      <c r="S495" s="6">
        <v>238460.37123004801</v>
      </c>
      <c r="T495" s="6">
        <v>4058444.99</v>
      </c>
      <c r="U495" s="6">
        <v>2652339.2367305299</v>
      </c>
      <c r="V495" s="6">
        <v>6057063.7326019797</v>
      </c>
      <c r="W495" s="6">
        <v>653720.49412855098</v>
      </c>
      <c r="X495" s="6">
        <v>0</v>
      </c>
      <c r="Y495" s="6">
        <v>0</v>
      </c>
      <c r="Z495" s="6">
        <v>0</v>
      </c>
      <c r="AA495" s="6">
        <v>0</v>
      </c>
      <c r="AB495" s="6">
        <v>0</v>
      </c>
      <c r="AC495" s="6">
        <v>238388.60837115499</v>
      </c>
      <c r="AD495" s="6">
        <v>71.762858893350398</v>
      </c>
      <c r="AE495" s="6">
        <v>0</v>
      </c>
      <c r="AF495" s="6">
        <v>0</v>
      </c>
      <c r="AG495" s="6">
        <v>0</v>
      </c>
      <c r="AH495" s="6">
        <v>0</v>
      </c>
      <c r="AI495" s="6">
        <v>0</v>
      </c>
      <c r="AJ495" s="6">
        <v>6949244.5979605801</v>
      </c>
      <c r="AK495" s="6">
        <v>12200.6372914654</v>
      </c>
      <c r="AL495" s="6">
        <v>330.98244656580999</v>
      </c>
      <c r="AM495" s="6">
        <v>93035.839999999997</v>
      </c>
      <c r="AN495" s="6">
        <v>5075.3138707174303</v>
      </c>
      <c r="AO495" s="6">
        <v>12610.1087352179</v>
      </c>
      <c r="AP495" s="6">
        <v>3753.1860850462999</v>
      </c>
      <c r="AQ495" s="6">
        <v>20687.885194392002</v>
      </c>
      <c r="AR495" s="6">
        <v>10745.3118661964</v>
      </c>
      <c r="AS495" s="6">
        <v>12200.6372914654</v>
      </c>
      <c r="AT495" s="6">
        <v>0</v>
      </c>
      <c r="AU495" t="s">
        <v>2973</v>
      </c>
      <c r="AV495" t="s">
        <v>2973</v>
      </c>
    </row>
    <row r="496" spans="1:48" x14ac:dyDescent="0.45">
      <c r="A496" s="5" t="s">
        <v>1011</v>
      </c>
      <c r="B496">
        <v>2206</v>
      </c>
      <c r="C496" t="s">
        <v>999</v>
      </c>
      <c r="D496">
        <v>1037</v>
      </c>
      <c r="E496" t="s">
        <v>1012</v>
      </c>
      <c r="F496" t="s">
        <v>2739</v>
      </c>
      <c r="G496" t="s">
        <v>2740</v>
      </c>
      <c r="H496" t="s">
        <v>2745</v>
      </c>
      <c r="I496" t="s">
        <v>2742</v>
      </c>
      <c r="J496">
        <v>597.49589603275501</v>
      </c>
      <c r="K496">
        <v>4</v>
      </c>
      <c r="L496">
        <v>1</v>
      </c>
      <c r="M496">
        <v>2</v>
      </c>
      <c r="N496" s="6">
        <v>3811251.8604080798</v>
      </c>
      <c r="O496" s="6">
        <v>1011348.57135222</v>
      </c>
      <c r="P496" s="6">
        <v>1299590.58787764</v>
      </c>
      <c r="Q496" s="6">
        <v>255624.34391884599</v>
      </c>
      <c r="R496" s="6">
        <v>70426.846519938903</v>
      </c>
      <c r="S496" s="6">
        <v>250147.43875504599</v>
      </c>
      <c r="T496" s="6">
        <v>3665910.44</v>
      </c>
      <c r="U496" s="6">
        <v>2782331.7700767298</v>
      </c>
      <c r="V496" s="6">
        <v>5856274.0467703203</v>
      </c>
      <c r="W496" s="6">
        <v>591968.16330640798</v>
      </c>
      <c r="X496" s="6">
        <v>0</v>
      </c>
      <c r="Y496" s="6">
        <v>0</v>
      </c>
      <c r="Z496" s="6">
        <v>0</v>
      </c>
      <c r="AA496" s="6">
        <v>0</v>
      </c>
      <c r="AB496" s="6">
        <v>0</v>
      </c>
      <c r="AC496" s="6">
        <v>250072.15876090099</v>
      </c>
      <c r="AD496" s="6">
        <v>75.279994144575596</v>
      </c>
      <c r="AE496" s="6">
        <v>0</v>
      </c>
      <c r="AF496" s="6">
        <v>0</v>
      </c>
      <c r="AG496" s="6">
        <v>0</v>
      </c>
      <c r="AH496" s="6">
        <v>0</v>
      </c>
      <c r="AI496" s="6">
        <v>0</v>
      </c>
      <c r="AJ496" s="6">
        <v>6698389.6488317801</v>
      </c>
      <c r="AK496" s="6">
        <v>11210.770974842901</v>
      </c>
      <c r="AL496" s="6">
        <v>330.98244656580999</v>
      </c>
      <c r="AM496" s="6">
        <v>93035.839999999997</v>
      </c>
      <c r="AN496" s="6">
        <v>5075.3138707174303</v>
      </c>
      <c r="AO496" s="6">
        <v>12610.1087352179</v>
      </c>
      <c r="AP496" s="6">
        <v>330.98244656580999</v>
      </c>
      <c r="AQ496" s="6">
        <v>93035.839999999997</v>
      </c>
      <c r="AR496" s="6">
        <v>11210.770974842901</v>
      </c>
      <c r="AS496" s="6">
        <v>11717.547930332101</v>
      </c>
      <c r="AT496" s="6">
        <v>0</v>
      </c>
      <c r="AU496" t="s">
        <v>2973</v>
      </c>
      <c r="AV496" t="s">
        <v>2973</v>
      </c>
    </row>
    <row r="497" spans="1:48" x14ac:dyDescent="0.45">
      <c r="A497" s="5" t="s">
        <v>1013</v>
      </c>
      <c r="B497">
        <v>2206</v>
      </c>
      <c r="C497" t="s">
        <v>999</v>
      </c>
      <c r="D497">
        <v>1038</v>
      </c>
      <c r="E497" t="s">
        <v>1014</v>
      </c>
      <c r="F497" t="s">
        <v>2739</v>
      </c>
      <c r="G497" t="s">
        <v>2740</v>
      </c>
      <c r="H497" t="s">
        <v>2745</v>
      </c>
      <c r="I497" t="s">
        <v>2742</v>
      </c>
      <c r="J497">
        <v>577.37222982209596</v>
      </c>
      <c r="K497">
        <v>4</v>
      </c>
      <c r="L497">
        <v>1</v>
      </c>
      <c r="M497">
        <v>2</v>
      </c>
      <c r="N497" s="6">
        <v>3980841.7920216802</v>
      </c>
      <c r="O497" s="6">
        <v>971507.334585723</v>
      </c>
      <c r="P497" s="6">
        <v>1256245.3948874299</v>
      </c>
      <c r="Q497" s="6">
        <v>247014.914119416</v>
      </c>
      <c r="R497" s="6">
        <v>68054.869806714996</v>
      </c>
      <c r="S497" s="6">
        <v>241722.47116216001</v>
      </c>
      <c r="T497" s="6">
        <v>3835041.49</v>
      </c>
      <c r="U497" s="6">
        <v>2688622.8154209699</v>
      </c>
      <c r="V497" s="6">
        <v>5950078.3710994702</v>
      </c>
      <c r="W497" s="6">
        <v>573585.93432150397</v>
      </c>
      <c r="X497" s="6">
        <v>0</v>
      </c>
      <c r="Y497" s="6">
        <v>0</v>
      </c>
      <c r="Z497" s="6">
        <v>0</v>
      </c>
      <c r="AA497" s="6">
        <v>0</v>
      </c>
      <c r="AB497" s="6">
        <v>0</v>
      </c>
      <c r="AC497" s="6">
        <v>241649.72659877699</v>
      </c>
      <c r="AD497" s="6">
        <v>72.744563383352798</v>
      </c>
      <c r="AE497" s="6">
        <v>0</v>
      </c>
      <c r="AF497" s="6">
        <v>0</v>
      </c>
      <c r="AG497" s="6">
        <v>0</v>
      </c>
      <c r="AH497" s="6">
        <v>0</v>
      </c>
      <c r="AI497" s="6">
        <v>0</v>
      </c>
      <c r="AJ497" s="6">
        <v>6765386.7765831295</v>
      </c>
      <c r="AK497" s="6">
        <v>11717.547930332101</v>
      </c>
      <c r="AL497" s="6">
        <v>330.98244656580999</v>
      </c>
      <c r="AM497" s="6">
        <v>93035.839999999997</v>
      </c>
      <c r="AN497" s="6">
        <v>5075.3138707174303</v>
      </c>
      <c r="AO497" s="6">
        <v>12610.1087352179</v>
      </c>
      <c r="AP497" s="6">
        <v>330.98244656580999</v>
      </c>
      <c r="AQ497" s="6">
        <v>93035.839999999997</v>
      </c>
      <c r="AR497" s="6">
        <v>11210.770974842901</v>
      </c>
      <c r="AS497" s="6">
        <v>11717.547930332101</v>
      </c>
      <c r="AT497" s="6">
        <v>0</v>
      </c>
      <c r="AU497" t="s">
        <v>2973</v>
      </c>
      <c r="AV497" t="s">
        <v>2973</v>
      </c>
    </row>
    <row r="498" spans="1:48" x14ac:dyDescent="0.45">
      <c r="A498" s="5" t="s">
        <v>1017</v>
      </c>
      <c r="B498">
        <v>2239</v>
      </c>
      <c r="C498" t="s">
        <v>1018</v>
      </c>
      <c r="D498">
        <v>1112</v>
      </c>
      <c r="E498" t="s">
        <v>1019</v>
      </c>
      <c r="F498" t="s">
        <v>2739</v>
      </c>
      <c r="G498" t="s">
        <v>2740</v>
      </c>
      <c r="H498" t="s">
        <v>2741</v>
      </c>
      <c r="I498" t="s">
        <v>2742</v>
      </c>
      <c r="J498">
        <v>330.75574555400499</v>
      </c>
      <c r="K498">
        <v>3</v>
      </c>
      <c r="L498">
        <v>1</v>
      </c>
      <c r="M498">
        <v>1</v>
      </c>
      <c r="N498" s="6">
        <v>2817407.71639858</v>
      </c>
      <c r="O498" s="6">
        <v>875169.31093174696</v>
      </c>
      <c r="P498" s="6">
        <v>866412.36940074805</v>
      </c>
      <c r="Q498" s="6">
        <v>117537.816683647</v>
      </c>
      <c r="R498" s="6">
        <v>73218.599115427904</v>
      </c>
      <c r="S498" s="6">
        <v>139948.97979192701</v>
      </c>
      <c r="T498" s="6">
        <v>3425190.03</v>
      </c>
      <c r="U498" s="6">
        <v>1324555.7825301499</v>
      </c>
      <c r="V498" s="6">
        <v>4009361.0143597699</v>
      </c>
      <c r="W498" s="6">
        <v>724055.80633961596</v>
      </c>
      <c r="X498" s="6">
        <v>0</v>
      </c>
      <c r="Y498" s="6">
        <v>0</v>
      </c>
      <c r="Z498" s="6">
        <v>0</v>
      </c>
      <c r="AA498" s="6">
        <v>16328.9918307689</v>
      </c>
      <c r="AB498" s="6">
        <v>0</v>
      </c>
      <c r="AC498" s="6">
        <v>139948.97979192701</v>
      </c>
      <c r="AD498" s="6">
        <v>0</v>
      </c>
      <c r="AE498" s="6">
        <v>0</v>
      </c>
      <c r="AF498" s="6">
        <v>0</v>
      </c>
      <c r="AG498" s="6">
        <v>0</v>
      </c>
      <c r="AH498" s="6">
        <v>0</v>
      </c>
      <c r="AI498" s="6">
        <v>0</v>
      </c>
      <c r="AJ498" s="6">
        <v>4889694.7923220797</v>
      </c>
      <c r="AK498" s="6">
        <v>14783.4009175925</v>
      </c>
      <c r="AL498" s="6">
        <v>330.98244656580999</v>
      </c>
      <c r="AM498" s="6">
        <v>93035.839999999997</v>
      </c>
      <c r="AN498" s="6">
        <v>4427.75305344759</v>
      </c>
      <c r="AO498" s="6">
        <v>17319.062791103301</v>
      </c>
      <c r="AP498" s="6">
        <v>330.98244656580999</v>
      </c>
      <c r="AQ498" s="6">
        <v>93035.839999999997</v>
      </c>
      <c r="AR498" s="6">
        <v>4427.75305344759</v>
      </c>
      <c r="AS498" s="6">
        <v>17319.062791103301</v>
      </c>
      <c r="AT498" s="6">
        <v>0</v>
      </c>
      <c r="AU498" t="s">
        <v>2973</v>
      </c>
      <c r="AV498" t="s">
        <v>2973</v>
      </c>
    </row>
    <row r="499" spans="1:48" x14ac:dyDescent="0.45">
      <c r="A499" s="5" t="s">
        <v>1020</v>
      </c>
      <c r="B499">
        <v>2239</v>
      </c>
      <c r="C499" t="s">
        <v>1018</v>
      </c>
      <c r="D499">
        <v>1147</v>
      </c>
      <c r="E499" t="s">
        <v>1021</v>
      </c>
      <c r="F499" t="s">
        <v>2739</v>
      </c>
      <c r="G499" t="s">
        <v>2740</v>
      </c>
      <c r="H499" t="s">
        <v>2741</v>
      </c>
      <c r="I499" t="s">
        <v>2742</v>
      </c>
      <c r="J499">
        <v>390.46500421749101</v>
      </c>
      <c r="K499">
        <v>2</v>
      </c>
      <c r="L499">
        <v>1</v>
      </c>
      <c r="M499">
        <v>1</v>
      </c>
      <c r="N499" s="6">
        <v>3244304.9970896598</v>
      </c>
      <c r="O499" s="6">
        <v>874441.96839040902</v>
      </c>
      <c r="P499" s="6">
        <v>933985.29431664804</v>
      </c>
      <c r="Q499" s="6">
        <v>138756.18097041201</v>
      </c>
      <c r="R499" s="6">
        <v>86436.293236624493</v>
      </c>
      <c r="S499" s="6">
        <v>165213.09068466601</v>
      </c>
      <c r="T499" s="6">
        <v>3714255.21</v>
      </c>
      <c r="U499" s="6">
        <v>1563669.5240037499</v>
      </c>
      <c r="V499" s="6">
        <v>4623495.6218945803</v>
      </c>
      <c r="W499" s="6">
        <v>635152.34987669601</v>
      </c>
      <c r="X499" s="6">
        <v>0</v>
      </c>
      <c r="Y499" s="6">
        <v>0</v>
      </c>
      <c r="Z499" s="6">
        <v>0</v>
      </c>
      <c r="AA499" s="6">
        <v>19276.762232471901</v>
      </c>
      <c r="AB499" s="6">
        <v>0</v>
      </c>
      <c r="AC499" s="6">
        <v>165213.09068466601</v>
      </c>
      <c r="AD499" s="6">
        <v>0</v>
      </c>
      <c r="AE499" s="6">
        <v>0</v>
      </c>
      <c r="AF499" s="6">
        <v>0</v>
      </c>
      <c r="AG499" s="6">
        <v>0</v>
      </c>
      <c r="AH499" s="6">
        <v>0</v>
      </c>
      <c r="AI499" s="6">
        <v>0</v>
      </c>
      <c r="AJ499" s="6">
        <v>5443137.8246884299</v>
      </c>
      <c r="AK499" s="6">
        <v>13940.1425630876</v>
      </c>
      <c r="AL499" s="6">
        <v>330.98244656580999</v>
      </c>
      <c r="AM499" s="6">
        <v>93035.839999999997</v>
      </c>
      <c r="AN499" s="6">
        <v>4427.75305344759</v>
      </c>
      <c r="AO499" s="6">
        <v>17319.062791103301</v>
      </c>
      <c r="AP499" s="6">
        <v>330.98244656580999</v>
      </c>
      <c r="AQ499" s="6">
        <v>93035.839999999997</v>
      </c>
      <c r="AR499" s="6">
        <v>4427.75305344759</v>
      </c>
      <c r="AS499" s="6">
        <v>17319.062791103301</v>
      </c>
      <c r="AT499" s="6">
        <v>0</v>
      </c>
      <c r="AU499" t="s">
        <v>2973</v>
      </c>
      <c r="AV499" t="s">
        <v>2973</v>
      </c>
    </row>
    <row r="500" spans="1:48" x14ac:dyDescent="0.45">
      <c r="A500" s="5" t="s">
        <v>1022</v>
      </c>
      <c r="B500">
        <v>2239</v>
      </c>
      <c r="C500" t="s">
        <v>1018</v>
      </c>
      <c r="D500">
        <v>1368</v>
      </c>
      <c r="E500" t="s">
        <v>1023</v>
      </c>
      <c r="F500" t="s">
        <v>2739</v>
      </c>
      <c r="G500" t="s">
        <v>2744</v>
      </c>
      <c r="H500" t="s">
        <v>2745</v>
      </c>
      <c r="I500" t="s">
        <v>2742</v>
      </c>
      <c r="J500">
        <v>1535.82561058395</v>
      </c>
      <c r="K500">
        <v>1</v>
      </c>
      <c r="L500">
        <v>1</v>
      </c>
      <c r="M500">
        <v>1</v>
      </c>
      <c r="N500" s="6">
        <v>11061604.061836399</v>
      </c>
      <c r="O500" s="6">
        <v>4665518.5638229204</v>
      </c>
      <c r="P500" s="6">
        <v>3759867.1547457399</v>
      </c>
      <c r="Q500" s="6">
        <v>545773.10145438497</v>
      </c>
      <c r="R500" s="6">
        <v>340511.75941833801</v>
      </c>
      <c r="S500" s="6">
        <v>649836.71554827795</v>
      </c>
      <c r="T500" s="6">
        <v>14222854.82</v>
      </c>
      <c r="U500" s="6">
        <v>6150419.8212778196</v>
      </c>
      <c r="V500" s="6">
        <v>17381735.361212298</v>
      </c>
      <c r="W500" s="6">
        <v>2915717.51676796</v>
      </c>
      <c r="X500" s="6">
        <v>0</v>
      </c>
      <c r="Y500" s="6">
        <v>0</v>
      </c>
      <c r="Z500" s="6">
        <v>0</v>
      </c>
      <c r="AA500" s="6">
        <v>75821.763297581798</v>
      </c>
      <c r="AB500" s="6">
        <v>0</v>
      </c>
      <c r="AC500" s="6">
        <v>649836.71554827795</v>
      </c>
      <c r="AD500" s="6">
        <v>0</v>
      </c>
      <c r="AE500" s="6">
        <v>0</v>
      </c>
      <c r="AF500" s="6">
        <v>0</v>
      </c>
      <c r="AG500" s="6">
        <v>0</v>
      </c>
      <c r="AH500" s="6">
        <v>0</v>
      </c>
      <c r="AI500" s="6">
        <v>0</v>
      </c>
      <c r="AJ500" s="6">
        <v>21023111.3568261</v>
      </c>
      <c r="AK500" s="6">
        <v>13688.475574276101</v>
      </c>
      <c r="AL500" s="6">
        <v>330.98244656580999</v>
      </c>
      <c r="AM500" s="6">
        <v>93035.839999999997</v>
      </c>
      <c r="AN500" s="6">
        <v>4427.75305344759</v>
      </c>
      <c r="AO500" s="6">
        <v>17319.062791103301</v>
      </c>
      <c r="AP500" s="6">
        <v>330.98244656580999</v>
      </c>
      <c r="AQ500" s="6">
        <v>40734.411818744898</v>
      </c>
      <c r="AR500" s="6">
        <v>4427.75305344759</v>
      </c>
      <c r="AS500" s="6">
        <v>15231.8475689723</v>
      </c>
      <c r="AT500" s="6">
        <v>0</v>
      </c>
      <c r="AU500" t="s">
        <v>2973</v>
      </c>
      <c r="AV500" t="s">
        <v>2973</v>
      </c>
    </row>
    <row r="501" spans="1:48" x14ac:dyDescent="0.45">
      <c r="A501" s="5" t="s">
        <v>1024</v>
      </c>
      <c r="B501">
        <v>2239</v>
      </c>
      <c r="C501" t="s">
        <v>1018</v>
      </c>
      <c r="D501">
        <v>4206</v>
      </c>
      <c r="E501" t="s">
        <v>1025</v>
      </c>
      <c r="F501" t="s">
        <v>3</v>
      </c>
      <c r="G501" t="s">
        <v>2740</v>
      </c>
      <c r="H501" t="s">
        <v>2741</v>
      </c>
      <c r="I501" t="s">
        <v>2742</v>
      </c>
      <c r="J501">
        <v>189.73882960786199</v>
      </c>
      <c r="K501">
        <v>1</v>
      </c>
      <c r="L501">
        <v>1</v>
      </c>
      <c r="M501">
        <v>1</v>
      </c>
      <c r="N501" s="6">
        <v>158471.03942680999</v>
      </c>
      <c r="O501" s="6">
        <v>199534.440885566</v>
      </c>
      <c r="P501" s="6">
        <v>292401.25561102002</v>
      </c>
      <c r="Q501" s="6">
        <v>67425.8514689273</v>
      </c>
      <c r="R501" s="6">
        <v>42002.025628970398</v>
      </c>
      <c r="S501" s="6">
        <v>80282.069132488701</v>
      </c>
      <c r="T501" s="6">
        <v>0</v>
      </c>
      <c r="U501" s="6">
        <v>759834.613021294</v>
      </c>
      <c r="V501" s="6">
        <v>531459.586700132</v>
      </c>
      <c r="W501" s="6">
        <v>219007.860851498</v>
      </c>
      <c r="X501" s="6">
        <v>0</v>
      </c>
      <c r="Y501" s="6">
        <v>0</v>
      </c>
      <c r="Z501" s="6">
        <v>0</v>
      </c>
      <c r="AA501" s="6">
        <v>9367.1654696639307</v>
      </c>
      <c r="AB501" s="6">
        <v>0</v>
      </c>
      <c r="AC501" s="6">
        <v>80282.069132488701</v>
      </c>
      <c r="AD501" s="6">
        <v>0</v>
      </c>
      <c r="AE501" s="6">
        <v>0</v>
      </c>
      <c r="AF501" s="6">
        <v>0</v>
      </c>
      <c r="AG501" s="6">
        <v>0</v>
      </c>
      <c r="AH501" s="6">
        <v>0</v>
      </c>
      <c r="AI501" s="6">
        <v>0</v>
      </c>
      <c r="AJ501" s="6">
        <v>840116.68215378304</v>
      </c>
      <c r="AK501" s="6">
        <v>4427.75305344759</v>
      </c>
      <c r="AL501" s="6">
        <v>330.98244656580999</v>
      </c>
      <c r="AM501" s="6">
        <v>93035.839999999997</v>
      </c>
      <c r="AN501" s="6">
        <v>4427.75305344759</v>
      </c>
      <c r="AO501" s="6">
        <v>17319.062791103301</v>
      </c>
      <c r="AP501" s="6">
        <v>330.98244656580999</v>
      </c>
      <c r="AQ501" s="6">
        <v>93035.839999999997</v>
      </c>
      <c r="AR501" s="6">
        <v>4427.75305344759</v>
      </c>
      <c r="AS501" s="6">
        <v>17319.062791103301</v>
      </c>
      <c r="AT501" s="6">
        <v>0</v>
      </c>
      <c r="AU501" t="s">
        <v>2973</v>
      </c>
      <c r="AV501" t="s">
        <v>2976</v>
      </c>
    </row>
    <row r="502" spans="1:48" x14ac:dyDescent="0.45">
      <c r="A502" s="5" t="s">
        <v>1026</v>
      </c>
      <c r="B502">
        <v>2239</v>
      </c>
      <c r="C502" t="s">
        <v>1018</v>
      </c>
      <c r="D502">
        <v>1115</v>
      </c>
      <c r="E502" t="s">
        <v>620</v>
      </c>
      <c r="F502" t="s">
        <v>2739</v>
      </c>
      <c r="G502" t="s">
        <v>2740</v>
      </c>
      <c r="H502" t="s">
        <v>2741</v>
      </c>
      <c r="I502" t="s">
        <v>2742</v>
      </c>
      <c r="J502">
        <v>438.709781121699</v>
      </c>
      <c r="K502">
        <v>5</v>
      </c>
      <c r="L502">
        <v>1</v>
      </c>
      <c r="M502">
        <v>1</v>
      </c>
      <c r="N502" s="6">
        <v>3429705.4119852898</v>
      </c>
      <c r="O502" s="6">
        <v>977456.91942161904</v>
      </c>
      <c r="P502" s="6">
        <v>1132615.78389494</v>
      </c>
      <c r="Q502" s="6">
        <v>155900.511250184</v>
      </c>
      <c r="R502" s="6">
        <v>97116.122769580194</v>
      </c>
      <c r="S502" s="6">
        <v>185626.36361730701</v>
      </c>
      <c r="T502" s="6">
        <v>4035922.54</v>
      </c>
      <c r="U502" s="6">
        <v>1756872.2093216199</v>
      </c>
      <c r="V502" s="6">
        <v>4726606.27804833</v>
      </c>
      <c r="W502" s="6">
        <v>1044529.92556907</v>
      </c>
      <c r="X502" s="6">
        <v>0</v>
      </c>
      <c r="Y502" s="6">
        <v>0</v>
      </c>
      <c r="Z502" s="6">
        <v>0</v>
      </c>
      <c r="AA502" s="6">
        <v>21658.545704219501</v>
      </c>
      <c r="AB502" s="6">
        <v>0</v>
      </c>
      <c r="AC502" s="6">
        <v>185626.36361730701</v>
      </c>
      <c r="AD502" s="6">
        <v>0</v>
      </c>
      <c r="AE502" s="6">
        <v>0</v>
      </c>
      <c r="AF502" s="6">
        <v>0</v>
      </c>
      <c r="AG502" s="6">
        <v>0</v>
      </c>
      <c r="AH502" s="6">
        <v>0</v>
      </c>
      <c r="AI502" s="6">
        <v>0</v>
      </c>
      <c r="AJ502" s="6">
        <v>5978421.11293892</v>
      </c>
      <c r="AK502" s="6">
        <v>13627.2801979778</v>
      </c>
      <c r="AL502" s="6">
        <v>330.98244656580999</v>
      </c>
      <c r="AM502" s="6">
        <v>93035.839999999997</v>
      </c>
      <c r="AN502" s="6">
        <v>4427.75305344759</v>
      </c>
      <c r="AO502" s="6">
        <v>17319.062791103301</v>
      </c>
      <c r="AP502" s="6">
        <v>330.98244656580999</v>
      </c>
      <c r="AQ502" s="6">
        <v>93035.839999999997</v>
      </c>
      <c r="AR502" s="6">
        <v>4427.75305344759</v>
      </c>
      <c r="AS502" s="6">
        <v>17319.062791103301</v>
      </c>
      <c r="AT502" s="6">
        <v>0</v>
      </c>
      <c r="AU502" t="s">
        <v>2973</v>
      </c>
      <c r="AV502" t="s">
        <v>2973</v>
      </c>
    </row>
    <row r="503" spans="1:48" x14ac:dyDescent="0.45">
      <c r="A503" s="5" t="s">
        <v>1027</v>
      </c>
      <c r="B503">
        <v>2239</v>
      </c>
      <c r="C503" t="s">
        <v>1018</v>
      </c>
      <c r="D503">
        <v>1197</v>
      </c>
      <c r="E503" t="s">
        <v>1028</v>
      </c>
      <c r="F503" t="s">
        <v>2739</v>
      </c>
      <c r="G503" t="s">
        <v>2747</v>
      </c>
      <c r="H503" t="s">
        <v>2741</v>
      </c>
      <c r="I503" t="s">
        <v>2742</v>
      </c>
      <c r="J503">
        <v>797.12765049350298</v>
      </c>
      <c r="K503">
        <v>2</v>
      </c>
      <c r="L503">
        <v>1</v>
      </c>
      <c r="M503">
        <v>1</v>
      </c>
      <c r="N503" s="6">
        <v>5626911.8746166201</v>
      </c>
      <c r="O503" s="6">
        <v>1939033.6514942399</v>
      </c>
      <c r="P503" s="6">
        <v>1887069.2562261701</v>
      </c>
      <c r="Q503" s="6">
        <v>283268.37830205902</v>
      </c>
      <c r="R503" s="6">
        <v>176458.21930484701</v>
      </c>
      <c r="S503" s="6">
        <v>337279.70851616398</v>
      </c>
      <c r="T503" s="6">
        <v>6720536.7000000002</v>
      </c>
      <c r="U503" s="6">
        <v>3192204.6799439499</v>
      </c>
      <c r="V503" s="6">
        <v>8651229.1452315096</v>
      </c>
      <c r="W503" s="6">
        <v>1222159.0531941999</v>
      </c>
      <c r="X503" s="6">
        <v>0</v>
      </c>
      <c r="Y503" s="6">
        <v>0</v>
      </c>
      <c r="Z503" s="6">
        <v>0</v>
      </c>
      <c r="AA503" s="6">
        <v>39353.181518242498</v>
      </c>
      <c r="AB503" s="6">
        <v>0</v>
      </c>
      <c r="AC503" s="6">
        <v>337279.70851616398</v>
      </c>
      <c r="AD503" s="6">
        <v>0</v>
      </c>
      <c r="AE503" s="6">
        <v>0</v>
      </c>
      <c r="AF503" s="6">
        <v>0</v>
      </c>
      <c r="AG503" s="6">
        <v>0</v>
      </c>
      <c r="AH503" s="6">
        <v>0</v>
      </c>
      <c r="AI503" s="6">
        <v>0</v>
      </c>
      <c r="AJ503" s="6">
        <v>10250021.088460101</v>
      </c>
      <c r="AK503" s="6">
        <v>12858.694692266999</v>
      </c>
      <c r="AL503" s="6">
        <v>330.98244656580999</v>
      </c>
      <c r="AM503" s="6">
        <v>93035.839999999997</v>
      </c>
      <c r="AN503" s="6">
        <v>4427.75305344759</v>
      </c>
      <c r="AO503" s="6">
        <v>17319.062791103301</v>
      </c>
      <c r="AP503" s="6">
        <v>3753.1860850462999</v>
      </c>
      <c r="AQ503" s="6">
        <v>20687.885194392002</v>
      </c>
      <c r="AR503" s="6">
        <v>11997.226762391199</v>
      </c>
      <c r="AS503" s="6">
        <v>13029.9248090411</v>
      </c>
      <c r="AT503" s="6">
        <v>0</v>
      </c>
      <c r="AU503" t="s">
        <v>2973</v>
      </c>
      <c r="AV503" t="s">
        <v>2973</v>
      </c>
    </row>
    <row r="504" spans="1:48" x14ac:dyDescent="0.45">
      <c r="A504" s="5" t="s">
        <v>1029</v>
      </c>
      <c r="B504">
        <v>2239</v>
      </c>
      <c r="C504" t="s">
        <v>1018</v>
      </c>
      <c r="D504">
        <v>1189</v>
      </c>
      <c r="E504" t="s">
        <v>1030</v>
      </c>
      <c r="F504" t="s">
        <v>2739</v>
      </c>
      <c r="G504" t="s">
        <v>2740</v>
      </c>
      <c r="H504" t="s">
        <v>2741</v>
      </c>
      <c r="I504" t="s">
        <v>2742</v>
      </c>
      <c r="J504">
        <v>311.98661746720398</v>
      </c>
      <c r="K504">
        <v>2</v>
      </c>
      <c r="L504">
        <v>1</v>
      </c>
      <c r="M504">
        <v>1</v>
      </c>
      <c r="N504" s="6">
        <v>1707365.8049881</v>
      </c>
      <c r="O504" s="6">
        <v>837633.82255898404</v>
      </c>
      <c r="P504" s="6">
        <v>740874.67590538703</v>
      </c>
      <c r="Q504" s="6">
        <v>110867.993510407</v>
      </c>
      <c r="R504" s="6">
        <v>69063.722643571702</v>
      </c>
      <c r="S504" s="6">
        <v>132007.40851874399</v>
      </c>
      <c r="T504" s="6">
        <v>2216413.73</v>
      </c>
      <c r="U504" s="6">
        <v>1249392.2896064599</v>
      </c>
      <c r="V504" s="6">
        <v>2978997.7553057899</v>
      </c>
      <c r="W504" s="6">
        <v>471405.88052832102</v>
      </c>
      <c r="X504" s="6">
        <v>0</v>
      </c>
      <c r="Y504" s="6">
        <v>0</v>
      </c>
      <c r="Z504" s="6">
        <v>0</v>
      </c>
      <c r="AA504" s="6">
        <v>15402.3837723459</v>
      </c>
      <c r="AB504" s="6">
        <v>0</v>
      </c>
      <c r="AC504" s="6">
        <v>132007.40851874399</v>
      </c>
      <c r="AD504" s="6">
        <v>0</v>
      </c>
      <c r="AE504" s="6">
        <v>0</v>
      </c>
      <c r="AF504" s="6">
        <v>0</v>
      </c>
      <c r="AG504" s="6">
        <v>0</v>
      </c>
      <c r="AH504" s="6">
        <v>0</v>
      </c>
      <c r="AI504" s="6">
        <v>0</v>
      </c>
      <c r="AJ504" s="6">
        <v>3597813.4281251999</v>
      </c>
      <c r="AK504" s="6">
        <v>11531.947932040401</v>
      </c>
      <c r="AL504" s="6">
        <v>330.98244656580999</v>
      </c>
      <c r="AM504" s="6">
        <v>93035.839999999997</v>
      </c>
      <c r="AN504" s="6">
        <v>4427.75305344759</v>
      </c>
      <c r="AO504" s="6">
        <v>17319.062791103301</v>
      </c>
      <c r="AP504" s="6">
        <v>330.98244656580999</v>
      </c>
      <c r="AQ504" s="6">
        <v>93035.839999999997</v>
      </c>
      <c r="AR504" s="6">
        <v>4427.75305344759</v>
      </c>
      <c r="AS504" s="6">
        <v>17319.062791103301</v>
      </c>
      <c r="AT504" s="6">
        <v>0</v>
      </c>
      <c r="AU504" t="s">
        <v>2973</v>
      </c>
      <c r="AV504" t="s">
        <v>2973</v>
      </c>
    </row>
    <row r="505" spans="1:48" x14ac:dyDescent="0.45">
      <c r="A505" s="5" t="s">
        <v>1031</v>
      </c>
      <c r="B505">
        <v>2239</v>
      </c>
      <c r="C505" t="s">
        <v>1018</v>
      </c>
      <c r="D505">
        <v>4641</v>
      </c>
      <c r="E505" t="s">
        <v>1032</v>
      </c>
      <c r="F505" t="s">
        <v>2739</v>
      </c>
      <c r="G505" t="s">
        <v>2740</v>
      </c>
      <c r="H505" t="s">
        <v>2741</v>
      </c>
      <c r="I505" t="s">
        <v>2742</v>
      </c>
      <c r="J505">
        <v>361.00973986064201</v>
      </c>
      <c r="K505">
        <v>3</v>
      </c>
      <c r="L505">
        <v>1</v>
      </c>
      <c r="M505">
        <v>1</v>
      </c>
      <c r="N505" s="6">
        <v>3216703.7588315601</v>
      </c>
      <c r="O505" s="6">
        <v>972303.67257727694</v>
      </c>
      <c r="P505" s="6">
        <v>993999.22216134495</v>
      </c>
      <c r="Q505" s="6">
        <v>128288.91771382101</v>
      </c>
      <c r="R505" s="6">
        <v>79915.852634237599</v>
      </c>
      <c r="S505" s="6">
        <v>152750.014074045</v>
      </c>
      <c r="T505" s="6">
        <v>3945499.46</v>
      </c>
      <c r="U505" s="6">
        <v>1445711.96391823</v>
      </c>
      <c r="V505" s="6">
        <v>4505420.2617897103</v>
      </c>
      <c r="W505" s="6">
        <v>867968.56895440398</v>
      </c>
      <c r="X505" s="6">
        <v>0</v>
      </c>
      <c r="Y505" s="6">
        <v>0</v>
      </c>
      <c r="Z505" s="6">
        <v>0</v>
      </c>
      <c r="AA505" s="6">
        <v>17822.593174121899</v>
      </c>
      <c r="AB505" s="6">
        <v>0</v>
      </c>
      <c r="AC505" s="6">
        <v>152750.014074045</v>
      </c>
      <c r="AD505" s="6">
        <v>0</v>
      </c>
      <c r="AE505" s="6">
        <v>0</v>
      </c>
      <c r="AF505" s="6">
        <v>0</v>
      </c>
      <c r="AG505" s="6">
        <v>0</v>
      </c>
      <c r="AH505" s="6">
        <v>0</v>
      </c>
      <c r="AI505" s="6">
        <v>0</v>
      </c>
      <c r="AJ505" s="6">
        <v>5543961.4379922803</v>
      </c>
      <c r="AK505" s="6">
        <v>15356.8195698331</v>
      </c>
      <c r="AL505" s="6">
        <v>330.98244656580999</v>
      </c>
      <c r="AM505" s="6">
        <v>93035.839999999997</v>
      </c>
      <c r="AN505" s="6">
        <v>4427.75305344759</v>
      </c>
      <c r="AO505" s="6">
        <v>17319.062791103301</v>
      </c>
      <c r="AP505" s="6">
        <v>330.98244656580999</v>
      </c>
      <c r="AQ505" s="6">
        <v>93035.839999999997</v>
      </c>
      <c r="AR505" s="6">
        <v>4427.75305344759</v>
      </c>
      <c r="AS505" s="6">
        <v>17319.062791103301</v>
      </c>
      <c r="AT505" s="6">
        <v>0</v>
      </c>
      <c r="AU505" t="s">
        <v>2973</v>
      </c>
      <c r="AV505" t="s">
        <v>2973</v>
      </c>
    </row>
    <row r="506" spans="1:48" x14ac:dyDescent="0.45">
      <c r="A506" s="5" t="s">
        <v>1033</v>
      </c>
      <c r="B506">
        <v>2239</v>
      </c>
      <c r="C506" t="s">
        <v>1018</v>
      </c>
      <c r="D506">
        <v>1200</v>
      </c>
      <c r="E506" t="s">
        <v>1034</v>
      </c>
      <c r="F506" t="s">
        <v>2739</v>
      </c>
      <c r="G506" t="s">
        <v>2744</v>
      </c>
      <c r="H506" t="s">
        <v>2745</v>
      </c>
      <c r="I506" t="s">
        <v>2742</v>
      </c>
      <c r="J506">
        <v>1473.2464531160299</v>
      </c>
      <c r="K506">
        <v>1</v>
      </c>
      <c r="L506">
        <v>1</v>
      </c>
      <c r="M506">
        <v>1</v>
      </c>
      <c r="N506" s="6">
        <v>10298732.0339831</v>
      </c>
      <c r="O506" s="6">
        <v>4768302.2738278396</v>
      </c>
      <c r="P506" s="6">
        <v>3461332.1582623599</v>
      </c>
      <c r="Q506" s="6">
        <v>523534.88598102401</v>
      </c>
      <c r="R506" s="6">
        <v>326129.00274264702</v>
      </c>
      <c r="S506" s="6">
        <v>623358.29646834603</v>
      </c>
      <c r="T506" s="6">
        <v>13478217.17</v>
      </c>
      <c r="U506" s="6">
        <v>5899813.1847969703</v>
      </c>
      <c r="V506" s="6">
        <v>16603477.0001105</v>
      </c>
      <c r="W506" s="6">
        <v>2701821.0450561699</v>
      </c>
      <c r="X506" s="6">
        <v>0</v>
      </c>
      <c r="Y506" s="6">
        <v>0</v>
      </c>
      <c r="Z506" s="6">
        <v>0</v>
      </c>
      <c r="AA506" s="6">
        <v>72732.309630318705</v>
      </c>
      <c r="AB506" s="6">
        <v>0</v>
      </c>
      <c r="AC506" s="6">
        <v>623358.29646834603</v>
      </c>
      <c r="AD506" s="6">
        <v>0</v>
      </c>
      <c r="AE506" s="6">
        <v>0</v>
      </c>
      <c r="AF506" s="6">
        <v>0</v>
      </c>
      <c r="AG506" s="6">
        <v>0</v>
      </c>
      <c r="AH506" s="6">
        <v>0</v>
      </c>
      <c r="AI506" s="6">
        <v>0</v>
      </c>
      <c r="AJ506" s="6">
        <v>20001388.651265301</v>
      </c>
      <c r="AK506" s="6">
        <v>13576.4037367685</v>
      </c>
      <c r="AL506" s="6">
        <v>330.98244656580999</v>
      </c>
      <c r="AM506" s="6">
        <v>93035.839999999997</v>
      </c>
      <c r="AN506" s="6">
        <v>4427.75305344759</v>
      </c>
      <c r="AO506" s="6">
        <v>17319.062791103301</v>
      </c>
      <c r="AP506" s="6">
        <v>330.98244656580999</v>
      </c>
      <c r="AQ506" s="6">
        <v>40734.411818744898</v>
      </c>
      <c r="AR506" s="6">
        <v>4427.75305344759</v>
      </c>
      <c r="AS506" s="6">
        <v>15231.8475689723</v>
      </c>
      <c r="AT506" s="6">
        <v>0</v>
      </c>
      <c r="AU506" t="s">
        <v>2973</v>
      </c>
      <c r="AV506" t="s">
        <v>2973</v>
      </c>
    </row>
    <row r="507" spans="1:48" x14ac:dyDescent="0.45">
      <c r="A507" s="5" t="s">
        <v>1035</v>
      </c>
      <c r="B507">
        <v>2239</v>
      </c>
      <c r="C507" t="s">
        <v>1018</v>
      </c>
      <c r="D507">
        <v>1152</v>
      </c>
      <c r="E507" t="s">
        <v>1036</v>
      </c>
      <c r="F507" t="s">
        <v>2739</v>
      </c>
      <c r="G507" t="s">
        <v>2740</v>
      </c>
      <c r="H507" t="s">
        <v>2741</v>
      </c>
      <c r="I507" t="s">
        <v>2742</v>
      </c>
      <c r="J507">
        <v>211.56528510313899</v>
      </c>
      <c r="K507">
        <v>2</v>
      </c>
      <c r="L507">
        <v>2</v>
      </c>
      <c r="M507">
        <v>1</v>
      </c>
      <c r="N507" s="6">
        <v>2128492.66952436</v>
      </c>
      <c r="O507" s="6">
        <v>682657.09674046806</v>
      </c>
      <c r="P507" s="6">
        <v>641429.61170482298</v>
      </c>
      <c r="Q507" s="6">
        <v>75182.130715295702</v>
      </c>
      <c r="R507" s="6">
        <v>46833.695271904799</v>
      </c>
      <c r="S507" s="6">
        <v>89517.253162086097</v>
      </c>
      <c r="T507" s="6">
        <v>2727353.62</v>
      </c>
      <c r="U507" s="6">
        <v>847241.58395684802</v>
      </c>
      <c r="V507" s="6">
        <v>3130009.4679522598</v>
      </c>
      <c r="W507" s="6">
        <v>434141.02609837701</v>
      </c>
      <c r="X507" s="6">
        <v>0</v>
      </c>
      <c r="Y507" s="6">
        <v>0</v>
      </c>
      <c r="Z507" s="6">
        <v>0</v>
      </c>
      <c r="AA507" s="6">
        <v>10444.709906209</v>
      </c>
      <c r="AB507" s="6">
        <v>0</v>
      </c>
      <c r="AC507" s="6">
        <v>89517.253162086097</v>
      </c>
      <c r="AD507" s="6">
        <v>0</v>
      </c>
      <c r="AE507" s="6">
        <v>0</v>
      </c>
      <c r="AF507" s="6">
        <v>0</v>
      </c>
      <c r="AG507" s="6">
        <v>0</v>
      </c>
      <c r="AH507" s="6">
        <v>0</v>
      </c>
      <c r="AI507" s="6">
        <v>0</v>
      </c>
      <c r="AJ507" s="6">
        <v>3664112.4571189298</v>
      </c>
      <c r="AK507" s="6">
        <v>17319.062791103301</v>
      </c>
      <c r="AL507" s="6">
        <v>330.98244656580999</v>
      </c>
      <c r="AM507" s="6">
        <v>93035.839999999997</v>
      </c>
      <c r="AN507" s="6">
        <v>4427.75305344759</v>
      </c>
      <c r="AO507" s="6">
        <v>17319.062791103301</v>
      </c>
      <c r="AP507" s="6">
        <v>330.98244656580999</v>
      </c>
      <c r="AQ507" s="6">
        <v>93035.839999999997</v>
      </c>
      <c r="AR507" s="6">
        <v>4427.75305344759</v>
      </c>
      <c r="AS507" s="6">
        <v>17319.062791103301</v>
      </c>
      <c r="AT507" s="6">
        <v>0</v>
      </c>
      <c r="AU507" t="s">
        <v>2973</v>
      </c>
      <c r="AV507" t="s">
        <v>2973</v>
      </c>
    </row>
    <row r="508" spans="1:48" x14ac:dyDescent="0.45">
      <c r="A508" s="5" t="s">
        <v>1037</v>
      </c>
      <c r="B508">
        <v>2239</v>
      </c>
      <c r="C508" t="s">
        <v>1018</v>
      </c>
      <c r="D508">
        <v>1201</v>
      </c>
      <c r="E508" t="s">
        <v>1038</v>
      </c>
      <c r="F508" t="s">
        <v>2739</v>
      </c>
      <c r="G508" t="s">
        <v>2744</v>
      </c>
      <c r="H508" t="s">
        <v>2745</v>
      </c>
      <c r="I508" t="s">
        <v>2742</v>
      </c>
      <c r="J508">
        <v>1245.7506032236299</v>
      </c>
      <c r="K508">
        <v>2</v>
      </c>
      <c r="L508">
        <v>1</v>
      </c>
      <c r="M508">
        <v>1</v>
      </c>
      <c r="N508" s="6">
        <v>10100784.258602099</v>
      </c>
      <c r="O508" s="6">
        <v>4338616.3279917501</v>
      </c>
      <c r="P508" s="6">
        <v>3290121.7443478</v>
      </c>
      <c r="Q508" s="6">
        <v>442691.64785025502</v>
      </c>
      <c r="R508" s="6">
        <v>275768.796888037</v>
      </c>
      <c r="S508" s="6">
        <v>527100.52157766197</v>
      </c>
      <c r="T508" s="6">
        <v>13459207.26</v>
      </c>
      <c r="U508" s="6">
        <v>4988775.5156799601</v>
      </c>
      <c r="V508" s="6">
        <v>15628035.7257306</v>
      </c>
      <c r="W508" s="6">
        <v>2758445.9220123501</v>
      </c>
      <c r="X508" s="6">
        <v>0</v>
      </c>
      <c r="Y508" s="6">
        <v>0</v>
      </c>
      <c r="Z508" s="6">
        <v>0</v>
      </c>
      <c r="AA508" s="6">
        <v>61501.127936998302</v>
      </c>
      <c r="AB508" s="6">
        <v>0</v>
      </c>
      <c r="AC508" s="6">
        <v>527100.52157766197</v>
      </c>
      <c r="AD508" s="6">
        <v>0</v>
      </c>
      <c r="AE508" s="6">
        <v>0</v>
      </c>
      <c r="AF508" s="6">
        <v>0</v>
      </c>
      <c r="AG508" s="6">
        <v>0</v>
      </c>
      <c r="AH508" s="6">
        <v>0</v>
      </c>
      <c r="AI508" s="6">
        <v>0</v>
      </c>
      <c r="AJ508" s="6">
        <v>18975083.297257598</v>
      </c>
      <c r="AK508" s="6">
        <v>15231.8475689723</v>
      </c>
      <c r="AL508" s="6">
        <v>330.98244656580999</v>
      </c>
      <c r="AM508" s="6">
        <v>93035.839999999997</v>
      </c>
      <c r="AN508" s="6">
        <v>4427.75305344759</v>
      </c>
      <c r="AO508" s="6">
        <v>17319.062791103301</v>
      </c>
      <c r="AP508" s="6">
        <v>330.98244656580999</v>
      </c>
      <c r="AQ508" s="6">
        <v>40734.411818744898</v>
      </c>
      <c r="AR508" s="6">
        <v>4427.75305344759</v>
      </c>
      <c r="AS508" s="6">
        <v>15231.8475689723</v>
      </c>
      <c r="AT508" s="6">
        <v>0</v>
      </c>
      <c r="AU508" t="s">
        <v>2973</v>
      </c>
      <c r="AV508" t="s">
        <v>2973</v>
      </c>
    </row>
    <row r="509" spans="1:48" x14ac:dyDescent="0.45">
      <c r="A509" s="5" t="s">
        <v>1039</v>
      </c>
      <c r="B509">
        <v>2239</v>
      </c>
      <c r="C509" t="s">
        <v>1018</v>
      </c>
      <c r="D509">
        <v>4973</v>
      </c>
      <c r="E509" t="s">
        <v>1040</v>
      </c>
      <c r="F509" t="s">
        <v>2739</v>
      </c>
      <c r="G509" t="s">
        <v>2744</v>
      </c>
      <c r="H509" t="s">
        <v>2749</v>
      </c>
      <c r="I509" t="s">
        <v>2742</v>
      </c>
      <c r="J509">
        <v>181.86819979006501</v>
      </c>
      <c r="K509">
        <v>1</v>
      </c>
      <c r="L509">
        <v>1</v>
      </c>
      <c r="M509">
        <v>1</v>
      </c>
      <c r="N509" s="6">
        <v>151897.440913803</v>
      </c>
      <c r="O509" s="6">
        <v>191257.47552556501</v>
      </c>
      <c r="P509" s="6">
        <v>280272.04597096099</v>
      </c>
      <c r="Q509" s="6">
        <v>64628.933631084299</v>
      </c>
      <c r="R509" s="6">
        <v>40259.723349534703</v>
      </c>
      <c r="S509" s="6">
        <v>76951.857554529197</v>
      </c>
      <c r="T509" s="6">
        <v>0</v>
      </c>
      <c r="U509" s="6">
        <v>728315.61939094705</v>
      </c>
      <c r="V509" s="6">
        <v>509413.90591522999</v>
      </c>
      <c r="W509" s="6">
        <v>209923.11102189199</v>
      </c>
      <c r="X509" s="6">
        <v>0</v>
      </c>
      <c r="Y509" s="6">
        <v>0</v>
      </c>
      <c r="Z509" s="6">
        <v>0</v>
      </c>
      <c r="AA509" s="6">
        <v>8978.6024538271395</v>
      </c>
      <c r="AB509" s="6">
        <v>0</v>
      </c>
      <c r="AC509" s="6">
        <v>76951.857554529197</v>
      </c>
      <c r="AD509" s="6">
        <v>0</v>
      </c>
      <c r="AE509" s="6">
        <v>0</v>
      </c>
      <c r="AF509" s="6">
        <v>0</v>
      </c>
      <c r="AG509" s="6">
        <v>0</v>
      </c>
      <c r="AH509" s="6">
        <v>0</v>
      </c>
      <c r="AI509" s="6">
        <v>0</v>
      </c>
      <c r="AJ509" s="6">
        <v>805267.47694547602</v>
      </c>
      <c r="AK509" s="6">
        <v>4427.75305344759</v>
      </c>
      <c r="AL509" s="6">
        <v>330.98244656580999</v>
      </c>
      <c r="AM509" s="6">
        <v>93035.839999999997</v>
      </c>
      <c r="AN509" s="6">
        <v>4427.75305344759</v>
      </c>
      <c r="AO509" s="6">
        <v>17319.062791103301</v>
      </c>
      <c r="AP509" s="6">
        <v>330.98244656580999</v>
      </c>
      <c r="AQ509" s="6">
        <v>40734.411818744898</v>
      </c>
      <c r="AR509" s="6">
        <v>4427.75305344759</v>
      </c>
      <c r="AS509" s="6">
        <v>15231.8475689723</v>
      </c>
      <c r="AT509" s="6">
        <v>0</v>
      </c>
      <c r="AU509" t="s">
        <v>2973</v>
      </c>
      <c r="AV509" t="s">
        <v>2976</v>
      </c>
    </row>
    <row r="510" spans="1:48" x14ac:dyDescent="0.45">
      <c r="A510" s="5" t="s">
        <v>1041</v>
      </c>
      <c r="B510">
        <v>2239</v>
      </c>
      <c r="C510" t="s">
        <v>1018</v>
      </c>
      <c r="D510">
        <v>2239</v>
      </c>
      <c r="E510" t="s">
        <v>1018</v>
      </c>
      <c r="F510" t="s">
        <v>1</v>
      </c>
      <c r="G510" t="s">
        <v>1</v>
      </c>
      <c r="H510" t="s">
        <v>2743</v>
      </c>
      <c r="I510" t="s">
        <v>2742</v>
      </c>
      <c r="J510">
        <v>299.63335947281001</v>
      </c>
      <c r="K510">
        <v>1</v>
      </c>
      <c r="L510">
        <v>3</v>
      </c>
      <c r="M510">
        <v>1</v>
      </c>
      <c r="N510" s="6">
        <v>250255.62780553699</v>
      </c>
      <c r="O510" s="6">
        <v>315102.47521097702</v>
      </c>
      <c r="P510" s="6">
        <v>461756.67212594399</v>
      </c>
      <c r="Q510" s="6">
        <v>106478.122758022</v>
      </c>
      <c r="R510" s="6">
        <v>66329.111810595903</v>
      </c>
      <c r="S510" s="6">
        <v>126780.51260941901</v>
      </c>
      <c r="T510" s="6">
        <v>0</v>
      </c>
      <c r="U510" s="6">
        <v>1199922.00971108</v>
      </c>
      <c r="V510" s="6">
        <v>839274.81642056897</v>
      </c>
      <c r="W510" s="6">
        <v>345854.67420406698</v>
      </c>
      <c r="X510" s="6">
        <v>0</v>
      </c>
      <c r="Y510" s="6">
        <v>0</v>
      </c>
      <c r="Z510" s="6">
        <v>0</v>
      </c>
      <c r="AA510" s="6">
        <v>14792.519086440099</v>
      </c>
      <c r="AB510" s="6">
        <v>0</v>
      </c>
      <c r="AC510" s="6">
        <v>126780.51260941901</v>
      </c>
      <c r="AD510" s="6">
        <v>0</v>
      </c>
      <c r="AE510" s="6">
        <v>0</v>
      </c>
      <c r="AF510" s="6">
        <v>0</v>
      </c>
      <c r="AG510" s="6">
        <v>0</v>
      </c>
      <c r="AH510" s="6">
        <v>0</v>
      </c>
      <c r="AI510" s="6">
        <v>0</v>
      </c>
      <c r="AJ510" s="6">
        <v>1326702.5223205001</v>
      </c>
      <c r="AK510" s="6">
        <v>4427.75305344759</v>
      </c>
      <c r="AL510" s="6">
        <v>330.98244656580999</v>
      </c>
      <c r="AM510" s="6">
        <v>93035.839999999997</v>
      </c>
      <c r="AN510" s="6">
        <v>4427.75305344759</v>
      </c>
      <c r="AO510" s="6">
        <v>17319.062791103301</v>
      </c>
      <c r="AP510" s="6">
        <v>634.54287297753501</v>
      </c>
      <c r="AQ510" s="6">
        <v>40331.279999999999</v>
      </c>
      <c r="AR510" s="6">
        <v>4427.75305344759</v>
      </c>
      <c r="AS510" s="6">
        <v>4427.75305344759</v>
      </c>
      <c r="AT510" s="6">
        <v>0</v>
      </c>
      <c r="AU510" t="s">
        <v>2973</v>
      </c>
      <c r="AV510" t="s">
        <v>2977</v>
      </c>
    </row>
    <row r="511" spans="1:48" x14ac:dyDescent="0.45">
      <c r="A511" s="5" t="s">
        <v>1042</v>
      </c>
      <c r="B511">
        <v>2239</v>
      </c>
      <c r="C511" t="s">
        <v>1018</v>
      </c>
      <c r="D511">
        <v>3536</v>
      </c>
      <c r="E511" t="s">
        <v>1043</v>
      </c>
      <c r="F511" t="s">
        <v>2739</v>
      </c>
      <c r="G511" t="s">
        <v>2740</v>
      </c>
      <c r="H511" t="s">
        <v>2741</v>
      </c>
      <c r="I511" t="s">
        <v>2742</v>
      </c>
      <c r="J511">
        <v>512.63661236159805</v>
      </c>
      <c r="K511">
        <v>2</v>
      </c>
      <c r="L511">
        <v>1</v>
      </c>
      <c r="M511">
        <v>1</v>
      </c>
      <c r="N511" s="6">
        <v>4068277.44688346</v>
      </c>
      <c r="O511" s="6">
        <v>1239321.7674326</v>
      </c>
      <c r="P511" s="6">
        <v>1204966.4161616201</v>
      </c>
      <c r="Q511" s="6">
        <v>182171.25168350301</v>
      </c>
      <c r="R511" s="6">
        <v>113481.126531984</v>
      </c>
      <c r="S511" s="6">
        <v>216906.19699992801</v>
      </c>
      <c r="T511" s="6">
        <v>4755295.88</v>
      </c>
      <c r="U511" s="6">
        <v>2052922.1286931599</v>
      </c>
      <c r="V511" s="6">
        <v>5981292.5806662003</v>
      </c>
      <c r="W511" s="6">
        <v>801617.20838777698</v>
      </c>
      <c r="X511" s="6">
        <v>0</v>
      </c>
      <c r="Y511" s="6">
        <v>0</v>
      </c>
      <c r="Z511" s="6">
        <v>0</v>
      </c>
      <c r="AA511" s="6">
        <v>25308.219639192299</v>
      </c>
      <c r="AB511" s="6">
        <v>0</v>
      </c>
      <c r="AC511" s="6">
        <v>216906.19699992801</v>
      </c>
      <c r="AD511" s="6">
        <v>0</v>
      </c>
      <c r="AE511" s="6">
        <v>0</v>
      </c>
      <c r="AF511" s="6">
        <v>0</v>
      </c>
      <c r="AG511" s="6">
        <v>0</v>
      </c>
      <c r="AH511" s="6">
        <v>0</v>
      </c>
      <c r="AI511" s="6">
        <v>0</v>
      </c>
      <c r="AJ511" s="6">
        <v>7025124.2056930903</v>
      </c>
      <c r="AK511" s="6">
        <v>13703.906502756399</v>
      </c>
      <c r="AL511" s="6">
        <v>330.98244656580999</v>
      </c>
      <c r="AM511" s="6">
        <v>93035.839999999997</v>
      </c>
      <c r="AN511" s="6">
        <v>4427.75305344759</v>
      </c>
      <c r="AO511" s="6">
        <v>17319.062791103301</v>
      </c>
      <c r="AP511" s="6">
        <v>330.98244656580999</v>
      </c>
      <c r="AQ511" s="6">
        <v>93035.839999999997</v>
      </c>
      <c r="AR511" s="6">
        <v>4427.75305344759</v>
      </c>
      <c r="AS511" s="6">
        <v>17319.062791103301</v>
      </c>
      <c r="AT511" s="6">
        <v>0</v>
      </c>
      <c r="AU511" t="s">
        <v>2973</v>
      </c>
      <c r="AV511" t="s">
        <v>2973</v>
      </c>
    </row>
    <row r="512" spans="1:48" x14ac:dyDescent="0.45">
      <c r="A512" s="5" t="s">
        <v>1044</v>
      </c>
      <c r="B512">
        <v>2239</v>
      </c>
      <c r="C512" t="s">
        <v>1018</v>
      </c>
      <c r="D512">
        <v>1148</v>
      </c>
      <c r="E512" t="s">
        <v>1045</v>
      </c>
      <c r="F512" t="s">
        <v>2739</v>
      </c>
      <c r="G512" t="s">
        <v>2740</v>
      </c>
      <c r="H512" t="s">
        <v>2741</v>
      </c>
      <c r="I512" t="s">
        <v>2742</v>
      </c>
      <c r="J512">
        <v>482.78123403064302</v>
      </c>
      <c r="K512">
        <v>2</v>
      </c>
      <c r="L512">
        <v>1</v>
      </c>
      <c r="M512">
        <v>1</v>
      </c>
      <c r="N512" s="6">
        <v>3492959.5809691702</v>
      </c>
      <c r="O512" s="6">
        <v>1131605.8810356101</v>
      </c>
      <c r="P512" s="6">
        <v>1093626.43944172</v>
      </c>
      <c r="Q512" s="6">
        <v>171561.80337473101</v>
      </c>
      <c r="R512" s="6">
        <v>106872.113667243</v>
      </c>
      <c r="S512" s="6">
        <v>204273.82463789699</v>
      </c>
      <c r="T512" s="6">
        <v>4063263.56</v>
      </c>
      <c r="U512" s="6">
        <v>1933362.25848848</v>
      </c>
      <c r="V512" s="6">
        <v>5234542.5289475499</v>
      </c>
      <c r="W512" s="6">
        <v>738248.99207972502</v>
      </c>
      <c r="X512" s="6">
        <v>0</v>
      </c>
      <c r="Y512" s="6">
        <v>0</v>
      </c>
      <c r="Z512" s="6">
        <v>0</v>
      </c>
      <c r="AA512" s="6">
        <v>23834.297461199199</v>
      </c>
      <c r="AB512" s="6">
        <v>0</v>
      </c>
      <c r="AC512" s="6">
        <v>204273.82463789699</v>
      </c>
      <c r="AD512" s="6">
        <v>0</v>
      </c>
      <c r="AE512" s="6">
        <v>0</v>
      </c>
      <c r="AF512" s="6">
        <v>0</v>
      </c>
      <c r="AG512" s="6">
        <v>0</v>
      </c>
      <c r="AH512" s="6">
        <v>0</v>
      </c>
      <c r="AI512" s="6">
        <v>0</v>
      </c>
      <c r="AJ512" s="6">
        <v>6200899.6431263797</v>
      </c>
      <c r="AK512" s="6">
        <v>12844.1190461284</v>
      </c>
      <c r="AL512" s="6">
        <v>330.98244656580999</v>
      </c>
      <c r="AM512" s="6">
        <v>93035.839999999997</v>
      </c>
      <c r="AN512" s="6">
        <v>4427.75305344759</v>
      </c>
      <c r="AO512" s="6">
        <v>17319.062791103301</v>
      </c>
      <c r="AP512" s="6">
        <v>330.98244656580999</v>
      </c>
      <c r="AQ512" s="6">
        <v>93035.839999999997</v>
      </c>
      <c r="AR512" s="6">
        <v>4427.75305344759</v>
      </c>
      <c r="AS512" s="6">
        <v>17319.062791103301</v>
      </c>
      <c r="AT512" s="6">
        <v>0</v>
      </c>
      <c r="AU512" t="s">
        <v>2973</v>
      </c>
      <c r="AV512" t="s">
        <v>2973</v>
      </c>
    </row>
    <row r="513" spans="1:48" x14ac:dyDescent="0.45">
      <c r="A513" s="5" t="s">
        <v>1046</v>
      </c>
      <c r="B513">
        <v>2239</v>
      </c>
      <c r="C513" t="s">
        <v>1018</v>
      </c>
      <c r="D513">
        <v>1199</v>
      </c>
      <c r="E513" t="s">
        <v>1047</v>
      </c>
      <c r="F513" t="s">
        <v>2739</v>
      </c>
      <c r="G513" t="s">
        <v>2747</v>
      </c>
      <c r="H513" t="s">
        <v>2741</v>
      </c>
      <c r="I513" t="s">
        <v>2742</v>
      </c>
      <c r="J513">
        <v>747.07282564853494</v>
      </c>
      <c r="K513">
        <v>2</v>
      </c>
      <c r="L513">
        <v>1</v>
      </c>
      <c r="M513">
        <v>1</v>
      </c>
      <c r="N513" s="6">
        <v>4904662.3565295804</v>
      </c>
      <c r="O513" s="6">
        <v>1937983.6455137799</v>
      </c>
      <c r="P513" s="6">
        <v>1716006.9818945001</v>
      </c>
      <c r="Q513" s="6">
        <v>265480.82689639798</v>
      </c>
      <c r="R513" s="6">
        <v>165377.70383873401</v>
      </c>
      <c r="S513" s="6">
        <v>316100.57024002098</v>
      </c>
      <c r="T513" s="6">
        <v>5997758.0999999996</v>
      </c>
      <c r="U513" s="6">
        <v>2991753.4146730001</v>
      </c>
      <c r="V513" s="6">
        <v>7824972.9840638498</v>
      </c>
      <c r="W513" s="6">
        <v>1127656.49233473</v>
      </c>
      <c r="X513" s="6">
        <v>0</v>
      </c>
      <c r="Y513" s="6">
        <v>0</v>
      </c>
      <c r="Z513" s="6">
        <v>0</v>
      </c>
      <c r="AA513" s="6">
        <v>36882.038274411498</v>
      </c>
      <c r="AB513" s="6">
        <v>0</v>
      </c>
      <c r="AC513" s="6">
        <v>316100.57024002098</v>
      </c>
      <c r="AD513" s="6">
        <v>0</v>
      </c>
      <c r="AE513" s="6">
        <v>0</v>
      </c>
      <c r="AF513" s="6">
        <v>0</v>
      </c>
      <c r="AG513" s="6">
        <v>0</v>
      </c>
      <c r="AH513" s="6">
        <v>0</v>
      </c>
      <c r="AI513" s="6">
        <v>0</v>
      </c>
      <c r="AJ513" s="6">
        <v>9305612.0849130005</v>
      </c>
      <c r="AK513" s="6">
        <v>12456.097672719899</v>
      </c>
      <c r="AL513" s="6">
        <v>330.98244656580999</v>
      </c>
      <c r="AM513" s="6">
        <v>93035.839999999997</v>
      </c>
      <c r="AN513" s="6">
        <v>4427.75305344759</v>
      </c>
      <c r="AO513" s="6">
        <v>17319.062791103301</v>
      </c>
      <c r="AP513" s="6">
        <v>3753.1860850462999</v>
      </c>
      <c r="AQ513" s="6">
        <v>20687.885194392002</v>
      </c>
      <c r="AR513" s="6">
        <v>11997.226762391199</v>
      </c>
      <c r="AS513" s="6">
        <v>13029.9248090411</v>
      </c>
      <c r="AT513" s="6">
        <v>0</v>
      </c>
      <c r="AU513" t="s">
        <v>2973</v>
      </c>
      <c r="AV513" t="s">
        <v>2973</v>
      </c>
    </row>
    <row r="514" spans="1:48" x14ac:dyDescent="0.45">
      <c r="A514" s="5" t="s">
        <v>1048</v>
      </c>
      <c r="B514">
        <v>2239</v>
      </c>
      <c r="C514" t="s">
        <v>1018</v>
      </c>
      <c r="D514">
        <v>1285</v>
      </c>
      <c r="E514" t="s">
        <v>1049</v>
      </c>
      <c r="F514" t="s">
        <v>2739</v>
      </c>
      <c r="G514" t="s">
        <v>2740</v>
      </c>
      <c r="H514" t="s">
        <v>2741</v>
      </c>
      <c r="I514" t="s">
        <v>2742</v>
      </c>
      <c r="J514">
        <v>552.40356220275896</v>
      </c>
      <c r="K514">
        <v>1</v>
      </c>
      <c r="L514">
        <v>1</v>
      </c>
      <c r="M514">
        <v>1</v>
      </c>
      <c r="N514" s="6">
        <v>4014318.3183860499</v>
      </c>
      <c r="O514" s="6">
        <v>1369115.66819927</v>
      </c>
      <c r="P514" s="6">
        <v>1168293.97124114</v>
      </c>
      <c r="Q514" s="6">
        <v>198058.09967718099</v>
      </c>
      <c r="R514" s="6">
        <v>122284.240000463</v>
      </c>
      <c r="S514" s="6">
        <v>233732.341774481</v>
      </c>
      <c r="T514" s="6">
        <v>4659896.08</v>
      </c>
      <c r="U514" s="6">
        <v>2212174.2175041102</v>
      </c>
      <c r="V514" s="6">
        <v>6042349.662951</v>
      </c>
      <c r="W514" s="6">
        <v>802449.17101620999</v>
      </c>
      <c r="X514" s="6">
        <v>0</v>
      </c>
      <c r="Y514" s="6">
        <v>0</v>
      </c>
      <c r="Z514" s="6">
        <v>0</v>
      </c>
      <c r="AA514" s="6">
        <v>27271.463536900799</v>
      </c>
      <c r="AB514" s="6">
        <v>0</v>
      </c>
      <c r="AC514" s="6">
        <v>233732.341774481</v>
      </c>
      <c r="AD514" s="6">
        <v>0</v>
      </c>
      <c r="AE514" s="6">
        <v>0</v>
      </c>
      <c r="AF514" s="6">
        <v>0</v>
      </c>
      <c r="AG514" s="6">
        <v>0</v>
      </c>
      <c r="AH514" s="6">
        <v>0</v>
      </c>
      <c r="AI514" s="6">
        <v>0</v>
      </c>
      <c r="AJ514" s="6">
        <v>7105802.6392786</v>
      </c>
      <c r="AK514" s="6">
        <v>12863.426533571899</v>
      </c>
      <c r="AL514" s="6">
        <v>330.98244656580999</v>
      </c>
      <c r="AM514" s="6">
        <v>93035.839999999997</v>
      </c>
      <c r="AN514" s="6">
        <v>4427.75305344759</v>
      </c>
      <c r="AO514" s="6">
        <v>17319.062791103301</v>
      </c>
      <c r="AP514" s="6">
        <v>330.98244656580999</v>
      </c>
      <c r="AQ514" s="6">
        <v>93035.839999999997</v>
      </c>
      <c r="AR514" s="6">
        <v>4427.75305344759</v>
      </c>
      <c r="AS514" s="6">
        <v>17319.062791103301</v>
      </c>
      <c r="AT514" s="6">
        <v>0</v>
      </c>
      <c r="AU514" t="s">
        <v>2973</v>
      </c>
      <c r="AV514" t="s">
        <v>2973</v>
      </c>
    </row>
    <row r="515" spans="1:48" x14ac:dyDescent="0.45">
      <c r="A515" s="5" t="s">
        <v>1050</v>
      </c>
      <c r="B515">
        <v>2239</v>
      </c>
      <c r="C515" t="s">
        <v>1018</v>
      </c>
      <c r="D515">
        <v>1150</v>
      </c>
      <c r="E515" t="s">
        <v>1051</v>
      </c>
      <c r="F515" t="s">
        <v>2739</v>
      </c>
      <c r="G515" t="s">
        <v>2740</v>
      </c>
      <c r="H515" t="s">
        <v>2741</v>
      </c>
      <c r="I515" t="s">
        <v>2742</v>
      </c>
      <c r="J515">
        <v>544.73897072879299</v>
      </c>
      <c r="K515">
        <v>2</v>
      </c>
      <c r="L515">
        <v>1</v>
      </c>
      <c r="M515">
        <v>1</v>
      </c>
      <c r="N515" s="6">
        <v>3747851.8543671598</v>
      </c>
      <c r="O515" s="6">
        <v>1212258.29828637</v>
      </c>
      <c r="P515" s="6">
        <v>1254676.8115866601</v>
      </c>
      <c r="Q515" s="6">
        <v>193579.1899086</v>
      </c>
      <c r="R515" s="6">
        <v>120587.54793068299</v>
      </c>
      <c r="S515" s="6">
        <v>230489.308896831</v>
      </c>
      <c r="T515" s="6">
        <v>4347473.37</v>
      </c>
      <c r="U515" s="6">
        <v>2181480.3320794799</v>
      </c>
      <c r="V515" s="6">
        <v>5637726.9667887697</v>
      </c>
      <c r="W515" s="6">
        <v>864333.66291781899</v>
      </c>
      <c r="X515" s="6">
        <v>0</v>
      </c>
      <c r="Y515" s="6">
        <v>0</v>
      </c>
      <c r="Z515" s="6">
        <v>0</v>
      </c>
      <c r="AA515" s="6">
        <v>26893.072372886501</v>
      </c>
      <c r="AB515" s="6">
        <v>0</v>
      </c>
      <c r="AC515" s="6">
        <v>230489.308896831</v>
      </c>
      <c r="AD515" s="6">
        <v>0</v>
      </c>
      <c r="AE515" s="6">
        <v>0</v>
      </c>
      <c r="AF515" s="6">
        <v>0</v>
      </c>
      <c r="AG515" s="6">
        <v>0</v>
      </c>
      <c r="AH515" s="6">
        <v>0</v>
      </c>
      <c r="AI515" s="6">
        <v>0</v>
      </c>
      <c r="AJ515" s="6">
        <v>6759443.0109762996</v>
      </c>
      <c r="AK515" s="6">
        <v>12408.590855787401</v>
      </c>
      <c r="AL515" s="6">
        <v>330.98244656580999</v>
      </c>
      <c r="AM515" s="6">
        <v>93035.839999999997</v>
      </c>
      <c r="AN515" s="6">
        <v>4427.75305344759</v>
      </c>
      <c r="AO515" s="6">
        <v>17319.062791103301</v>
      </c>
      <c r="AP515" s="6">
        <v>330.98244656580999</v>
      </c>
      <c r="AQ515" s="6">
        <v>93035.839999999997</v>
      </c>
      <c r="AR515" s="6">
        <v>4427.75305344759</v>
      </c>
      <c r="AS515" s="6">
        <v>17319.062791103301</v>
      </c>
      <c r="AT515" s="6">
        <v>0</v>
      </c>
      <c r="AU515" t="s">
        <v>2973</v>
      </c>
      <c r="AV515" t="s">
        <v>2973</v>
      </c>
    </row>
    <row r="516" spans="1:48" x14ac:dyDescent="0.45">
      <c r="A516" s="5" t="s">
        <v>1052</v>
      </c>
      <c r="B516">
        <v>2239</v>
      </c>
      <c r="C516" t="s">
        <v>1018</v>
      </c>
      <c r="D516">
        <v>1110</v>
      </c>
      <c r="E516" t="s">
        <v>1053</v>
      </c>
      <c r="F516" t="s">
        <v>2739</v>
      </c>
      <c r="G516" t="s">
        <v>2740</v>
      </c>
      <c r="H516" t="s">
        <v>2741</v>
      </c>
      <c r="I516" t="s">
        <v>2742</v>
      </c>
      <c r="J516">
        <v>501.07660738707801</v>
      </c>
      <c r="K516">
        <v>2</v>
      </c>
      <c r="L516">
        <v>1</v>
      </c>
      <c r="M516">
        <v>1</v>
      </c>
      <c r="N516" s="6">
        <v>3500538.6595101501</v>
      </c>
      <c r="O516" s="6">
        <v>1167048.8662306301</v>
      </c>
      <c r="P516" s="6">
        <v>1138500.4426424601</v>
      </c>
      <c r="Q516" s="6">
        <v>178063.272415354</v>
      </c>
      <c r="R516" s="6">
        <v>110922.116200708</v>
      </c>
      <c r="S516" s="6">
        <v>212014.94136999501</v>
      </c>
      <c r="T516" s="6">
        <v>4088444.82</v>
      </c>
      <c r="U516" s="6">
        <v>2006628.5369992999</v>
      </c>
      <c r="V516" s="6">
        <v>5324964.2181928698</v>
      </c>
      <c r="W516" s="6">
        <v>745371.62195722503</v>
      </c>
      <c r="X516" s="6">
        <v>0</v>
      </c>
      <c r="Y516" s="6">
        <v>0</v>
      </c>
      <c r="Z516" s="6">
        <v>0</v>
      </c>
      <c r="AA516" s="6">
        <v>24737.516849203199</v>
      </c>
      <c r="AB516" s="6">
        <v>0</v>
      </c>
      <c r="AC516" s="6">
        <v>212014.94136999501</v>
      </c>
      <c r="AD516" s="6">
        <v>0</v>
      </c>
      <c r="AE516" s="6">
        <v>0</v>
      </c>
      <c r="AF516" s="6">
        <v>0</v>
      </c>
      <c r="AG516" s="6">
        <v>0</v>
      </c>
      <c r="AH516" s="6">
        <v>0</v>
      </c>
      <c r="AI516" s="6">
        <v>0</v>
      </c>
      <c r="AJ516" s="6">
        <v>6307088.2983692903</v>
      </c>
      <c r="AK516" s="6">
        <v>12587.073923203699</v>
      </c>
      <c r="AL516" s="6">
        <v>330.98244656580999</v>
      </c>
      <c r="AM516" s="6">
        <v>93035.839999999997</v>
      </c>
      <c r="AN516" s="6">
        <v>4427.75305344759</v>
      </c>
      <c r="AO516" s="6">
        <v>17319.062791103301</v>
      </c>
      <c r="AP516" s="6">
        <v>330.98244656580999</v>
      </c>
      <c r="AQ516" s="6">
        <v>93035.839999999997</v>
      </c>
      <c r="AR516" s="6">
        <v>4427.75305344759</v>
      </c>
      <c r="AS516" s="6">
        <v>17319.062791103301</v>
      </c>
      <c r="AT516" s="6">
        <v>0</v>
      </c>
      <c r="AU516" t="s">
        <v>2973</v>
      </c>
      <c r="AV516" t="s">
        <v>2973</v>
      </c>
    </row>
    <row r="517" spans="1:48" x14ac:dyDescent="0.45">
      <c r="A517" s="5" t="s">
        <v>1054</v>
      </c>
      <c r="B517">
        <v>2239</v>
      </c>
      <c r="C517" t="s">
        <v>1018</v>
      </c>
      <c r="D517">
        <v>4018</v>
      </c>
      <c r="E517" t="s">
        <v>1055</v>
      </c>
      <c r="F517" t="s">
        <v>2739</v>
      </c>
      <c r="G517" t="s">
        <v>2744</v>
      </c>
      <c r="H517" t="s">
        <v>2745</v>
      </c>
      <c r="I517" t="s">
        <v>2742</v>
      </c>
      <c r="J517">
        <v>1499.3104780126801</v>
      </c>
      <c r="K517">
        <v>1</v>
      </c>
      <c r="L517">
        <v>1</v>
      </c>
      <c r="M517">
        <v>1</v>
      </c>
      <c r="N517" s="6">
        <v>10574357.1381514</v>
      </c>
      <c r="O517" s="6">
        <v>4535429.1012917198</v>
      </c>
      <c r="P517" s="6">
        <v>3998773.8552038101</v>
      </c>
      <c r="Q517" s="6">
        <v>543807.67371850403</v>
      </c>
      <c r="R517" s="6">
        <v>331898.73287098203</v>
      </c>
      <c r="S517" s="6">
        <v>634386.47585023101</v>
      </c>
      <c r="T517" s="6">
        <v>13980076.43</v>
      </c>
      <c r="U517" s="6">
        <v>6004190.0712363999</v>
      </c>
      <c r="V517" s="6">
        <v>16992044.298380598</v>
      </c>
      <c r="W517" s="6">
        <v>2918203.1453599301</v>
      </c>
      <c r="X517" s="6">
        <v>0</v>
      </c>
      <c r="Y517" s="6">
        <v>0</v>
      </c>
      <c r="Z517" s="6">
        <v>0</v>
      </c>
      <c r="AA517" s="6">
        <v>74019.057495882196</v>
      </c>
      <c r="AB517" s="6">
        <v>0</v>
      </c>
      <c r="AC517" s="6">
        <v>634386.47585023101</v>
      </c>
      <c r="AD517" s="6">
        <v>0</v>
      </c>
      <c r="AE517" s="6">
        <v>0</v>
      </c>
      <c r="AF517" s="6">
        <v>0</v>
      </c>
      <c r="AG517" s="6">
        <v>0</v>
      </c>
      <c r="AH517" s="6">
        <v>0</v>
      </c>
      <c r="AI517" s="6">
        <v>0</v>
      </c>
      <c r="AJ517" s="6">
        <v>20618652.9770866</v>
      </c>
      <c r="AK517" s="6">
        <v>13752.090230448101</v>
      </c>
      <c r="AL517" s="6">
        <v>330.98244656580999</v>
      </c>
      <c r="AM517" s="6">
        <v>93035.839999999997</v>
      </c>
      <c r="AN517" s="6">
        <v>4427.75305344759</v>
      </c>
      <c r="AO517" s="6">
        <v>17319.062791103301</v>
      </c>
      <c r="AP517" s="6">
        <v>330.98244656580999</v>
      </c>
      <c r="AQ517" s="6">
        <v>40734.411818744898</v>
      </c>
      <c r="AR517" s="6">
        <v>4427.75305344759</v>
      </c>
      <c r="AS517" s="6">
        <v>15231.8475689723</v>
      </c>
      <c r="AT517" s="6">
        <v>0</v>
      </c>
      <c r="AU517" t="s">
        <v>2973</v>
      </c>
      <c r="AV517" t="s">
        <v>2973</v>
      </c>
    </row>
    <row r="518" spans="1:48" x14ac:dyDescent="0.45">
      <c r="A518" s="5" t="s">
        <v>1056</v>
      </c>
      <c r="B518">
        <v>2239</v>
      </c>
      <c r="C518" t="s">
        <v>1018</v>
      </c>
      <c r="D518">
        <v>4642</v>
      </c>
      <c r="E518" t="s">
        <v>1057</v>
      </c>
      <c r="F518" t="s">
        <v>2739</v>
      </c>
      <c r="G518" t="s">
        <v>2740</v>
      </c>
      <c r="H518" t="s">
        <v>2741</v>
      </c>
      <c r="I518" t="s">
        <v>2742</v>
      </c>
      <c r="J518">
        <v>475.00560756894799</v>
      </c>
      <c r="K518">
        <v>5</v>
      </c>
      <c r="L518">
        <v>1</v>
      </c>
      <c r="M518">
        <v>1</v>
      </c>
      <c r="N518" s="6">
        <v>4319385.2998444699</v>
      </c>
      <c r="O518" s="6">
        <v>1193817.8037523199</v>
      </c>
      <c r="P518" s="6">
        <v>1292693.67684269</v>
      </c>
      <c r="Q518" s="6">
        <v>169216.78606018599</v>
      </c>
      <c r="R518" s="6">
        <v>105650.842050883</v>
      </c>
      <c r="S518" s="6">
        <v>200983.810767588</v>
      </c>
      <c r="T518" s="6">
        <v>5178540.6900000004</v>
      </c>
      <c r="U518" s="6">
        <v>1902223.7185505501</v>
      </c>
      <c r="V518" s="6">
        <v>5825985.3831263697</v>
      </c>
      <c r="W518" s="6">
        <v>1231328.60078357</v>
      </c>
      <c r="X518" s="6">
        <v>0</v>
      </c>
      <c r="Y518" s="6">
        <v>0</v>
      </c>
      <c r="Z518" s="6">
        <v>0</v>
      </c>
      <c r="AA518" s="6">
        <v>23450.424640609399</v>
      </c>
      <c r="AB518" s="6">
        <v>0</v>
      </c>
      <c r="AC518" s="6">
        <v>200983.810767588</v>
      </c>
      <c r="AD518" s="6">
        <v>0</v>
      </c>
      <c r="AE518" s="6">
        <v>0</v>
      </c>
      <c r="AF518" s="6">
        <v>0</v>
      </c>
      <c r="AG518" s="6">
        <v>0</v>
      </c>
      <c r="AH518" s="6">
        <v>0</v>
      </c>
      <c r="AI518" s="6">
        <v>0</v>
      </c>
      <c r="AJ518" s="6">
        <v>7281748.2193181301</v>
      </c>
      <c r="AK518" s="6">
        <v>15329.8152764674</v>
      </c>
      <c r="AL518" s="6">
        <v>330.98244656580999</v>
      </c>
      <c r="AM518" s="6">
        <v>93035.839999999997</v>
      </c>
      <c r="AN518" s="6">
        <v>4427.75305344759</v>
      </c>
      <c r="AO518" s="6">
        <v>17319.062791103301</v>
      </c>
      <c r="AP518" s="6">
        <v>330.98244656580999</v>
      </c>
      <c r="AQ518" s="6">
        <v>93035.839999999997</v>
      </c>
      <c r="AR518" s="6">
        <v>4427.75305344759</v>
      </c>
      <c r="AS518" s="6">
        <v>17319.062791103301</v>
      </c>
      <c r="AT518" s="6">
        <v>0</v>
      </c>
      <c r="AU518" t="s">
        <v>2973</v>
      </c>
      <c r="AV518" t="s">
        <v>2973</v>
      </c>
    </row>
    <row r="519" spans="1:48" x14ac:dyDescent="0.45">
      <c r="A519" s="5" t="s">
        <v>1058</v>
      </c>
      <c r="B519">
        <v>2239</v>
      </c>
      <c r="C519" t="s">
        <v>1018</v>
      </c>
      <c r="D519">
        <v>1116</v>
      </c>
      <c r="E519" t="s">
        <v>1059</v>
      </c>
      <c r="F519" t="s">
        <v>2739</v>
      </c>
      <c r="G519" t="s">
        <v>2740</v>
      </c>
      <c r="H519" t="s">
        <v>2741</v>
      </c>
      <c r="I519" t="s">
        <v>2742</v>
      </c>
      <c r="J519">
        <v>474.283857729094</v>
      </c>
      <c r="K519">
        <v>3</v>
      </c>
      <c r="L519">
        <v>1</v>
      </c>
      <c r="M519">
        <v>1</v>
      </c>
      <c r="N519" s="6">
        <v>3216264.6099316902</v>
      </c>
      <c r="O519" s="6">
        <v>1043345.34226768</v>
      </c>
      <c r="P519" s="6">
        <v>1124265.5181529</v>
      </c>
      <c r="Q519" s="6">
        <v>168542.16404435199</v>
      </c>
      <c r="R519" s="6">
        <v>104991.070035139</v>
      </c>
      <c r="S519" s="6">
        <v>200678.424829141</v>
      </c>
      <c r="T519" s="6">
        <v>3758075.33</v>
      </c>
      <c r="U519" s="6">
        <v>1899333.3744317601</v>
      </c>
      <c r="V519" s="6">
        <v>4861427.2075456604</v>
      </c>
      <c r="W519" s="6">
        <v>772566.70412005996</v>
      </c>
      <c r="X519" s="6">
        <v>0</v>
      </c>
      <c r="Y519" s="6">
        <v>0</v>
      </c>
      <c r="Z519" s="6">
        <v>0</v>
      </c>
      <c r="AA519" s="6">
        <v>23414.7927660395</v>
      </c>
      <c r="AB519" s="6">
        <v>0</v>
      </c>
      <c r="AC519" s="6">
        <v>200678.424829141</v>
      </c>
      <c r="AD519" s="6">
        <v>0</v>
      </c>
      <c r="AE519" s="6">
        <v>0</v>
      </c>
      <c r="AF519" s="6">
        <v>0</v>
      </c>
      <c r="AG519" s="6">
        <v>0</v>
      </c>
      <c r="AH519" s="6">
        <v>0</v>
      </c>
      <c r="AI519" s="6">
        <v>0</v>
      </c>
      <c r="AJ519" s="6">
        <v>5858087.1292609004</v>
      </c>
      <c r="AK519" s="6">
        <v>12351.436874343201</v>
      </c>
      <c r="AL519" s="6">
        <v>330.98244656580999</v>
      </c>
      <c r="AM519" s="6">
        <v>93035.839999999997</v>
      </c>
      <c r="AN519" s="6">
        <v>4427.75305344759</v>
      </c>
      <c r="AO519" s="6">
        <v>17319.062791103301</v>
      </c>
      <c r="AP519" s="6">
        <v>330.98244656580999</v>
      </c>
      <c r="AQ519" s="6">
        <v>93035.839999999997</v>
      </c>
      <c r="AR519" s="6">
        <v>4427.75305344759</v>
      </c>
      <c r="AS519" s="6">
        <v>17319.062791103301</v>
      </c>
      <c r="AT519" s="6">
        <v>0</v>
      </c>
      <c r="AU519" t="s">
        <v>2973</v>
      </c>
      <c r="AV519" t="s">
        <v>2973</v>
      </c>
    </row>
    <row r="520" spans="1:48" x14ac:dyDescent="0.45">
      <c r="A520" s="5" t="s">
        <v>1060</v>
      </c>
      <c r="B520">
        <v>2239</v>
      </c>
      <c r="C520" t="s">
        <v>1018</v>
      </c>
      <c r="D520">
        <v>1117</v>
      </c>
      <c r="E520" t="s">
        <v>1061</v>
      </c>
      <c r="F520" t="s">
        <v>2739</v>
      </c>
      <c r="G520" t="s">
        <v>2740</v>
      </c>
      <c r="H520" t="s">
        <v>2741</v>
      </c>
      <c r="I520" t="s">
        <v>2742</v>
      </c>
      <c r="J520">
        <v>429.05184797130602</v>
      </c>
      <c r="K520">
        <v>5</v>
      </c>
      <c r="L520">
        <v>1</v>
      </c>
      <c r="M520">
        <v>1</v>
      </c>
      <c r="N520" s="6">
        <v>3386848.9767177301</v>
      </c>
      <c r="O520" s="6">
        <v>1024708.88795219</v>
      </c>
      <c r="P520" s="6">
        <v>1118479.0305872599</v>
      </c>
      <c r="Q520" s="6">
        <v>152468.45484169299</v>
      </c>
      <c r="R520" s="6">
        <v>94978.169475865594</v>
      </c>
      <c r="S520" s="6">
        <v>181539.91036754599</v>
      </c>
      <c r="T520" s="6">
        <v>4059287.8</v>
      </c>
      <c r="U520" s="6">
        <v>1718195.7195747299</v>
      </c>
      <c r="V520" s="6">
        <v>4742039.0800318401</v>
      </c>
      <c r="W520" s="6">
        <v>1014262.69375412</v>
      </c>
      <c r="X520" s="6">
        <v>0</v>
      </c>
      <c r="Y520" s="6">
        <v>0</v>
      </c>
      <c r="Z520" s="6">
        <v>0</v>
      </c>
      <c r="AA520" s="6">
        <v>21181.745788769102</v>
      </c>
      <c r="AB520" s="6">
        <v>0</v>
      </c>
      <c r="AC520" s="6">
        <v>181539.91036754599</v>
      </c>
      <c r="AD520" s="6">
        <v>0</v>
      </c>
      <c r="AE520" s="6">
        <v>0</v>
      </c>
      <c r="AF520" s="6">
        <v>0</v>
      </c>
      <c r="AG520" s="6">
        <v>0</v>
      </c>
      <c r="AH520" s="6">
        <v>0</v>
      </c>
      <c r="AI520" s="6">
        <v>0</v>
      </c>
      <c r="AJ520" s="6">
        <v>5959023.4299422801</v>
      </c>
      <c r="AK520" s="6">
        <v>13888.818934397899</v>
      </c>
      <c r="AL520" s="6">
        <v>330.98244656580999</v>
      </c>
      <c r="AM520" s="6">
        <v>93035.839999999997</v>
      </c>
      <c r="AN520" s="6">
        <v>4427.75305344759</v>
      </c>
      <c r="AO520" s="6">
        <v>17319.062791103301</v>
      </c>
      <c r="AP520" s="6">
        <v>330.98244656580999</v>
      </c>
      <c r="AQ520" s="6">
        <v>93035.839999999997</v>
      </c>
      <c r="AR520" s="6">
        <v>4427.75305344759</v>
      </c>
      <c r="AS520" s="6">
        <v>17319.062791103301</v>
      </c>
      <c r="AT520" s="6">
        <v>0</v>
      </c>
      <c r="AU520" t="s">
        <v>2973</v>
      </c>
      <c r="AV520" t="s">
        <v>2973</v>
      </c>
    </row>
    <row r="521" spans="1:48" x14ac:dyDescent="0.45">
      <c r="A521" s="5" t="s">
        <v>1062</v>
      </c>
      <c r="B521">
        <v>2239</v>
      </c>
      <c r="C521" t="s">
        <v>1018</v>
      </c>
      <c r="D521">
        <v>1190</v>
      </c>
      <c r="E521" t="s">
        <v>1063</v>
      </c>
      <c r="F521" t="s">
        <v>2739</v>
      </c>
      <c r="G521" t="s">
        <v>2740</v>
      </c>
      <c r="H521" t="s">
        <v>2741</v>
      </c>
      <c r="I521" t="s">
        <v>2742</v>
      </c>
      <c r="J521">
        <v>386.498665690802</v>
      </c>
      <c r="K521">
        <v>1</v>
      </c>
      <c r="L521">
        <v>1</v>
      </c>
      <c r="M521">
        <v>1</v>
      </c>
      <c r="N521" s="6">
        <v>2840508.4767164499</v>
      </c>
      <c r="O521" s="6">
        <v>1077389.8804420701</v>
      </c>
      <c r="P521" s="6">
        <v>893594.65985842096</v>
      </c>
      <c r="Q521" s="6">
        <v>137346.69745599999</v>
      </c>
      <c r="R521" s="6">
        <v>85558.274473699305</v>
      </c>
      <c r="S521" s="6">
        <v>163534.85821922601</v>
      </c>
      <c r="T521" s="6">
        <v>3486612.2</v>
      </c>
      <c r="U521" s="6">
        <v>1547785.78894664</v>
      </c>
      <c r="V521" s="6">
        <v>4414410.9741647597</v>
      </c>
      <c r="W521" s="6">
        <v>600906.06565400294</v>
      </c>
      <c r="X521" s="6">
        <v>0</v>
      </c>
      <c r="Y521" s="6">
        <v>0</v>
      </c>
      <c r="Z521" s="6">
        <v>0</v>
      </c>
      <c r="AA521" s="6">
        <v>19080.949127874501</v>
      </c>
      <c r="AB521" s="6">
        <v>0</v>
      </c>
      <c r="AC521" s="6">
        <v>163534.85821922601</v>
      </c>
      <c r="AD521" s="6">
        <v>0</v>
      </c>
      <c r="AE521" s="6">
        <v>0</v>
      </c>
      <c r="AF521" s="6">
        <v>0</v>
      </c>
      <c r="AG521" s="6">
        <v>0</v>
      </c>
      <c r="AH521" s="6">
        <v>0</v>
      </c>
      <c r="AI521" s="6">
        <v>0</v>
      </c>
      <c r="AJ521" s="6">
        <v>5197932.8471658602</v>
      </c>
      <c r="AK521" s="6">
        <v>13448.7730711189</v>
      </c>
      <c r="AL521" s="6">
        <v>330.98244656580999</v>
      </c>
      <c r="AM521" s="6">
        <v>93035.839999999997</v>
      </c>
      <c r="AN521" s="6">
        <v>4427.75305344759</v>
      </c>
      <c r="AO521" s="6">
        <v>17319.062791103301</v>
      </c>
      <c r="AP521" s="6">
        <v>330.98244656580999</v>
      </c>
      <c r="AQ521" s="6">
        <v>93035.839999999997</v>
      </c>
      <c r="AR521" s="6">
        <v>4427.75305344759</v>
      </c>
      <c r="AS521" s="6">
        <v>17319.062791103301</v>
      </c>
      <c r="AT521" s="6">
        <v>0</v>
      </c>
      <c r="AU521" t="s">
        <v>2973</v>
      </c>
      <c r="AV521" t="s">
        <v>2973</v>
      </c>
    </row>
    <row r="522" spans="1:48" x14ac:dyDescent="0.45">
      <c r="A522" s="5" t="s">
        <v>1064</v>
      </c>
      <c r="B522">
        <v>2239</v>
      </c>
      <c r="C522" t="s">
        <v>1018</v>
      </c>
      <c r="D522">
        <v>3160</v>
      </c>
      <c r="E522" t="s">
        <v>1065</v>
      </c>
      <c r="F522" t="s">
        <v>2739</v>
      </c>
      <c r="G522" t="s">
        <v>2740</v>
      </c>
      <c r="H522" t="s">
        <v>2741</v>
      </c>
      <c r="I522" t="s">
        <v>2742</v>
      </c>
      <c r="J522">
        <v>641.18532283746504</v>
      </c>
      <c r="K522">
        <v>2</v>
      </c>
      <c r="L522">
        <v>1</v>
      </c>
      <c r="M522">
        <v>1</v>
      </c>
      <c r="N522" s="6">
        <v>4610094.0618326496</v>
      </c>
      <c r="O522" s="6">
        <v>1576401.39828293</v>
      </c>
      <c r="P522" s="6">
        <v>1445870.2238002201</v>
      </c>
      <c r="Q522" s="6">
        <v>227852.498252702</v>
      </c>
      <c r="R522" s="6">
        <v>141937.64354085</v>
      </c>
      <c r="S522" s="6">
        <v>271297.57531002199</v>
      </c>
      <c r="T522" s="6">
        <v>5434443.1299999999</v>
      </c>
      <c r="U522" s="6">
        <v>2567712.6957093501</v>
      </c>
      <c r="V522" s="6">
        <v>7013859.3508791402</v>
      </c>
      <c r="W522" s="6">
        <v>956641.968326965</v>
      </c>
      <c r="X522" s="6">
        <v>0</v>
      </c>
      <c r="Y522" s="6">
        <v>0</v>
      </c>
      <c r="Z522" s="6">
        <v>0</v>
      </c>
      <c r="AA522" s="6">
        <v>31654.5065032358</v>
      </c>
      <c r="AB522" s="6">
        <v>0</v>
      </c>
      <c r="AC522" s="6">
        <v>271297.57531002199</v>
      </c>
      <c r="AD522" s="6">
        <v>0</v>
      </c>
      <c r="AE522" s="6">
        <v>0</v>
      </c>
      <c r="AF522" s="6">
        <v>0</v>
      </c>
      <c r="AG522" s="6">
        <v>0</v>
      </c>
      <c r="AH522" s="6">
        <v>0</v>
      </c>
      <c r="AI522" s="6">
        <v>0</v>
      </c>
      <c r="AJ522" s="6">
        <v>8273453.4010193702</v>
      </c>
      <c r="AK522" s="6">
        <v>12903.373028575401</v>
      </c>
      <c r="AL522" s="6">
        <v>330.98244656580999</v>
      </c>
      <c r="AM522" s="6">
        <v>93035.839999999997</v>
      </c>
      <c r="AN522" s="6">
        <v>4427.75305344759</v>
      </c>
      <c r="AO522" s="6">
        <v>17319.062791103301</v>
      </c>
      <c r="AP522" s="6">
        <v>330.98244656580999</v>
      </c>
      <c r="AQ522" s="6">
        <v>93035.839999999997</v>
      </c>
      <c r="AR522" s="6">
        <v>4427.75305344759</v>
      </c>
      <c r="AS522" s="6">
        <v>17319.062791103301</v>
      </c>
      <c r="AT522" s="6">
        <v>0</v>
      </c>
      <c r="AU522" t="s">
        <v>2973</v>
      </c>
      <c r="AV522" t="s">
        <v>2973</v>
      </c>
    </row>
    <row r="523" spans="1:48" x14ac:dyDescent="0.45">
      <c r="A523" s="5" t="s">
        <v>1066</v>
      </c>
      <c r="B523">
        <v>2239</v>
      </c>
      <c r="C523" t="s">
        <v>1018</v>
      </c>
      <c r="D523">
        <v>3159</v>
      </c>
      <c r="E523" t="s">
        <v>1067</v>
      </c>
      <c r="F523" t="s">
        <v>2739</v>
      </c>
      <c r="G523" t="s">
        <v>2740</v>
      </c>
      <c r="H523" t="s">
        <v>2741</v>
      </c>
      <c r="I523" t="s">
        <v>2742</v>
      </c>
      <c r="J523">
        <v>454.61728184656801</v>
      </c>
      <c r="K523">
        <v>1</v>
      </c>
      <c r="L523">
        <v>1</v>
      </c>
      <c r="M523">
        <v>1</v>
      </c>
      <c r="N523" s="6">
        <v>3328607.38459324</v>
      </c>
      <c r="O523" s="6">
        <v>1084354.0337286999</v>
      </c>
      <c r="P523" s="6">
        <v>1137788.6127138</v>
      </c>
      <c r="Q523" s="6">
        <v>161553.42258801399</v>
      </c>
      <c r="R523" s="6">
        <v>100637.527716157</v>
      </c>
      <c r="S523" s="6">
        <v>192357.12650626601</v>
      </c>
      <c r="T523" s="6">
        <v>3992365.05</v>
      </c>
      <c r="U523" s="6">
        <v>1820575.93133992</v>
      </c>
      <c r="V523" s="6">
        <v>5032427.5218948601</v>
      </c>
      <c r="W523" s="6">
        <v>758069.58059735806</v>
      </c>
      <c r="X523" s="6">
        <v>0</v>
      </c>
      <c r="Y523" s="6">
        <v>0</v>
      </c>
      <c r="Z523" s="6">
        <v>0</v>
      </c>
      <c r="AA523" s="6">
        <v>22443.878847712698</v>
      </c>
      <c r="AB523" s="6">
        <v>0</v>
      </c>
      <c r="AC523" s="6">
        <v>192357.12650626601</v>
      </c>
      <c r="AD523" s="6">
        <v>0</v>
      </c>
      <c r="AE523" s="6">
        <v>0</v>
      </c>
      <c r="AF523" s="6">
        <v>0</v>
      </c>
      <c r="AG523" s="6">
        <v>0</v>
      </c>
      <c r="AH523" s="6">
        <v>0</v>
      </c>
      <c r="AI523" s="6">
        <v>0</v>
      </c>
      <c r="AJ523" s="6">
        <v>6005298.1078461995</v>
      </c>
      <c r="AK523" s="6">
        <v>13209.5684604286</v>
      </c>
      <c r="AL523" s="6">
        <v>330.98244656580999</v>
      </c>
      <c r="AM523" s="6">
        <v>93035.839999999997</v>
      </c>
      <c r="AN523" s="6">
        <v>4427.75305344759</v>
      </c>
      <c r="AO523" s="6">
        <v>17319.062791103301</v>
      </c>
      <c r="AP523" s="6">
        <v>330.98244656580999</v>
      </c>
      <c r="AQ523" s="6">
        <v>93035.839999999997</v>
      </c>
      <c r="AR523" s="6">
        <v>4427.75305344759</v>
      </c>
      <c r="AS523" s="6">
        <v>17319.062791103301</v>
      </c>
      <c r="AT523" s="6">
        <v>0</v>
      </c>
      <c r="AU523" t="s">
        <v>2973</v>
      </c>
      <c r="AV523" t="s">
        <v>2973</v>
      </c>
    </row>
    <row r="524" spans="1:48" x14ac:dyDescent="0.45">
      <c r="A524" s="5" t="s">
        <v>1068</v>
      </c>
      <c r="B524">
        <v>2239</v>
      </c>
      <c r="C524" t="s">
        <v>1018</v>
      </c>
      <c r="D524">
        <v>4643</v>
      </c>
      <c r="E524" t="s">
        <v>1069</v>
      </c>
      <c r="F524" t="s">
        <v>2739</v>
      </c>
      <c r="G524" t="s">
        <v>2740</v>
      </c>
      <c r="H524" t="s">
        <v>2741</v>
      </c>
      <c r="I524" t="s">
        <v>2742</v>
      </c>
      <c r="J524">
        <v>513.22406061459299</v>
      </c>
      <c r="K524">
        <v>2</v>
      </c>
      <c r="L524">
        <v>1</v>
      </c>
      <c r="M524">
        <v>1</v>
      </c>
      <c r="N524" s="6">
        <v>3710929.2072835001</v>
      </c>
      <c r="O524" s="6">
        <v>1163882.9437673299</v>
      </c>
      <c r="P524" s="6">
        <v>1210254.1763953001</v>
      </c>
      <c r="Q524" s="6">
        <v>182380.008102703</v>
      </c>
      <c r="R524" s="6">
        <v>113611.168530393</v>
      </c>
      <c r="S524" s="6">
        <v>217154.75740981399</v>
      </c>
      <c r="T524" s="6">
        <v>4325782.8600000003</v>
      </c>
      <c r="U524" s="6">
        <v>2055274.64407922</v>
      </c>
      <c r="V524" s="6">
        <v>5557164.7867058404</v>
      </c>
      <c r="W524" s="6">
        <v>798555.49615869904</v>
      </c>
      <c r="X524" s="6">
        <v>0</v>
      </c>
      <c r="Y524" s="6">
        <v>0</v>
      </c>
      <c r="Z524" s="6">
        <v>0</v>
      </c>
      <c r="AA524" s="6">
        <v>25337.221214684501</v>
      </c>
      <c r="AB524" s="6">
        <v>0</v>
      </c>
      <c r="AC524" s="6">
        <v>217154.75740981399</v>
      </c>
      <c r="AD524" s="6">
        <v>0</v>
      </c>
      <c r="AE524" s="6">
        <v>0</v>
      </c>
      <c r="AF524" s="6">
        <v>0</v>
      </c>
      <c r="AG524" s="6">
        <v>0</v>
      </c>
      <c r="AH524" s="6">
        <v>0</v>
      </c>
      <c r="AI524" s="6">
        <v>0</v>
      </c>
      <c r="AJ524" s="6">
        <v>6598212.26148903</v>
      </c>
      <c r="AK524" s="6">
        <v>12856.3969771557</v>
      </c>
      <c r="AL524" s="6">
        <v>330.98244656580999</v>
      </c>
      <c r="AM524" s="6">
        <v>93035.839999999997</v>
      </c>
      <c r="AN524" s="6">
        <v>4427.75305344759</v>
      </c>
      <c r="AO524" s="6">
        <v>17319.062791103301</v>
      </c>
      <c r="AP524" s="6">
        <v>330.98244656580999</v>
      </c>
      <c r="AQ524" s="6">
        <v>93035.839999999997</v>
      </c>
      <c r="AR524" s="6">
        <v>4427.75305344759</v>
      </c>
      <c r="AS524" s="6">
        <v>17319.062791103301</v>
      </c>
      <c r="AT524" s="6">
        <v>0</v>
      </c>
      <c r="AU524" t="s">
        <v>2973</v>
      </c>
      <c r="AV524" t="s">
        <v>2973</v>
      </c>
    </row>
    <row r="525" spans="1:48" x14ac:dyDescent="0.45">
      <c r="A525" s="5" t="s">
        <v>1070</v>
      </c>
      <c r="B525">
        <v>2239</v>
      </c>
      <c r="C525" t="s">
        <v>1018</v>
      </c>
      <c r="D525">
        <v>1196</v>
      </c>
      <c r="E525" t="s">
        <v>1071</v>
      </c>
      <c r="F525" t="s">
        <v>2739</v>
      </c>
      <c r="G525" t="s">
        <v>2747</v>
      </c>
      <c r="H525" t="s">
        <v>2741</v>
      </c>
      <c r="I525" t="s">
        <v>2742</v>
      </c>
      <c r="J525">
        <v>728.77870009404899</v>
      </c>
      <c r="K525">
        <v>1</v>
      </c>
      <c r="L525">
        <v>1</v>
      </c>
      <c r="M525">
        <v>1</v>
      </c>
      <c r="N525" s="6">
        <v>4276875.1301604696</v>
      </c>
      <c r="O525" s="6">
        <v>2030198.3725407501</v>
      </c>
      <c r="P525" s="6">
        <v>1707582.0616468</v>
      </c>
      <c r="Q525" s="6">
        <v>258979.80127639099</v>
      </c>
      <c r="R525" s="6">
        <v>161327.97752816699</v>
      </c>
      <c r="S525" s="6">
        <v>308359.98147640802</v>
      </c>
      <c r="T525" s="6">
        <v>5516471.21</v>
      </c>
      <c r="U525" s="6">
        <v>2918492.1331525799</v>
      </c>
      <c r="V525" s="6">
        <v>7268700.5899191899</v>
      </c>
      <c r="W525" s="6">
        <v>1130283.87274458</v>
      </c>
      <c r="X525" s="6">
        <v>0</v>
      </c>
      <c r="Y525" s="6">
        <v>0</v>
      </c>
      <c r="Z525" s="6">
        <v>0</v>
      </c>
      <c r="AA525" s="6">
        <v>35978.880488807801</v>
      </c>
      <c r="AB525" s="6">
        <v>0</v>
      </c>
      <c r="AC525" s="6">
        <v>308359.98147640802</v>
      </c>
      <c r="AD525" s="6">
        <v>0</v>
      </c>
      <c r="AE525" s="6">
        <v>0</v>
      </c>
      <c r="AF525" s="6">
        <v>0</v>
      </c>
      <c r="AG525" s="6">
        <v>0</v>
      </c>
      <c r="AH525" s="6">
        <v>0</v>
      </c>
      <c r="AI525" s="6">
        <v>0</v>
      </c>
      <c r="AJ525" s="6">
        <v>8743323.3246289901</v>
      </c>
      <c r="AK525" s="6">
        <v>11997.226762391199</v>
      </c>
      <c r="AL525" s="6">
        <v>330.98244656580999</v>
      </c>
      <c r="AM525" s="6">
        <v>93035.839999999997</v>
      </c>
      <c r="AN525" s="6">
        <v>4427.75305344759</v>
      </c>
      <c r="AO525" s="6">
        <v>17319.062791103301</v>
      </c>
      <c r="AP525" s="6">
        <v>3753.1860850462999</v>
      </c>
      <c r="AQ525" s="6">
        <v>20687.885194392002</v>
      </c>
      <c r="AR525" s="6">
        <v>11997.226762391199</v>
      </c>
      <c r="AS525" s="6">
        <v>13029.9248090411</v>
      </c>
      <c r="AT525" s="6">
        <v>0</v>
      </c>
      <c r="AU525" t="s">
        <v>2973</v>
      </c>
      <c r="AV525" t="s">
        <v>2973</v>
      </c>
    </row>
    <row r="526" spans="1:48" x14ac:dyDescent="0.45">
      <c r="A526" s="5" t="s">
        <v>1072</v>
      </c>
      <c r="B526">
        <v>2239</v>
      </c>
      <c r="C526" t="s">
        <v>1018</v>
      </c>
      <c r="D526">
        <v>1149</v>
      </c>
      <c r="E526" t="s">
        <v>1073</v>
      </c>
      <c r="F526" t="s">
        <v>2739</v>
      </c>
      <c r="G526" t="s">
        <v>2740</v>
      </c>
      <c r="H526" t="s">
        <v>2741</v>
      </c>
      <c r="I526" t="s">
        <v>2742</v>
      </c>
      <c r="J526">
        <v>250.83517613303999</v>
      </c>
      <c r="K526">
        <v>7</v>
      </c>
      <c r="L526">
        <v>1</v>
      </c>
      <c r="M526">
        <v>1</v>
      </c>
      <c r="N526" s="6">
        <v>2377296.6644455101</v>
      </c>
      <c r="O526" s="6">
        <v>762137.66713305097</v>
      </c>
      <c r="P526" s="6">
        <v>724248.81321604701</v>
      </c>
      <c r="Q526" s="6">
        <v>89137.133206115905</v>
      </c>
      <c r="R526" s="6">
        <v>55526.776033990398</v>
      </c>
      <c r="S526" s="6">
        <v>106133.083000414</v>
      </c>
      <c r="T526" s="6">
        <v>3003843.92</v>
      </c>
      <c r="U526" s="6">
        <v>1004503.13403471</v>
      </c>
      <c r="V526" s="6">
        <v>3371097.8355596401</v>
      </c>
      <c r="W526" s="6">
        <v>624865.803834502</v>
      </c>
      <c r="X526" s="6">
        <v>0</v>
      </c>
      <c r="Y526" s="6">
        <v>0</v>
      </c>
      <c r="Z526" s="6">
        <v>0</v>
      </c>
      <c r="AA526" s="6">
        <v>12383.414640569301</v>
      </c>
      <c r="AB526" s="6">
        <v>0</v>
      </c>
      <c r="AC526" s="6">
        <v>106133.083000414</v>
      </c>
      <c r="AD526" s="6">
        <v>0</v>
      </c>
      <c r="AE526" s="6">
        <v>0</v>
      </c>
      <c r="AF526" s="6">
        <v>0</v>
      </c>
      <c r="AG526" s="6">
        <v>0</v>
      </c>
      <c r="AH526" s="6">
        <v>0</v>
      </c>
      <c r="AI526" s="6">
        <v>0</v>
      </c>
      <c r="AJ526" s="6">
        <v>4114480.1370351301</v>
      </c>
      <c r="AK526" s="6">
        <v>16403.122562255299</v>
      </c>
      <c r="AL526" s="6">
        <v>330.98244656580999</v>
      </c>
      <c r="AM526" s="6">
        <v>93035.839999999997</v>
      </c>
      <c r="AN526" s="6">
        <v>4427.75305344759</v>
      </c>
      <c r="AO526" s="6">
        <v>17319.062791103301</v>
      </c>
      <c r="AP526" s="6">
        <v>330.98244656580999</v>
      </c>
      <c r="AQ526" s="6">
        <v>93035.839999999997</v>
      </c>
      <c r="AR526" s="6">
        <v>4427.75305344759</v>
      </c>
      <c r="AS526" s="6">
        <v>17319.062791103301</v>
      </c>
      <c r="AT526" s="6">
        <v>0</v>
      </c>
      <c r="AU526" t="s">
        <v>2973</v>
      </c>
      <c r="AV526" t="s">
        <v>2973</v>
      </c>
    </row>
    <row r="527" spans="1:48" x14ac:dyDescent="0.45">
      <c r="A527" s="5" t="s">
        <v>1074</v>
      </c>
      <c r="B527">
        <v>2239</v>
      </c>
      <c r="C527" t="s">
        <v>1018</v>
      </c>
      <c r="D527">
        <v>4703</v>
      </c>
      <c r="E527" t="s">
        <v>1075</v>
      </c>
      <c r="F527" t="s">
        <v>2739</v>
      </c>
      <c r="G527" t="s">
        <v>2740</v>
      </c>
      <c r="H527" t="s">
        <v>2741</v>
      </c>
      <c r="I527" t="s">
        <v>2742</v>
      </c>
      <c r="J527">
        <v>426.88666833823902</v>
      </c>
      <c r="K527">
        <v>3</v>
      </c>
      <c r="L527">
        <v>2</v>
      </c>
      <c r="M527">
        <v>1</v>
      </c>
      <c r="N527" s="6">
        <v>356538.375349004</v>
      </c>
      <c r="O527" s="6">
        <v>448925.46699277801</v>
      </c>
      <c r="P527" s="6">
        <v>657863.22221803199</v>
      </c>
      <c r="Q527" s="6">
        <v>151699.03362915301</v>
      </c>
      <c r="R527" s="6">
        <v>94498.868899239504</v>
      </c>
      <c r="S527" s="6">
        <v>180623.782122498</v>
      </c>
      <c r="T527" s="6">
        <v>0</v>
      </c>
      <c r="U527" s="6">
        <v>1709524.9670882099</v>
      </c>
      <c r="V527" s="6">
        <v>1195712.08904219</v>
      </c>
      <c r="W527" s="6">
        <v>492738.02443075</v>
      </c>
      <c r="X527" s="6">
        <v>0</v>
      </c>
      <c r="Y527" s="6">
        <v>0</v>
      </c>
      <c r="Z527" s="6">
        <v>0</v>
      </c>
      <c r="AA527" s="6">
        <v>21074.8536152673</v>
      </c>
      <c r="AB527" s="6">
        <v>0</v>
      </c>
      <c r="AC527" s="6">
        <v>180623.782122498</v>
      </c>
      <c r="AD527" s="6">
        <v>0</v>
      </c>
      <c r="AE527" s="6">
        <v>0</v>
      </c>
      <c r="AF527" s="6">
        <v>0</v>
      </c>
      <c r="AG527" s="6">
        <v>0</v>
      </c>
      <c r="AH527" s="6">
        <v>0</v>
      </c>
      <c r="AI527" s="6">
        <v>0</v>
      </c>
      <c r="AJ527" s="6">
        <v>1890148.7492107099</v>
      </c>
      <c r="AK527" s="6">
        <v>4427.75305344759</v>
      </c>
      <c r="AL527" s="6">
        <v>330.98244656580999</v>
      </c>
      <c r="AM527" s="6">
        <v>93035.839999999997</v>
      </c>
      <c r="AN527" s="6">
        <v>4427.75305344759</v>
      </c>
      <c r="AO527" s="6">
        <v>17319.062791103301</v>
      </c>
      <c r="AP527" s="6">
        <v>330.98244656580999</v>
      </c>
      <c r="AQ527" s="6">
        <v>93035.839999999997</v>
      </c>
      <c r="AR527" s="6">
        <v>4427.75305344759</v>
      </c>
      <c r="AS527" s="6">
        <v>17319.062791103301</v>
      </c>
      <c r="AT527" s="6">
        <v>0</v>
      </c>
      <c r="AU527" t="s">
        <v>2973</v>
      </c>
      <c r="AV527" t="s">
        <v>2976</v>
      </c>
    </row>
    <row r="528" spans="1:48" x14ac:dyDescent="0.45">
      <c r="A528" s="5" t="s">
        <v>1076</v>
      </c>
      <c r="B528">
        <v>2239</v>
      </c>
      <c r="C528" t="s">
        <v>1018</v>
      </c>
      <c r="D528">
        <v>1198</v>
      </c>
      <c r="E528" t="s">
        <v>1077</v>
      </c>
      <c r="F528" t="s">
        <v>2739</v>
      </c>
      <c r="G528" t="s">
        <v>2747</v>
      </c>
      <c r="H528" t="s">
        <v>2741</v>
      </c>
      <c r="I528" t="s">
        <v>2742</v>
      </c>
      <c r="J528">
        <v>693.80173746463697</v>
      </c>
      <c r="K528">
        <v>2</v>
      </c>
      <c r="L528">
        <v>1</v>
      </c>
      <c r="M528">
        <v>1</v>
      </c>
      <c r="N528" s="6">
        <v>4935668.3654871797</v>
      </c>
      <c r="O528" s="6">
        <v>1943037.3107650001</v>
      </c>
      <c r="P528" s="6">
        <v>1467782.6732036099</v>
      </c>
      <c r="Q528" s="6">
        <v>246550.33972675001</v>
      </c>
      <c r="R528" s="6">
        <v>153585.211939172</v>
      </c>
      <c r="S528" s="6">
        <v>293560.57042458298</v>
      </c>
      <c r="T528" s="6">
        <v>5968201.71</v>
      </c>
      <c r="U528" s="6">
        <v>2778422.1911217002</v>
      </c>
      <c r="V528" s="6">
        <v>7855522.4102145098</v>
      </c>
      <c r="W528" s="6">
        <v>856849.37872012798</v>
      </c>
      <c r="X528" s="6">
        <v>0</v>
      </c>
      <c r="Y528" s="6">
        <v>0</v>
      </c>
      <c r="Z528" s="6">
        <v>0</v>
      </c>
      <c r="AA528" s="6">
        <v>34252.112187068597</v>
      </c>
      <c r="AB528" s="6">
        <v>0</v>
      </c>
      <c r="AC528" s="6">
        <v>293560.57042458298</v>
      </c>
      <c r="AD528" s="6">
        <v>0</v>
      </c>
      <c r="AE528" s="6">
        <v>0</v>
      </c>
      <c r="AF528" s="6">
        <v>0</v>
      </c>
      <c r="AG528" s="6">
        <v>0</v>
      </c>
      <c r="AH528" s="6">
        <v>0</v>
      </c>
      <c r="AI528" s="6">
        <v>0</v>
      </c>
      <c r="AJ528" s="6">
        <v>9040184.4715462793</v>
      </c>
      <c r="AK528" s="6">
        <v>13029.9248090411</v>
      </c>
      <c r="AL528" s="6">
        <v>330.98244656580999</v>
      </c>
      <c r="AM528" s="6">
        <v>93035.839999999997</v>
      </c>
      <c r="AN528" s="6">
        <v>4427.75305344759</v>
      </c>
      <c r="AO528" s="6">
        <v>17319.062791103301</v>
      </c>
      <c r="AP528" s="6">
        <v>3753.1860850462999</v>
      </c>
      <c r="AQ528" s="6">
        <v>20687.885194392002</v>
      </c>
      <c r="AR528" s="6">
        <v>11997.226762391199</v>
      </c>
      <c r="AS528" s="6">
        <v>13029.9248090411</v>
      </c>
      <c r="AT528" s="6">
        <v>0</v>
      </c>
      <c r="AU528" t="s">
        <v>2973</v>
      </c>
      <c r="AV528" t="s">
        <v>2973</v>
      </c>
    </row>
    <row r="529" spans="1:48" x14ac:dyDescent="0.45">
      <c r="A529" s="5" t="s">
        <v>1078</v>
      </c>
      <c r="B529">
        <v>2239</v>
      </c>
      <c r="C529" t="s">
        <v>1018</v>
      </c>
      <c r="D529">
        <v>1302</v>
      </c>
      <c r="E529" t="s">
        <v>1079</v>
      </c>
      <c r="F529" t="s">
        <v>2739</v>
      </c>
      <c r="G529" t="s">
        <v>2740</v>
      </c>
      <c r="H529" t="s">
        <v>2741</v>
      </c>
      <c r="I529" t="s">
        <v>2742</v>
      </c>
      <c r="J529">
        <v>452.50277119186302</v>
      </c>
      <c r="K529">
        <v>2</v>
      </c>
      <c r="L529">
        <v>1</v>
      </c>
      <c r="M529">
        <v>1</v>
      </c>
      <c r="N529" s="6">
        <v>3508171.2922674101</v>
      </c>
      <c r="O529" s="6">
        <v>1040153.64762558</v>
      </c>
      <c r="P529" s="6">
        <v>1068673.06890388</v>
      </c>
      <c r="Q529" s="6">
        <v>160802.007173319</v>
      </c>
      <c r="R529" s="6">
        <v>100169.44360867501</v>
      </c>
      <c r="S529" s="6">
        <v>191462.437259403</v>
      </c>
      <c r="T529" s="6">
        <v>4065861.37</v>
      </c>
      <c r="U529" s="6">
        <v>1812108.08957887</v>
      </c>
      <c r="V529" s="6">
        <v>5147663.1450140104</v>
      </c>
      <c r="W529" s="6">
        <v>707966.82642742002</v>
      </c>
      <c r="X529" s="6">
        <v>0</v>
      </c>
      <c r="Y529" s="6">
        <v>0</v>
      </c>
      <c r="Z529" s="6">
        <v>0</v>
      </c>
      <c r="AA529" s="6">
        <v>22339.488137435099</v>
      </c>
      <c r="AB529" s="6">
        <v>0</v>
      </c>
      <c r="AC529" s="6">
        <v>191462.437259403</v>
      </c>
      <c r="AD529" s="6">
        <v>0</v>
      </c>
      <c r="AE529" s="6">
        <v>0</v>
      </c>
      <c r="AF529" s="6">
        <v>0</v>
      </c>
      <c r="AG529" s="6">
        <v>0</v>
      </c>
      <c r="AH529" s="6">
        <v>0</v>
      </c>
      <c r="AI529" s="6">
        <v>0</v>
      </c>
      <c r="AJ529" s="6">
        <v>6069431.8968382701</v>
      </c>
      <c r="AK529" s="6">
        <v>13413.0270204794</v>
      </c>
      <c r="AL529" s="6">
        <v>330.98244656580999</v>
      </c>
      <c r="AM529" s="6">
        <v>93035.839999999997</v>
      </c>
      <c r="AN529" s="6">
        <v>4427.75305344759</v>
      </c>
      <c r="AO529" s="6">
        <v>17319.062791103301</v>
      </c>
      <c r="AP529" s="6">
        <v>330.98244656580999</v>
      </c>
      <c r="AQ529" s="6">
        <v>93035.839999999997</v>
      </c>
      <c r="AR529" s="6">
        <v>4427.75305344759</v>
      </c>
      <c r="AS529" s="6">
        <v>17319.062791103301</v>
      </c>
      <c r="AT529" s="6">
        <v>0</v>
      </c>
      <c r="AU529" t="s">
        <v>2973</v>
      </c>
      <c r="AV529" t="s">
        <v>2973</v>
      </c>
    </row>
    <row r="530" spans="1:48" x14ac:dyDescent="0.45">
      <c r="A530" s="5" t="s">
        <v>1080</v>
      </c>
      <c r="B530">
        <v>2239</v>
      </c>
      <c r="C530" t="s">
        <v>1018</v>
      </c>
      <c r="D530">
        <v>1119</v>
      </c>
      <c r="E530" t="s">
        <v>1081</v>
      </c>
      <c r="F530" t="s">
        <v>2739</v>
      </c>
      <c r="G530" t="s">
        <v>2740</v>
      </c>
      <c r="H530" t="s">
        <v>2741</v>
      </c>
      <c r="I530" t="s">
        <v>2742</v>
      </c>
      <c r="J530">
        <v>368.82140902867201</v>
      </c>
      <c r="K530">
        <v>6</v>
      </c>
      <c r="L530">
        <v>1</v>
      </c>
      <c r="M530">
        <v>1</v>
      </c>
      <c r="N530" s="6">
        <v>3221455.0730466298</v>
      </c>
      <c r="O530" s="6">
        <v>908971.55333700799</v>
      </c>
      <c r="P530" s="6">
        <v>1048668.9091769301</v>
      </c>
      <c r="Q530" s="6">
        <v>131064.883214064</v>
      </c>
      <c r="R530" s="6">
        <v>81645.102937292293</v>
      </c>
      <c r="S530" s="6">
        <v>156055.27829162299</v>
      </c>
      <c r="T530" s="6">
        <v>3914810.68</v>
      </c>
      <c r="U530" s="6">
        <v>1476994.84171192</v>
      </c>
      <c r="V530" s="6">
        <v>4378931.84344503</v>
      </c>
      <c r="W530" s="6">
        <v>994665.43288946105</v>
      </c>
      <c r="X530" s="6">
        <v>0</v>
      </c>
      <c r="Y530" s="6">
        <v>0</v>
      </c>
      <c r="Z530" s="6">
        <v>0</v>
      </c>
      <c r="AA530" s="6">
        <v>18208.245377429201</v>
      </c>
      <c r="AB530" s="6">
        <v>0</v>
      </c>
      <c r="AC530" s="6">
        <v>156055.27829162299</v>
      </c>
      <c r="AD530" s="6">
        <v>0</v>
      </c>
      <c r="AE530" s="6">
        <v>0</v>
      </c>
      <c r="AF530" s="6">
        <v>0</v>
      </c>
      <c r="AG530" s="6">
        <v>0</v>
      </c>
      <c r="AH530" s="6">
        <v>0</v>
      </c>
      <c r="AI530" s="6">
        <v>0</v>
      </c>
      <c r="AJ530" s="6">
        <v>5547860.8000035398</v>
      </c>
      <c r="AK530" s="6">
        <v>15042.1333040682</v>
      </c>
      <c r="AL530" s="6">
        <v>330.98244656580999</v>
      </c>
      <c r="AM530" s="6">
        <v>93035.839999999997</v>
      </c>
      <c r="AN530" s="6">
        <v>4427.75305344759</v>
      </c>
      <c r="AO530" s="6">
        <v>17319.062791103301</v>
      </c>
      <c r="AP530" s="6">
        <v>330.98244656580999</v>
      </c>
      <c r="AQ530" s="6">
        <v>93035.839999999997</v>
      </c>
      <c r="AR530" s="6">
        <v>4427.75305344759</v>
      </c>
      <c r="AS530" s="6">
        <v>17319.062791103301</v>
      </c>
      <c r="AT530" s="6">
        <v>0</v>
      </c>
      <c r="AU530" t="s">
        <v>2973</v>
      </c>
      <c r="AV530" t="s">
        <v>2973</v>
      </c>
    </row>
    <row r="531" spans="1:48" x14ac:dyDescent="0.45">
      <c r="A531" s="5" t="s">
        <v>1082</v>
      </c>
      <c r="B531">
        <v>2239</v>
      </c>
      <c r="C531" t="s">
        <v>1018</v>
      </c>
      <c r="D531">
        <v>1114</v>
      </c>
      <c r="E531" t="s">
        <v>1083</v>
      </c>
      <c r="F531" t="s">
        <v>2739</v>
      </c>
      <c r="G531" t="s">
        <v>2740</v>
      </c>
      <c r="H531" t="s">
        <v>2741</v>
      </c>
      <c r="I531" t="s">
        <v>2742</v>
      </c>
      <c r="J531">
        <v>464.74287136549799</v>
      </c>
      <c r="K531">
        <v>3</v>
      </c>
      <c r="L531">
        <v>1</v>
      </c>
      <c r="M531">
        <v>1</v>
      </c>
      <c r="N531" s="6">
        <v>3579366.0993409399</v>
      </c>
      <c r="O531" s="6">
        <v>1104167.1951750601</v>
      </c>
      <c r="P531" s="6">
        <v>1164667.65829959</v>
      </c>
      <c r="Q531" s="6">
        <v>165151.666006874</v>
      </c>
      <c r="R531" s="6">
        <v>102879.00496866</v>
      </c>
      <c r="S531" s="6">
        <v>196641.45396546801</v>
      </c>
      <c r="T531" s="6">
        <v>4255106.41</v>
      </c>
      <c r="U531" s="6">
        <v>1861125.2137911201</v>
      </c>
      <c r="V531" s="6">
        <v>5059201.1181723699</v>
      </c>
      <c r="W531" s="6">
        <v>1034086.73925356</v>
      </c>
      <c r="X531" s="6">
        <v>0</v>
      </c>
      <c r="Y531" s="6">
        <v>0</v>
      </c>
      <c r="Z531" s="6">
        <v>0</v>
      </c>
      <c r="AA531" s="6">
        <v>22943.766365189898</v>
      </c>
      <c r="AB531" s="6">
        <v>0</v>
      </c>
      <c r="AC531" s="6">
        <v>196641.45396546801</v>
      </c>
      <c r="AD531" s="6">
        <v>0</v>
      </c>
      <c r="AE531" s="6">
        <v>0</v>
      </c>
      <c r="AF531" s="6">
        <v>0</v>
      </c>
      <c r="AG531" s="6">
        <v>0</v>
      </c>
      <c r="AH531" s="6">
        <v>0</v>
      </c>
      <c r="AI531" s="6">
        <v>0</v>
      </c>
      <c r="AJ531" s="6">
        <v>6312873.07775658</v>
      </c>
      <c r="AK531" s="6">
        <v>13583.582377946401</v>
      </c>
      <c r="AL531" s="6">
        <v>330.98244656580999</v>
      </c>
      <c r="AM531" s="6">
        <v>93035.839999999997</v>
      </c>
      <c r="AN531" s="6">
        <v>4427.75305344759</v>
      </c>
      <c r="AO531" s="6">
        <v>17319.062791103301</v>
      </c>
      <c r="AP531" s="6">
        <v>330.98244656580999</v>
      </c>
      <c r="AQ531" s="6">
        <v>93035.839999999997</v>
      </c>
      <c r="AR531" s="6">
        <v>4427.75305344759</v>
      </c>
      <c r="AS531" s="6">
        <v>17319.062791103301</v>
      </c>
      <c r="AT531" s="6">
        <v>0</v>
      </c>
      <c r="AU531" t="s">
        <v>2973</v>
      </c>
      <c r="AV531" t="s">
        <v>2973</v>
      </c>
    </row>
    <row r="532" spans="1:48" x14ac:dyDescent="0.45">
      <c r="A532" s="5" t="s">
        <v>1084</v>
      </c>
      <c r="B532">
        <v>2239</v>
      </c>
      <c r="C532" t="s">
        <v>1018</v>
      </c>
      <c r="D532">
        <v>1111</v>
      </c>
      <c r="E532" t="s">
        <v>1085</v>
      </c>
      <c r="F532" t="s">
        <v>2739</v>
      </c>
      <c r="G532" t="s">
        <v>2740</v>
      </c>
      <c r="H532" t="s">
        <v>2741</v>
      </c>
      <c r="I532" t="s">
        <v>2742</v>
      </c>
      <c r="J532">
        <v>370.92034784871498</v>
      </c>
      <c r="K532">
        <v>2</v>
      </c>
      <c r="L532">
        <v>1</v>
      </c>
      <c r="M532">
        <v>1</v>
      </c>
      <c r="N532" s="6">
        <v>2996025.37968022</v>
      </c>
      <c r="O532" s="6">
        <v>919621.70368125394</v>
      </c>
      <c r="P532" s="6">
        <v>861356.50566370296</v>
      </c>
      <c r="Q532" s="6">
        <v>131810.765000176</v>
      </c>
      <c r="R532" s="6">
        <v>82109.739945411799</v>
      </c>
      <c r="S532" s="6">
        <v>156943.378802224</v>
      </c>
      <c r="T532" s="6">
        <v>3505523.77</v>
      </c>
      <c r="U532" s="6">
        <v>1485400.32397077</v>
      </c>
      <c r="V532" s="6">
        <v>4377342.9835246596</v>
      </c>
      <c r="W532" s="6">
        <v>595269.24312013702</v>
      </c>
      <c r="X532" s="6">
        <v>0</v>
      </c>
      <c r="Y532" s="6">
        <v>0</v>
      </c>
      <c r="Z532" s="6">
        <v>0</v>
      </c>
      <c r="AA532" s="6">
        <v>18311.867325971201</v>
      </c>
      <c r="AB532" s="6">
        <v>0</v>
      </c>
      <c r="AC532" s="6">
        <v>156943.378802224</v>
      </c>
      <c r="AD532" s="6">
        <v>0</v>
      </c>
      <c r="AE532" s="6">
        <v>0</v>
      </c>
      <c r="AF532" s="6">
        <v>0</v>
      </c>
      <c r="AG532" s="6">
        <v>0</v>
      </c>
      <c r="AH532" s="6">
        <v>0</v>
      </c>
      <c r="AI532" s="6">
        <v>0</v>
      </c>
      <c r="AJ532" s="6">
        <v>5147867.4727729997</v>
      </c>
      <c r="AK532" s="6">
        <v>13878.633250049201</v>
      </c>
      <c r="AL532" s="6">
        <v>330.98244656580999</v>
      </c>
      <c r="AM532" s="6">
        <v>93035.839999999997</v>
      </c>
      <c r="AN532" s="6">
        <v>4427.75305344759</v>
      </c>
      <c r="AO532" s="6">
        <v>17319.062791103301</v>
      </c>
      <c r="AP532" s="6">
        <v>330.98244656580999</v>
      </c>
      <c r="AQ532" s="6">
        <v>93035.839999999997</v>
      </c>
      <c r="AR532" s="6">
        <v>4427.75305344759</v>
      </c>
      <c r="AS532" s="6">
        <v>17319.062791103301</v>
      </c>
      <c r="AT532" s="6">
        <v>0</v>
      </c>
      <c r="AU532" t="s">
        <v>2973</v>
      </c>
      <c r="AV532" t="s">
        <v>2973</v>
      </c>
    </row>
    <row r="533" spans="1:48" x14ac:dyDescent="0.45">
      <c r="A533" s="5" t="s">
        <v>1086</v>
      </c>
      <c r="B533">
        <v>2239</v>
      </c>
      <c r="C533" t="s">
        <v>1018</v>
      </c>
      <c r="D533">
        <v>1151</v>
      </c>
      <c r="E533" t="s">
        <v>1087</v>
      </c>
      <c r="F533" t="s">
        <v>2739</v>
      </c>
      <c r="G533" t="s">
        <v>2740</v>
      </c>
      <c r="H533" t="s">
        <v>2741</v>
      </c>
      <c r="I533" t="s">
        <v>2742</v>
      </c>
      <c r="J533">
        <v>516.87637469422202</v>
      </c>
      <c r="K533">
        <v>5</v>
      </c>
      <c r="L533">
        <v>1</v>
      </c>
      <c r="M533">
        <v>1</v>
      </c>
      <c r="N533" s="6">
        <v>3849725.1625039</v>
      </c>
      <c r="O533" s="6">
        <v>1337614.6251868601</v>
      </c>
      <c r="P533" s="6">
        <v>1356211.2964748701</v>
      </c>
      <c r="Q533" s="6">
        <v>183677.89945767701</v>
      </c>
      <c r="R533" s="6">
        <v>114419.672461269</v>
      </c>
      <c r="S533" s="6">
        <v>218700.120222689</v>
      </c>
      <c r="T533" s="6">
        <v>4771747.83</v>
      </c>
      <c r="U533" s="6">
        <v>2069900.82608458</v>
      </c>
      <c r="V533" s="6">
        <v>5639532.68009758</v>
      </c>
      <c r="W533" s="6">
        <v>1176598.44465655</v>
      </c>
      <c r="X533" s="6">
        <v>0</v>
      </c>
      <c r="Y533" s="6">
        <v>0</v>
      </c>
      <c r="Z533" s="6">
        <v>0</v>
      </c>
      <c r="AA533" s="6">
        <v>25517.531330446101</v>
      </c>
      <c r="AB533" s="6">
        <v>0</v>
      </c>
      <c r="AC533" s="6">
        <v>218700.120222689</v>
      </c>
      <c r="AD533" s="6">
        <v>0</v>
      </c>
      <c r="AE533" s="6">
        <v>0</v>
      </c>
      <c r="AF533" s="6">
        <v>0</v>
      </c>
      <c r="AG533" s="6">
        <v>0</v>
      </c>
      <c r="AH533" s="6">
        <v>0</v>
      </c>
      <c r="AI533" s="6">
        <v>0</v>
      </c>
      <c r="AJ533" s="6">
        <v>7060348.7763072504</v>
      </c>
      <c r="AK533" s="6">
        <v>13659.6469136049</v>
      </c>
      <c r="AL533" s="6">
        <v>330.98244656580999</v>
      </c>
      <c r="AM533" s="6">
        <v>93035.839999999997</v>
      </c>
      <c r="AN533" s="6">
        <v>4427.75305344759</v>
      </c>
      <c r="AO533" s="6">
        <v>17319.062791103301</v>
      </c>
      <c r="AP533" s="6">
        <v>330.98244656580999</v>
      </c>
      <c r="AQ533" s="6">
        <v>93035.839999999997</v>
      </c>
      <c r="AR533" s="6">
        <v>4427.75305344759</v>
      </c>
      <c r="AS533" s="6">
        <v>17319.062791103301</v>
      </c>
      <c r="AT533" s="6">
        <v>0</v>
      </c>
      <c r="AU533" t="s">
        <v>2973</v>
      </c>
      <c r="AV533" t="s">
        <v>2973</v>
      </c>
    </row>
    <row r="534" spans="1:48" x14ac:dyDescent="0.45">
      <c r="A534" s="5" t="s">
        <v>1088</v>
      </c>
      <c r="B534">
        <v>2024</v>
      </c>
      <c r="C534" t="s">
        <v>1089</v>
      </c>
      <c r="D534">
        <v>3372</v>
      </c>
      <c r="E534" t="s">
        <v>1090</v>
      </c>
      <c r="F534" t="s">
        <v>2739</v>
      </c>
      <c r="G534" t="s">
        <v>2740</v>
      </c>
      <c r="H534" t="s">
        <v>2741</v>
      </c>
      <c r="I534" t="s">
        <v>2742</v>
      </c>
      <c r="J534">
        <v>70.131428571379004</v>
      </c>
      <c r="K534">
        <v>2</v>
      </c>
      <c r="L534">
        <v>1</v>
      </c>
      <c r="M534">
        <v>2</v>
      </c>
      <c r="N534" s="6">
        <v>695497.56852955197</v>
      </c>
      <c r="O534" s="6">
        <v>335473.31586379203</v>
      </c>
      <c r="P534" s="6">
        <v>310908.26731671602</v>
      </c>
      <c r="Q534" s="6">
        <v>42949.125020663399</v>
      </c>
      <c r="R534" s="6">
        <v>19596.099488054399</v>
      </c>
      <c r="S534" s="6">
        <v>14206.1165987557</v>
      </c>
      <c r="T534" s="6">
        <v>1081743.19</v>
      </c>
      <c r="U534" s="6">
        <v>322681.18621877697</v>
      </c>
      <c r="V534" s="6">
        <v>1219340.12536362</v>
      </c>
      <c r="W534" s="6">
        <v>185084.250855158</v>
      </c>
      <c r="X534" s="6">
        <v>0</v>
      </c>
      <c r="Y534" s="6">
        <v>0</v>
      </c>
      <c r="Z534" s="6">
        <v>0</v>
      </c>
      <c r="AA534" s="6">
        <v>0</v>
      </c>
      <c r="AB534" s="6">
        <v>0</v>
      </c>
      <c r="AC534" s="6">
        <v>14206.1165987557</v>
      </c>
      <c r="AD534" s="6">
        <v>0</v>
      </c>
      <c r="AE534" s="6">
        <v>0</v>
      </c>
      <c r="AF534" s="6">
        <v>0</v>
      </c>
      <c r="AG534" s="6">
        <v>0</v>
      </c>
      <c r="AH534" s="6">
        <v>0</v>
      </c>
      <c r="AI534" s="6">
        <v>0</v>
      </c>
      <c r="AJ534" s="6">
        <v>1418630.4928175299</v>
      </c>
      <c r="AK534" s="6">
        <v>20228.170475290801</v>
      </c>
      <c r="AL534" s="6">
        <v>330.98244656580999</v>
      </c>
      <c r="AM534" s="6">
        <v>93035.839999999997</v>
      </c>
      <c r="AN534" s="6">
        <v>4803.6566441057603</v>
      </c>
      <c r="AO534" s="6">
        <v>20228.170475290801</v>
      </c>
      <c r="AP534" s="6">
        <v>330.98244656580999</v>
      </c>
      <c r="AQ534" s="6">
        <v>93035.839999999997</v>
      </c>
      <c r="AR534" s="6">
        <v>13897.6533213599</v>
      </c>
      <c r="AS534" s="6">
        <v>20228.170475290801</v>
      </c>
      <c r="AT534" s="6">
        <v>0</v>
      </c>
      <c r="AU534" t="s">
        <v>2973</v>
      </c>
      <c r="AV534" t="s">
        <v>2973</v>
      </c>
    </row>
    <row r="535" spans="1:48" x14ac:dyDescent="0.45">
      <c r="A535" s="5" t="s">
        <v>1091</v>
      </c>
      <c r="B535">
        <v>2024</v>
      </c>
      <c r="C535" t="s">
        <v>1089</v>
      </c>
      <c r="D535">
        <v>2024</v>
      </c>
      <c r="E535" t="s">
        <v>1089</v>
      </c>
      <c r="F535" t="s">
        <v>1</v>
      </c>
      <c r="G535" t="s">
        <v>1</v>
      </c>
      <c r="H535" t="s">
        <v>2743</v>
      </c>
      <c r="I535" t="s">
        <v>2742</v>
      </c>
      <c r="J535">
        <v>44.589499779587001</v>
      </c>
      <c r="K535">
        <v>4</v>
      </c>
      <c r="L535">
        <v>1</v>
      </c>
      <c r="M535">
        <v>2</v>
      </c>
      <c r="N535" s="6">
        <v>46350.428038502701</v>
      </c>
      <c r="O535" s="6">
        <v>45823.298018550398</v>
      </c>
      <c r="P535" s="6">
        <v>73220.486546611399</v>
      </c>
      <c r="Q535" s="6">
        <v>27307.015408836</v>
      </c>
      <c r="R535" s="6">
        <v>12459.1825890733</v>
      </c>
      <c r="S535" s="6">
        <v>9032.2362719917091</v>
      </c>
      <c r="T535" s="6">
        <v>0</v>
      </c>
      <c r="U535" s="6">
        <v>205160.410601574</v>
      </c>
      <c r="V535" s="6">
        <v>135180.16387701401</v>
      </c>
      <c r="W535" s="6">
        <v>69980.246724559707</v>
      </c>
      <c r="X535" s="6">
        <v>0</v>
      </c>
      <c r="Y535" s="6">
        <v>0</v>
      </c>
      <c r="Z535" s="6">
        <v>0</v>
      </c>
      <c r="AA535" s="6">
        <v>0</v>
      </c>
      <c r="AB535" s="6">
        <v>0</v>
      </c>
      <c r="AC535" s="6">
        <v>9032.2362719917091</v>
      </c>
      <c r="AD535" s="6">
        <v>0</v>
      </c>
      <c r="AE535" s="6">
        <v>0</v>
      </c>
      <c r="AF535" s="6">
        <v>0</v>
      </c>
      <c r="AG535" s="6">
        <v>0</v>
      </c>
      <c r="AH535" s="6">
        <v>0</v>
      </c>
      <c r="AI535" s="6">
        <v>0</v>
      </c>
      <c r="AJ535" s="6">
        <v>214192.64687356501</v>
      </c>
      <c r="AK535" s="6">
        <v>4803.6566441057603</v>
      </c>
      <c r="AL535" s="6">
        <v>330.98244656580999</v>
      </c>
      <c r="AM535" s="6">
        <v>93035.839999999997</v>
      </c>
      <c r="AN535" s="6">
        <v>4803.6566441057603</v>
      </c>
      <c r="AO535" s="6">
        <v>20228.170475290801</v>
      </c>
      <c r="AP535" s="6">
        <v>634.54287297753501</v>
      </c>
      <c r="AQ535" s="6">
        <v>40331.279999999999</v>
      </c>
      <c r="AR535" s="6">
        <v>4803.6566441057603</v>
      </c>
      <c r="AS535" s="6">
        <v>4803.6566441057603</v>
      </c>
      <c r="AT535" s="6">
        <v>0</v>
      </c>
      <c r="AU535" t="s">
        <v>2973</v>
      </c>
      <c r="AV535" t="s">
        <v>2977</v>
      </c>
    </row>
    <row r="536" spans="1:48" x14ac:dyDescent="0.45">
      <c r="A536" s="5" t="s">
        <v>1092</v>
      </c>
      <c r="B536">
        <v>2024</v>
      </c>
      <c r="C536" t="s">
        <v>1089</v>
      </c>
      <c r="D536">
        <v>361</v>
      </c>
      <c r="E536" t="s">
        <v>1093</v>
      </c>
      <c r="F536" t="s">
        <v>2739</v>
      </c>
      <c r="G536" t="s">
        <v>2747</v>
      </c>
      <c r="H536" t="s">
        <v>2745</v>
      </c>
      <c r="I536" t="s">
        <v>2742</v>
      </c>
      <c r="J536">
        <v>574.49228337914099</v>
      </c>
      <c r="K536">
        <v>1</v>
      </c>
      <c r="L536">
        <v>1</v>
      </c>
      <c r="M536">
        <v>2</v>
      </c>
      <c r="N536" s="6">
        <v>4063852.91920231</v>
      </c>
      <c r="O536" s="6">
        <v>1346506.1522147399</v>
      </c>
      <c r="P536" s="6">
        <v>1300093.94700067</v>
      </c>
      <c r="Q536" s="6">
        <v>351930.15195535298</v>
      </c>
      <c r="R536" s="6">
        <v>160524.434900953</v>
      </c>
      <c r="S536" s="6">
        <v>116371.56876767499</v>
      </c>
      <c r="T536" s="6">
        <v>4579615.5</v>
      </c>
      <c r="U536" s="6">
        <v>2643292.10527403</v>
      </c>
      <c r="V536" s="6">
        <v>6228321.3930330696</v>
      </c>
      <c r="W536" s="6">
        <v>994586.21224096196</v>
      </c>
      <c r="X536" s="6">
        <v>0</v>
      </c>
      <c r="Y536" s="6">
        <v>0</v>
      </c>
      <c r="Z536" s="6">
        <v>0</v>
      </c>
      <c r="AA536" s="6">
        <v>0</v>
      </c>
      <c r="AB536" s="6">
        <v>0</v>
      </c>
      <c r="AC536" s="6">
        <v>116371.56876767499</v>
      </c>
      <c r="AD536" s="6">
        <v>0</v>
      </c>
      <c r="AE536" s="6">
        <v>0</v>
      </c>
      <c r="AF536" s="6">
        <v>0</v>
      </c>
      <c r="AG536" s="6">
        <v>0</v>
      </c>
      <c r="AH536" s="6">
        <v>0</v>
      </c>
      <c r="AI536" s="6">
        <v>0</v>
      </c>
      <c r="AJ536" s="6">
        <v>7339279.1740416996</v>
      </c>
      <c r="AK536" s="6">
        <v>12775.244135347401</v>
      </c>
      <c r="AL536" s="6">
        <v>330.98244656580999</v>
      </c>
      <c r="AM536" s="6">
        <v>93035.839999999997</v>
      </c>
      <c r="AN536" s="6">
        <v>4803.6566441057603</v>
      </c>
      <c r="AO536" s="6">
        <v>20228.170475290801</v>
      </c>
      <c r="AP536" s="6">
        <v>3753.1860850462999</v>
      </c>
      <c r="AQ536" s="6">
        <v>20687.885194392002</v>
      </c>
      <c r="AR536" s="6">
        <v>12775.244135347401</v>
      </c>
      <c r="AS536" s="6">
        <v>16479.523521092298</v>
      </c>
      <c r="AT536" s="6">
        <v>0</v>
      </c>
      <c r="AU536" t="s">
        <v>2973</v>
      </c>
      <c r="AV536" t="s">
        <v>2973</v>
      </c>
    </row>
    <row r="537" spans="1:48" x14ac:dyDescent="0.45">
      <c r="A537" s="5" t="s">
        <v>1094</v>
      </c>
      <c r="B537">
        <v>2024</v>
      </c>
      <c r="C537" t="s">
        <v>1089</v>
      </c>
      <c r="D537">
        <v>369</v>
      </c>
      <c r="E537" t="s">
        <v>1095</v>
      </c>
      <c r="F537" t="s">
        <v>2739</v>
      </c>
      <c r="G537" t="s">
        <v>2744</v>
      </c>
      <c r="H537" t="s">
        <v>2745</v>
      </c>
      <c r="I537" t="s">
        <v>2742</v>
      </c>
      <c r="J537">
        <v>1325.4619716110701</v>
      </c>
      <c r="K537">
        <v>1</v>
      </c>
      <c r="L537">
        <v>1</v>
      </c>
      <c r="M537">
        <v>2</v>
      </c>
      <c r="N537" s="6">
        <v>10342862.8678756</v>
      </c>
      <c r="O537" s="6">
        <v>4663533.8459088402</v>
      </c>
      <c r="P537" s="6">
        <v>3478317.8434359301</v>
      </c>
      <c r="Q537" s="6">
        <v>822412.83250528097</v>
      </c>
      <c r="R537" s="6">
        <v>393548.20515968098</v>
      </c>
      <c r="S537" s="6">
        <v>268491.14155373001</v>
      </c>
      <c r="T537" s="6">
        <v>13602102.529999999</v>
      </c>
      <c r="U537" s="6">
        <v>6098573.0648852801</v>
      </c>
      <c r="V537" s="6">
        <v>15516087.900808901</v>
      </c>
      <c r="W537" s="6">
        <v>4184587.6940763402</v>
      </c>
      <c r="X537" s="6">
        <v>0</v>
      </c>
      <c r="Y537" s="6">
        <v>0</v>
      </c>
      <c r="Z537" s="6">
        <v>0</v>
      </c>
      <c r="AA537" s="6">
        <v>0</v>
      </c>
      <c r="AB537" s="6">
        <v>0</v>
      </c>
      <c r="AC537" s="6">
        <v>268491.14155373001</v>
      </c>
      <c r="AD537" s="6">
        <v>0</v>
      </c>
      <c r="AE537" s="6">
        <v>0</v>
      </c>
      <c r="AF537" s="6">
        <v>0</v>
      </c>
      <c r="AG537" s="6">
        <v>0</v>
      </c>
      <c r="AH537" s="6">
        <v>0</v>
      </c>
      <c r="AI537" s="6">
        <v>0</v>
      </c>
      <c r="AJ537" s="6">
        <v>19969166.736439001</v>
      </c>
      <c r="AK537" s="6">
        <v>15065.816420343601</v>
      </c>
      <c r="AL537" s="6">
        <v>330.98244656580999</v>
      </c>
      <c r="AM537" s="6">
        <v>93035.839999999997</v>
      </c>
      <c r="AN537" s="6">
        <v>4803.6566441057603</v>
      </c>
      <c r="AO537" s="6">
        <v>20228.170475290801</v>
      </c>
      <c r="AP537" s="6">
        <v>330.98244656580999</v>
      </c>
      <c r="AQ537" s="6">
        <v>40734.411818744898</v>
      </c>
      <c r="AR537" s="6">
        <v>15065.816420343601</v>
      </c>
      <c r="AS537" s="6">
        <v>15065.816420343601</v>
      </c>
      <c r="AT537" s="6">
        <v>0</v>
      </c>
      <c r="AU537" t="s">
        <v>2973</v>
      </c>
      <c r="AV537" t="s">
        <v>2973</v>
      </c>
    </row>
    <row r="538" spans="1:48" x14ac:dyDescent="0.45">
      <c r="A538" s="5" t="s">
        <v>1096</v>
      </c>
      <c r="B538">
        <v>2024</v>
      </c>
      <c r="C538" t="s">
        <v>1089</v>
      </c>
      <c r="D538">
        <v>362</v>
      </c>
      <c r="E538" t="s">
        <v>1097</v>
      </c>
      <c r="F538" t="s">
        <v>2739</v>
      </c>
      <c r="G538" t="s">
        <v>2740</v>
      </c>
      <c r="H538" t="s">
        <v>2741</v>
      </c>
      <c r="I538" t="s">
        <v>2742</v>
      </c>
      <c r="J538">
        <v>409.741379310311</v>
      </c>
      <c r="K538">
        <v>2</v>
      </c>
      <c r="L538">
        <v>1</v>
      </c>
      <c r="M538">
        <v>2</v>
      </c>
      <c r="N538" s="6">
        <v>3328866.78341422</v>
      </c>
      <c r="O538" s="6">
        <v>1061775.48557911</v>
      </c>
      <c r="P538" s="6">
        <v>1096252.1426386801</v>
      </c>
      <c r="Q538" s="6">
        <v>250929.349146603</v>
      </c>
      <c r="R538" s="6">
        <v>114489.794331871</v>
      </c>
      <c r="S538" s="6">
        <v>82998.933978549801</v>
      </c>
      <c r="T538" s="6">
        <v>3967055.59</v>
      </c>
      <c r="U538" s="6">
        <v>1885257.9651104801</v>
      </c>
      <c r="V538" s="6">
        <v>4964330.0813938901</v>
      </c>
      <c r="W538" s="6">
        <v>887983.47371659603</v>
      </c>
      <c r="X538" s="6">
        <v>0</v>
      </c>
      <c r="Y538" s="6">
        <v>0</v>
      </c>
      <c r="Z538" s="6">
        <v>0</v>
      </c>
      <c r="AA538" s="6">
        <v>0</v>
      </c>
      <c r="AB538" s="6">
        <v>0</v>
      </c>
      <c r="AC538" s="6">
        <v>82998.933978549801</v>
      </c>
      <c r="AD538" s="6">
        <v>0</v>
      </c>
      <c r="AE538" s="6">
        <v>0</v>
      </c>
      <c r="AF538" s="6">
        <v>0</v>
      </c>
      <c r="AG538" s="6">
        <v>0</v>
      </c>
      <c r="AH538" s="6">
        <v>0</v>
      </c>
      <c r="AI538" s="6">
        <v>0</v>
      </c>
      <c r="AJ538" s="6">
        <v>5935312.4890890401</v>
      </c>
      <c r="AK538" s="6">
        <v>14485.5091254868</v>
      </c>
      <c r="AL538" s="6">
        <v>330.98244656580999</v>
      </c>
      <c r="AM538" s="6">
        <v>93035.839999999997</v>
      </c>
      <c r="AN538" s="6">
        <v>4803.6566441057603</v>
      </c>
      <c r="AO538" s="6">
        <v>20228.170475290801</v>
      </c>
      <c r="AP538" s="6">
        <v>330.98244656580999</v>
      </c>
      <c r="AQ538" s="6">
        <v>93035.839999999997</v>
      </c>
      <c r="AR538" s="6">
        <v>13897.6533213599</v>
      </c>
      <c r="AS538" s="6">
        <v>20228.170475290801</v>
      </c>
      <c r="AT538" s="6">
        <v>0</v>
      </c>
      <c r="AU538" t="s">
        <v>2973</v>
      </c>
      <c r="AV538" t="s">
        <v>2973</v>
      </c>
    </row>
    <row r="539" spans="1:48" x14ac:dyDescent="0.45">
      <c r="A539" s="5" t="s">
        <v>1098</v>
      </c>
      <c r="B539">
        <v>2024</v>
      </c>
      <c r="C539" t="s">
        <v>1089</v>
      </c>
      <c r="D539">
        <v>363</v>
      </c>
      <c r="E539" t="s">
        <v>1099</v>
      </c>
      <c r="F539" t="s">
        <v>2739</v>
      </c>
      <c r="G539" t="s">
        <v>2740</v>
      </c>
      <c r="H539" t="s">
        <v>2741</v>
      </c>
      <c r="I539" t="s">
        <v>2742</v>
      </c>
      <c r="J539">
        <v>484.19210180608002</v>
      </c>
      <c r="K539">
        <v>6</v>
      </c>
      <c r="L539">
        <v>1</v>
      </c>
      <c r="M539">
        <v>2</v>
      </c>
      <c r="N539" s="6">
        <v>4053175.0933980201</v>
      </c>
      <c r="O539" s="6">
        <v>1085208.77088695</v>
      </c>
      <c r="P539" s="6">
        <v>1345510.46918852</v>
      </c>
      <c r="Q539" s="6">
        <v>296523.64907013898</v>
      </c>
      <c r="R539" s="6">
        <v>135292.78943270101</v>
      </c>
      <c r="S539" s="6">
        <v>98079.984887986706</v>
      </c>
      <c r="T539" s="6">
        <v>4687898.1500000004</v>
      </c>
      <c r="U539" s="6">
        <v>2227812.6219763202</v>
      </c>
      <c r="V539" s="6">
        <v>5628584.3135960801</v>
      </c>
      <c r="W539" s="6">
        <v>1287126.45838025</v>
      </c>
      <c r="X539" s="6">
        <v>0</v>
      </c>
      <c r="Y539" s="6">
        <v>0</v>
      </c>
      <c r="Z539" s="6">
        <v>0</v>
      </c>
      <c r="AA539" s="6">
        <v>0</v>
      </c>
      <c r="AB539" s="6">
        <v>0</v>
      </c>
      <c r="AC539" s="6">
        <v>98079.984887986706</v>
      </c>
      <c r="AD539" s="6">
        <v>0</v>
      </c>
      <c r="AE539" s="6">
        <v>0</v>
      </c>
      <c r="AF539" s="6">
        <v>0</v>
      </c>
      <c r="AG539" s="6">
        <v>0</v>
      </c>
      <c r="AH539" s="6">
        <v>0</v>
      </c>
      <c r="AI539" s="6">
        <v>0</v>
      </c>
      <c r="AJ539" s="6">
        <v>7013790.7568643</v>
      </c>
      <c r="AK539" s="6">
        <v>14485.5538343196</v>
      </c>
      <c r="AL539" s="6">
        <v>330.98244656580999</v>
      </c>
      <c r="AM539" s="6">
        <v>93035.839999999997</v>
      </c>
      <c r="AN539" s="6">
        <v>4803.6566441057603</v>
      </c>
      <c r="AO539" s="6">
        <v>20228.170475290801</v>
      </c>
      <c r="AP539" s="6">
        <v>330.98244656580999</v>
      </c>
      <c r="AQ539" s="6">
        <v>93035.839999999997</v>
      </c>
      <c r="AR539" s="6">
        <v>13897.6533213599</v>
      </c>
      <c r="AS539" s="6">
        <v>20228.170475290801</v>
      </c>
      <c r="AT539" s="6">
        <v>0</v>
      </c>
      <c r="AU539" t="s">
        <v>2973</v>
      </c>
      <c r="AV539" t="s">
        <v>2973</v>
      </c>
    </row>
    <row r="540" spans="1:48" x14ac:dyDescent="0.45">
      <c r="A540" s="5" t="s">
        <v>1100</v>
      </c>
      <c r="B540">
        <v>2024</v>
      </c>
      <c r="C540" t="s">
        <v>1089</v>
      </c>
      <c r="D540">
        <v>364</v>
      </c>
      <c r="E540" t="s">
        <v>1101</v>
      </c>
      <c r="F540" t="s">
        <v>2739</v>
      </c>
      <c r="G540" t="s">
        <v>2740</v>
      </c>
      <c r="H540" t="s">
        <v>2741</v>
      </c>
      <c r="I540" t="s">
        <v>2742</v>
      </c>
      <c r="J540">
        <v>202.79310344824299</v>
      </c>
      <c r="K540">
        <v>4</v>
      </c>
      <c r="L540">
        <v>1</v>
      </c>
      <c r="M540">
        <v>2</v>
      </c>
      <c r="N540" s="6">
        <v>1986458.2774781301</v>
      </c>
      <c r="O540" s="6">
        <v>509706.34945638798</v>
      </c>
      <c r="P540" s="6">
        <v>667116.53879594302</v>
      </c>
      <c r="Q540" s="6">
        <v>124192.341875115</v>
      </c>
      <c r="R540" s="6">
        <v>56664.3787473747</v>
      </c>
      <c r="S540" s="6">
        <v>41078.622405033697</v>
      </c>
      <c r="T540" s="6">
        <v>2411068.0699999998</v>
      </c>
      <c r="U540" s="6">
        <v>933069.81635294599</v>
      </c>
      <c r="V540" s="6">
        <v>2857621.6425152002</v>
      </c>
      <c r="W540" s="6">
        <v>486516.243837744</v>
      </c>
      <c r="X540" s="6">
        <v>0</v>
      </c>
      <c r="Y540" s="6">
        <v>0</v>
      </c>
      <c r="Z540" s="6">
        <v>0</v>
      </c>
      <c r="AA540" s="6">
        <v>0</v>
      </c>
      <c r="AB540" s="6">
        <v>0</v>
      </c>
      <c r="AC540" s="6">
        <v>41078.622405033697</v>
      </c>
      <c r="AD540" s="6">
        <v>0</v>
      </c>
      <c r="AE540" s="6">
        <v>0</v>
      </c>
      <c r="AF540" s="6">
        <v>0</v>
      </c>
      <c r="AG540" s="6">
        <v>0</v>
      </c>
      <c r="AH540" s="6">
        <v>0</v>
      </c>
      <c r="AI540" s="6">
        <v>0</v>
      </c>
      <c r="AJ540" s="6">
        <v>3385216.5087579801</v>
      </c>
      <c r="AK540" s="6">
        <v>16692.956768236199</v>
      </c>
      <c r="AL540" s="6">
        <v>330.98244656580999</v>
      </c>
      <c r="AM540" s="6">
        <v>93035.839999999997</v>
      </c>
      <c r="AN540" s="6">
        <v>4803.6566441057603</v>
      </c>
      <c r="AO540" s="6">
        <v>20228.170475290801</v>
      </c>
      <c r="AP540" s="6">
        <v>330.98244656580999</v>
      </c>
      <c r="AQ540" s="6">
        <v>93035.839999999997</v>
      </c>
      <c r="AR540" s="6">
        <v>13897.6533213599</v>
      </c>
      <c r="AS540" s="6">
        <v>20228.170475290801</v>
      </c>
      <c r="AT540" s="6">
        <v>0</v>
      </c>
      <c r="AU540" t="s">
        <v>2973</v>
      </c>
      <c r="AV540" t="s">
        <v>2973</v>
      </c>
    </row>
    <row r="541" spans="1:48" x14ac:dyDescent="0.45">
      <c r="A541" s="5" t="s">
        <v>1102</v>
      </c>
      <c r="B541">
        <v>2024</v>
      </c>
      <c r="C541" t="s">
        <v>1089</v>
      </c>
      <c r="D541">
        <v>366</v>
      </c>
      <c r="E541" t="s">
        <v>1103</v>
      </c>
      <c r="F541" t="s">
        <v>2739</v>
      </c>
      <c r="G541" t="s">
        <v>2740</v>
      </c>
      <c r="H541" t="s">
        <v>2741</v>
      </c>
      <c r="I541" t="s">
        <v>2742</v>
      </c>
      <c r="J541">
        <v>528.40229885051099</v>
      </c>
      <c r="K541">
        <v>2</v>
      </c>
      <c r="L541">
        <v>1</v>
      </c>
      <c r="M541">
        <v>2</v>
      </c>
      <c r="N541" s="6">
        <v>3984759.9392800098</v>
      </c>
      <c r="O541" s="6">
        <v>1217345.37080599</v>
      </c>
      <c r="P541" s="6">
        <v>1563166.90212713</v>
      </c>
      <c r="Q541" s="6">
        <v>323598.37603248598</v>
      </c>
      <c r="R541" s="6">
        <v>147645.987382853</v>
      </c>
      <c r="S541" s="6">
        <v>107035.388005548</v>
      </c>
      <c r="T541" s="6">
        <v>4805288.75</v>
      </c>
      <c r="U541" s="6">
        <v>2431227.8256284702</v>
      </c>
      <c r="V541" s="6">
        <v>5816397.4708749903</v>
      </c>
      <c r="W541" s="6">
        <v>1420119.1047534801</v>
      </c>
      <c r="X541" s="6">
        <v>0</v>
      </c>
      <c r="Y541" s="6">
        <v>0</v>
      </c>
      <c r="Z541" s="6">
        <v>0</v>
      </c>
      <c r="AA541" s="6">
        <v>0</v>
      </c>
      <c r="AB541" s="6">
        <v>0</v>
      </c>
      <c r="AC541" s="6">
        <v>107035.388005548</v>
      </c>
      <c r="AD541" s="6">
        <v>0</v>
      </c>
      <c r="AE541" s="6">
        <v>0</v>
      </c>
      <c r="AF541" s="6">
        <v>0</v>
      </c>
      <c r="AG541" s="6">
        <v>0</v>
      </c>
      <c r="AH541" s="6">
        <v>0</v>
      </c>
      <c r="AI541" s="6">
        <v>0</v>
      </c>
      <c r="AJ541" s="6">
        <v>7343551.9636340197</v>
      </c>
      <c r="AK541" s="6">
        <v>13897.6533213599</v>
      </c>
      <c r="AL541" s="6">
        <v>330.98244656580999</v>
      </c>
      <c r="AM541" s="6">
        <v>93035.839999999997</v>
      </c>
      <c r="AN541" s="6">
        <v>4803.6566441057603</v>
      </c>
      <c r="AO541" s="6">
        <v>20228.170475290801</v>
      </c>
      <c r="AP541" s="6">
        <v>330.98244656580999</v>
      </c>
      <c r="AQ541" s="6">
        <v>93035.839999999997</v>
      </c>
      <c r="AR541" s="6">
        <v>13897.6533213599</v>
      </c>
      <c r="AS541" s="6">
        <v>20228.170475290801</v>
      </c>
      <c r="AT541" s="6">
        <v>0</v>
      </c>
      <c r="AU541" t="s">
        <v>2973</v>
      </c>
      <c r="AV541" t="s">
        <v>2973</v>
      </c>
    </row>
    <row r="542" spans="1:48" x14ac:dyDescent="0.45">
      <c r="A542" s="5" t="s">
        <v>1104</v>
      </c>
      <c r="B542">
        <v>2024</v>
      </c>
      <c r="C542" t="s">
        <v>1089</v>
      </c>
      <c r="D542">
        <v>367</v>
      </c>
      <c r="E542" t="s">
        <v>1105</v>
      </c>
      <c r="F542" t="s">
        <v>2739</v>
      </c>
      <c r="G542" t="s">
        <v>2747</v>
      </c>
      <c r="H542" t="s">
        <v>2745</v>
      </c>
      <c r="I542" t="s">
        <v>2742</v>
      </c>
      <c r="J542">
        <v>381.64200885014498</v>
      </c>
      <c r="K542">
        <v>3</v>
      </c>
      <c r="L542">
        <v>1</v>
      </c>
      <c r="M542">
        <v>2</v>
      </c>
      <c r="N542" s="6">
        <v>3517230.34278371</v>
      </c>
      <c r="O542" s="6">
        <v>1119584.2612656499</v>
      </c>
      <c r="P542" s="6">
        <v>1234797.5329498099</v>
      </c>
      <c r="Q542" s="6">
        <v>233721.038985527</v>
      </c>
      <c r="R542" s="6">
        <v>106638.27796743999</v>
      </c>
      <c r="S542" s="6">
        <v>77307.007530730902</v>
      </c>
      <c r="T542" s="6">
        <v>4456001.29</v>
      </c>
      <c r="U542" s="6">
        <v>1755970.1639521399</v>
      </c>
      <c r="V542" s="6">
        <v>5287396.3285372099</v>
      </c>
      <c r="W542" s="6">
        <v>924575.12541492202</v>
      </c>
      <c r="X542" s="6">
        <v>0</v>
      </c>
      <c r="Y542" s="6">
        <v>0</v>
      </c>
      <c r="Z542" s="6">
        <v>0</v>
      </c>
      <c r="AA542" s="6">
        <v>0</v>
      </c>
      <c r="AB542" s="6">
        <v>0</v>
      </c>
      <c r="AC542" s="6">
        <v>77307.007530730902</v>
      </c>
      <c r="AD542" s="6">
        <v>0</v>
      </c>
      <c r="AE542" s="6">
        <v>0</v>
      </c>
      <c r="AF542" s="6">
        <v>0</v>
      </c>
      <c r="AG542" s="6">
        <v>0</v>
      </c>
      <c r="AH542" s="6">
        <v>0</v>
      </c>
      <c r="AI542" s="6">
        <v>0</v>
      </c>
      <c r="AJ542" s="6">
        <v>6289278.4614828601</v>
      </c>
      <c r="AK542" s="6">
        <v>16479.523521092298</v>
      </c>
      <c r="AL542" s="6">
        <v>330.98244656580999</v>
      </c>
      <c r="AM542" s="6">
        <v>93035.839999999997</v>
      </c>
      <c r="AN542" s="6">
        <v>4803.6566441057603</v>
      </c>
      <c r="AO542" s="6">
        <v>20228.170475290801</v>
      </c>
      <c r="AP542" s="6">
        <v>3753.1860850462999</v>
      </c>
      <c r="AQ542" s="6">
        <v>20687.885194392002</v>
      </c>
      <c r="AR542" s="6">
        <v>12775.244135347401</v>
      </c>
      <c r="AS542" s="6">
        <v>16479.523521092298</v>
      </c>
      <c r="AT542" s="6">
        <v>0</v>
      </c>
      <c r="AU542" t="s">
        <v>2973</v>
      </c>
      <c r="AV542" t="s">
        <v>2973</v>
      </c>
    </row>
    <row r="543" spans="1:48" x14ac:dyDescent="0.45">
      <c r="A543" s="5" t="s">
        <v>1106</v>
      </c>
      <c r="B543">
        <v>1895</v>
      </c>
      <c r="C543" t="s">
        <v>1107</v>
      </c>
      <c r="D543">
        <v>3351</v>
      </c>
      <c r="E543" t="s">
        <v>1108</v>
      </c>
      <c r="F543" t="s">
        <v>3</v>
      </c>
      <c r="G543" t="s">
        <v>2748</v>
      </c>
      <c r="H543" t="s">
        <v>2745</v>
      </c>
      <c r="I543" t="s">
        <v>2742</v>
      </c>
      <c r="J543">
        <v>100.76769626767801</v>
      </c>
      <c r="K543">
        <v>1</v>
      </c>
      <c r="L543">
        <v>1</v>
      </c>
      <c r="M543">
        <v>2</v>
      </c>
      <c r="N543" s="6">
        <v>794762.25</v>
      </c>
      <c r="O543" s="6">
        <v>268797.36</v>
      </c>
      <c r="P543" s="6">
        <v>550433.4</v>
      </c>
      <c r="Q543" s="6">
        <v>210666.06</v>
      </c>
      <c r="R543" s="6">
        <v>132327.59</v>
      </c>
      <c r="S543" s="6">
        <v>102943.95</v>
      </c>
      <c r="T543" s="6">
        <v>0</v>
      </c>
      <c r="U543" s="6">
        <v>1956986.66</v>
      </c>
      <c r="V543" s="6">
        <v>1696175.76</v>
      </c>
      <c r="W543" s="6">
        <v>260760.55</v>
      </c>
      <c r="X543" s="6">
        <v>0</v>
      </c>
      <c r="Y543" s="6">
        <v>0</v>
      </c>
      <c r="Z543" s="6">
        <v>0</v>
      </c>
      <c r="AA543" s="6">
        <v>50.35</v>
      </c>
      <c r="AB543" s="6">
        <v>0</v>
      </c>
      <c r="AC543" s="6">
        <v>67973.95</v>
      </c>
      <c r="AD543" s="6">
        <v>34970</v>
      </c>
      <c r="AE543" s="6">
        <v>0</v>
      </c>
      <c r="AF543" s="6">
        <v>0</v>
      </c>
      <c r="AG543" s="6">
        <v>0</v>
      </c>
      <c r="AH543" s="6">
        <v>0</v>
      </c>
      <c r="AI543" s="6">
        <v>0</v>
      </c>
      <c r="AJ543" s="6">
        <v>2059930.61</v>
      </c>
      <c r="AK543" s="6">
        <v>20442.370782477999</v>
      </c>
      <c r="AL543" s="6">
        <v>330.98244656580999</v>
      </c>
      <c r="AM543" s="6">
        <v>93035.839999999997</v>
      </c>
      <c r="AN543" s="6">
        <v>20442.370782477999</v>
      </c>
      <c r="AO543" s="6">
        <v>20442.370782477999</v>
      </c>
      <c r="AP543" s="6">
        <v>330.98244656580999</v>
      </c>
      <c r="AQ543" s="6">
        <v>56162.493707719797</v>
      </c>
      <c r="AR543" s="6">
        <v>20442.370782477999</v>
      </c>
      <c r="AS543" s="6">
        <v>20442.370782477999</v>
      </c>
      <c r="AT543" s="6">
        <v>0</v>
      </c>
      <c r="AU543" t="s">
        <v>2973</v>
      </c>
      <c r="AV543" t="s">
        <v>2976</v>
      </c>
    </row>
    <row r="544" spans="1:48" x14ac:dyDescent="0.45">
      <c r="A544" s="5" t="s">
        <v>1109</v>
      </c>
      <c r="B544">
        <v>2215</v>
      </c>
      <c r="C544" t="s">
        <v>1110</v>
      </c>
      <c r="D544">
        <v>1079</v>
      </c>
      <c r="E544" t="s">
        <v>1111</v>
      </c>
      <c r="F544" t="s">
        <v>3</v>
      </c>
      <c r="G544" t="s">
        <v>2748</v>
      </c>
      <c r="H544" t="s">
        <v>2741</v>
      </c>
      <c r="I544" t="s">
        <v>2742</v>
      </c>
      <c r="J544">
        <v>291.23371944711698</v>
      </c>
      <c r="K544">
        <v>1</v>
      </c>
      <c r="L544">
        <v>1</v>
      </c>
      <c r="M544">
        <v>1</v>
      </c>
      <c r="N544" s="6">
        <v>2359686.66</v>
      </c>
      <c r="O544" s="6">
        <v>874591.6</v>
      </c>
      <c r="P544" s="6">
        <v>1067012.71</v>
      </c>
      <c r="Q544" s="6">
        <v>302127.77</v>
      </c>
      <c r="R544" s="6">
        <v>1756009.05</v>
      </c>
      <c r="S544" s="6">
        <v>137243.82</v>
      </c>
      <c r="T544" s="6">
        <v>0</v>
      </c>
      <c r="U544" s="6">
        <v>6359427.79</v>
      </c>
      <c r="V544" s="6">
        <v>4419994.9000000004</v>
      </c>
      <c r="W544" s="6">
        <v>1939432.89</v>
      </c>
      <c r="X544" s="6">
        <v>0</v>
      </c>
      <c r="Y544" s="6">
        <v>0</v>
      </c>
      <c r="Z544" s="6">
        <v>0</v>
      </c>
      <c r="AA544" s="6">
        <v>0</v>
      </c>
      <c r="AB544" s="6">
        <v>0</v>
      </c>
      <c r="AC544" s="6">
        <v>137086.72</v>
      </c>
      <c r="AD544" s="6">
        <v>157.1</v>
      </c>
      <c r="AE544" s="6">
        <v>0</v>
      </c>
      <c r="AF544" s="6">
        <v>0</v>
      </c>
      <c r="AG544" s="6">
        <v>0</v>
      </c>
      <c r="AH544" s="6">
        <v>0</v>
      </c>
      <c r="AI544" s="6">
        <v>0</v>
      </c>
      <c r="AJ544" s="6">
        <v>6496671.6100000003</v>
      </c>
      <c r="AK544" s="6">
        <v>22307.415577885</v>
      </c>
      <c r="AL544" s="6">
        <v>330.98244656580999</v>
      </c>
      <c r="AM544" s="6">
        <v>93035.839999999997</v>
      </c>
      <c r="AN544" s="6">
        <v>22307.415577885</v>
      </c>
      <c r="AO544" s="6">
        <v>22307.415577885</v>
      </c>
      <c r="AP544" s="6">
        <v>330.98244656580999</v>
      </c>
      <c r="AQ544" s="6">
        <v>56162.493707719797</v>
      </c>
      <c r="AR544" s="6">
        <v>22307.415577885</v>
      </c>
      <c r="AS544" s="6">
        <v>22307.415577885</v>
      </c>
      <c r="AT544" s="6">
        <v>0</v>
      </c>
      <c r="AU544" t="s">
        <v>2973</v>
      </c>
      <c r="AV544" t="s">
        <v>2976</v>
      </c>
    </row>
    <row r="545" spans="1:48" x14ac:dyDescent="0.45">
      <c r="A545" s="5" t="s">
        <v>1114</v>
      </c>
      <c r="B545">
        <v>3997</v>
      </c>
      <c r="C545" t="s">
        <v>1115</v>
      </c>
      <c r="D545">
        <v>3363</v>
      </c>
      <c r="E545" t="s">
        <v>1116</v>
      </c>
      <c r="F545" t="s">
        <v>3</v>
      </c>
      <c r="G545" t="s">
        <v>2748</v>
      </c>
      <c r="H545" t="s">
        <v>2745</v>
      </c>
      <c r="I545" t="s">
        <v>2742</v>
      </c>
      <c r="J545">
        <v>182.479166666639</v>
      </c>
      <c r="K545">
        <v>2</v>
      </c>
      <c r="L545">
        <v>1</v>
      </c>
      <c r="M545">
        <v>1</v>
      </c>
      <c r="N545" s="6">
        <v>1977386.52</v>
      </c>
      <c r="O545" s="6">
        <v>810041.55</v>
      </c>
      <c r="P545" s="6">
        <v>974545.76</v>
      </c>
      <c r="Q545" s="6">
        <v>80639.25</v>
      </c>
      <c r="R545" s="6">
        <v>127752.7</v>
      </c>
      <c r="S545" s="6">
        <v>88888.43</v>
      </c>
      <c r="T545" s="6">
        <v>59837.03</v>
      </c>
      <c r="U545" s="6">
        <v>3910528.75</v>
      </c>
      <c r="V545" s="6">
        <v>3299123.12</v>
      </c>
      <c r="W545" s="6">
        <v>671242.66</v>
      </c>
      <c r="X545" s="6">
        <v>0</v>
      </c>
      <c r="Y545" s="6">
        <v>0</v>
      </c>
      <c r="Z545" s="6">
        <v>0</v>
      </c>
      <c r="AA545" s="6">
        <v>0</v>
      </c>
      <c r="AB545" s="6">
        <v>0</v>
      </c>
      <c r="AC545" s="6">
        <v>88888.43</v>
      </c>
      <c r="AD545" s="6">
        <v>0</v>
      </c>
      <c r="AE545" s="6">
        <v>0</v>
      </c>
      <c r="AF545" s="6">
        <v>0</v>
      </c>
      <c r="AG545" s="6">
        <v>0</v>
      </c>
      <c r="AH545" s="6">
        <v>0</v>
      </c>
      <c r="AI545" s="6">
        <v>0</v>
      </c>
      <c r="AJ545" s="6">
        <v>4059254.21</v>
      </c>
      <c r="AK545" s="6">
        <v>22245.028208702999</v>
      </c>
      <c r="AL545" s="6">
        <v>330.98244656580999</v>
      </c>
      <c r="AM545" s="6">
        <v>93035.839999999997</v>
      </c>
      <c r="AN545" s="6">
        <v>22245.028208702999</v>
      </c>
      <c r="AO545" s="6">
        <v>22245.028208702999</v>
      </c>
      <c r="AP545" s="6">
        <v>330.98244656580999</v>
      </c>
      <c r="AQ545" s="6">
        <v>56162.493707719797</v>
      </c>
      <c r="AR545" s="6">
        <v>22245.028208702999</v>
      </c>
      <c r="AS545" s="6">
        <v>22245.028208702999</v>
      </c>
      <c r="AT545" s="6">
        <v>0</v>
      </c>
      <c r="AU545" t="s">
        <v>2973</v>
      </c>
      <c r="AV545" t="s">
        <v>2973</v>
      </c>
    </row>
    <row r="546" spans="1:48" x14ac:dyDescent="0.45">
      <c r="A546" s="5" t="s">
        <v>1117</v>
      </c>
      <c r="B546">
        <v>2053</v>
      </c>
      <c r="C546" t="s">
        <v>1118</v>
      </c>
      <c r="D546">
        <v>3458</v>
      </c>
      <c r="E546" t="s">
        <v>1119</v>
      </c>
      <c r="F546" t="s">
        <v>2739</v>
      </c>
      <c r="G546" t="s">
        <v>2740</v>
      </c>
      <c r="H546" t="s">
        <v>2741</v>
      </c>
      <c r="I546" t="s">
        <v>2742</v>
      </c>
      <c r="J546">
        <v>16.094890510948002</v>
      </c>
      <c r="K546">
        <v>1</v>
      </c>
      <c r="L546">
        <v>1</v>
      </c>
      <c r="M546">
        <v>3</v>
      </c>
      <c r="N546" s="6">
        <v>235768.09086936401</v>
      </c>
      <c r="O546" s="6">
        <v>16764.2152162987</v>
      </c>
      <c r="P546" s="6">
        <v>29527.285429349002</v>
      </c>
      <c r="Q546" s="6">
        <v>11075.114991538099</v>
      </c>
      <c r="R546" s="6">
        <v>7204.91441498939</v>
      </c>
      <c r="S546" s="6">
        <v>8063.1116691716998</v>
      </c>
      <c r="T546" s="6">
        <v>235135.62</v>
      </c>
      <c r="U546" s="6">
        <v>65204.000921539402</v>
      </c>
      <c r="V546" s="6">
        <v>284556.008666726</v>
      </c>
      <c r="W546" s="6">
        <v>15783.612254813501</v>
      </c>
      <c r="X546" s="6">
        <v>0</v>
      </c>
      <c r="Y546" s="6">
        <v>0</v>
      </c>
      <c r="Z546" s="6">
        <v>0</v>
      </c>
      <c r="AA546" s="6">
        <v>0</v>
      </c>
      <c r="AB546" s="6">
        <v>0</v>
      </c>
      <c r="AC546" s="6">
        <v>8050.5972507764</v>
      </c>
      <c r="AD546" s="6">
        <v>12.514418395298399</v>
      </c>
      <c r="AE546" s="6">
        <v>0</v>
      </c>
      <c r="AF546" s="6">
        <v>0</v>
      </c>
      <c r="AG546" s="6">
        <v>0</v>
      </c>
      <c r="AH546" s="6">
        <v>0</v>
      </c>
      <c r="AI546" s="6">
        <v>0</v>
      </c>
      <c r="AJ546" s="6">
        <v>308402.73259071098</v>
      </c>
      <c r="AK546" s="6">
        <v>19161.5303242312</v>
      </c>
      <c r="AL546" s="6">
        <v>330.98244656580999</v>
      </c>
      <c r="AM546" s="6">
        <v>93035.839999999997</v>
      </c>
      <c r="AN546" s="6">
        <v>4552.1970181079396</v>
      </c>
      <c r="AO546" s="6">
        <v>19161.5303242312</v>
      </c>
      <c r="AP546" s="6">
        <v>330.98244656580999</v>
      </c>
      <c r="AQ546" s="6">
        <v>93035.839999999997</v>
      </c>
      <c r="AR546" s="6">
        <v>13759.2195960682</v>
      </c>
      <c r="AS546" s="6">
        <v>19161.5303242312</v>
      </c>
      <c r="AT546" s="6">
        <v>0</v>
      </c>
      <c r="AU546" t="s">
        <v>2973</v>
      </c>
      <c r="AV546" t="s">
        <v>2973</v>
      </c>
    </row>
    <row r="547" spans="1:48" x14ac:dyDescent="0.45">
      <c r="A547" s="5" t="s">
        <v>2759</v>
      </c>
      <c r="B547">
        <v>2053</v>
      </c>
      <c r="C547" t="s">
        <v>1118</v>
      </c>
      <c r="D547">
        <v>5359</v>
      </c>
      <c r="E547" t="s">
        <v>2760</v>
      </c>
      <c r="F547" t="s">
        <v>2750</v>
      </c>
      <c r="G547" t="s">
        <v>2744</v>
      </c>
      <c r="H547" t="s">
        <v>2741</v>
      </c>
      <c r="I547" t="s">
        <v>2742</v>
      </c>
      <c r="J547">
        <v>105.73780312497099</v>
      </c>
      <c r="K547">
        <v>2</v>
      </c>
      <c r="L547">
        <v>2</v>
      </c>
      <c r="M547">
        <v>3</v>
      </c>
      <c r="N547" s="6">
        <v>608970.35338703403</v>
      </c>
      <c r="O547" s="6">
        <v>360407.23295587301</v>
      </c>
      <c r="P547" s="6">
        <v>238612.56967967999</v>
      </c>
      <c r="Q547" s="6">
        <v>72759.633112453201</v>
      </c>
      <c r="R547" s="6">
        <v>47333.768528975503</v>
      </c>
      <c r="S547" s="6">
        <v>52971.824422763297</v>
      </c>
      <c r="T547" s="6">
        <v>899716.07</v>
      </c>
      <c r="U547" s="6">
        <v>428367.48766401602</v>
      </c>
      <c r="V547" s="6">
        <v>1179515.8147541699</v>
      </c>
      <c r="W547" s="6">
        <v>148567.74290983999</v>
      </c>
      <c r="X547" s="6">
        <v>0</v>
      </c>
      <c r="Y547" s="6">
        <v>0</v>
      </c>
      <c r="Z547" s="6">
        <v>0</v>
      </c>
      <c r="AA547" s="6">
        <v>0</v>
      </c>
      <c r="AB547" s="6">
        <v>0</v>
      </c>
      <c r="AC547" s="6">
        <v>52889.609069536498</v>
      </c>
      <c r="AD547" s="6">
        <v>82.2153532268822</v>
      </c>
      <c r="AE547" s="6">
        <v>0</v>
      </c>
      <c r="AF547" s="6">
        <v>0</v>
      </c>
      <c r="AG547" s="6">
        <v>0</v>
      </c>
      <c r="AH547" s="6">
        <v>0</v>
      </c>
      <c r="AI547" s="6">
        <v>0</v>
      </c>
      <c r="AJ547" s="6">
        <v>1381055.3820867799</v>
      </c>
      <c r="AK547" s="6">
        <v>13061.1317927091</v>
      </c>
      <c r="AL547" s="6">
        <v>330.98244656580999</v>
      </c>
      <c r="AM547" s="6">
        <v>93035.839999999997</v>
      </c>
      <c r="AN547" s="6">
        <v>4552.1970181079396</v>
      </c>
      <c r="AO547" s="6">
        <v>19161.5303242312</v>
      </c>
      <c r="AP547" s="6">
        <v>330.98244656580999</v>
      </c>
      <c r="AQ547" s="6">
        <v>40734.411818744898</v>
      </c>
      <c r="AR547" s="6">
        <v>13061.1317927091</v>
      </c>
      <c r="AS547" s="6">
        <v>17252.9901440951</v>
      </c>
      <c r="AT547" s="6">
        <v>0</v>
      </c>
      <c r="AU547" t="s">
        <v>2973</v>
      </c>
      <c r="AV547" t="s">
        <v>2973</v>
      </c>
    </row>
    <row r="548" spans="1:48" x14ac:dyDescent="0.45">
      <c r="A548" s="5" t="s">
        <v>1120</v>
      </c>
      <c r="B548">
        <v>2053</v>
      </c>
      <c r="C548" t="s">
        <v>1118</v>
      </c>
      <c r="D548">
        <v>429</v>
      </c>
      <c r="E548" t="s">
        <v>1121</v>
      </c>
      <c r="F548" t="s">
        <v>2739</v>
      </c>
      <c r="G548" t="s">
        <v>2740</v>
      </c>
      <c r="H548" t="s">
        <v>2741</v>
      </c>
      <c r="I548" t="s">
        <v>2742</v>
      </c>
      <c r="J548">
        <v>318.227753347065</v>
      </c>
      <c r="K548">
        <v>2</v>
      </c>
      <c r="L548">
        <v>1</v>
      </c>
      <c r="M548">
        <v>3</v>
      </c>
      <c r="N548" s="6">
        <v>2094806.83417302</v>
      </c>
      <c r="O548" s="6">
        <v>707287.97357170703</v>
      </c>
      <c r="P548" s="6">
        <v>1055614.8372068501</v>
      </c>
      <c r="Q548" s="6">
        <v>218976.88334196599</v>
      </c>
      <c r="R548" s="6">
        <v>142455.37897759301</v>
      </c>
      <c r="S548" s="6">
        <v>159423.632594558</v>
      </c>
      <c r="T548" s="6">
        <v>2929930.11</v>
      </c>
      <c r="U548" s="6">
        <v>1289211.7972711399</v>
      </c>
      <c r="V548" s="6">
        <v>3615023.6191426502</v>
      </c>
      <c r="W548" s="6">
        <v>604118.28812848101</v>
      </c>
      <c r="X548" s="6">
        <v>0</v>
      </c>
      <c r="Y548" s="6">
        <v>0</v>
      </c>
      <c r="Z548" s="6">
        <v>0</v>
      </c>
      <c r="AA548" s="6">
        <v>0</v>
      </c>
      <c r="AB548" s="6">
        <v>0</v>
      </c>
      <c r="AC548" s="6">
        <v>159176.19784204001</v>
      </c>
      <c r="AD548" s="6">
        <v>247.43475251801701</v>
      </c>
      <c r="AE548" s="6">
        <v>0</v>
      </c>
      <c r="AF548" s="6">
        <v>0</v>
      </c>
      <c r="AG548" s="6">
        <v>0</v>
      </c>
      <c r="AH548" s="6">
        <v>0</v>
      </c>
      <c r="AI548" s="6">
        <v>0</v>
      </c>
      <c r="AJ548" s="6">
        <v>4378565.5398656903</v>
      </c>
      <c r="AK548" s="6">
        <v>13759.2195960682</v>
      </c>
      <c r="AL548" s="6">
        <v>330.98244656580999</v>
      </c>
      <c r="AM548" s="6">
        <v>93035.839999999997</v>
      </c>
      <c r="AN548" s="6">
        <v>4552.1970181079396</v>
      </c>
      <c r="AO548" s="6">
        <v>19161.5303242312</v>
      </c>
      <c r="AP548" s="6">
        <v>330.98244656580999</v>
      </c>
      <c r="AQ548" s="6">
        <v>93035.839999999997</v>
      </c>
      <c r="AR548" s="6">
        <v>13759.2195960682</v>
      </c>
      <c r="AS548" s="6">
        <v>19161.5303242312</v>
      </c>
      <c r="AT548" s="6">
        <v>0</v>
      </c>
      <c r="AU548" t="s">
        <v>2973</v>
      </c>
      <c r="AV548" t="s">
        <v>2973</v>
      </c>
    </row>
    <row r="549" spans="1:48" x14ac:dyDescent="0.45">
      <c r="A549" s="5" t="s">
        <v>1122</v>
      </c>
      <c r="B549">
        <v>2053</v>
      </c>
      <c r="C549" t="s">
        <v>1118</v>
      </c>
      <c r="D549">
        <v>1773</v>
      </c>
      <c r="E549" t="s">
        <v>1123</v>
      </c>
      <c r="F549" t="s">
        <v>2739</v>
      </c>
      <c r="G549" t="s">
        <v>2747</v>
      </c>
      <c r="H549" t="s">
        <v>2741</v>
      </c>
      <c r="I549" t="s">
        <v>2742</v>
      </c>
      <c r="J549">
        <v>470.77937839783101</v>
      </c>
      <c r="K549">
        <v>2</v>
      </c>
      <c r="L549">
        <v>1</v>
      </c>
      <c r="M549">
        <v>3</v>
      </c>
      <c r="N549" s="6">
        <v>2856824.1194865</v>
      </c>
      <c r="O549" s="6">
        <v>1368729.5673487899</v>
      </c>
      <c r="P549" s="6">
        <v>1692303.66895884</v>
      </c>
      <c r="Q549" s="6">
        <v>323949.749633539</v>
      </c>
      <c r="R549" s="6">
        <v>210745.46157310199</v>
      </c>
      <c r="S549" s="6">
        <v>235847.935528539</v>
      </c>
      <c r="T549" s="6">
        <v>4545320.0199999996</v>
      </c>
      <c r="U549" s="6">
        <v>1907232.54700077</v>
      </c>
      <c r="V549" s="6">
        <v>5485122.3239307497</v>
      </c>
      <c r="W549" s="6">
        <v>967430.24307003303</v>
      </c>
      <c r="X549" s="6">
        <v>0</v>
      </c>
      <c r="Y549" s="6">
        <v>0</v>
      </c>
      <c r="Z549" s="6">
        <v>0</v>
      </c>
      <c r="AA549" s="6">
        <v>0</v>
      </c>
      <c r="AB549" s="6">
        <v>0</v>
      </c>
      <c r="AC549" s="6">
        <v>235481.88581175799</v>
      </c>
      <c r="AD549" s="6">
        <v>366.04971678070501</v>
      </c>
      <c r="AE549" s="6">
        <v>0</v>
      </c>
      <c r="AF549" s="6">
        <v>0</v>
      </c>
      <c r="AG549" s="6">
        <v>0</v>
      </c>
      <c r="AH549" s="6">
        <v>0</v>
      </c>
      <c r="AI549" s="6">
        <v>0</v>
      </c>
      <c r="AJ549" s="6">
        <v>6688400.5025293203</v>
      </c>
      <c r="AK549" s="6">
        <v>14207.08044879</v>
      </c>
      <c r="AL549" s="6">
        <v>330.98244656580999</v>
      </c>
      <c r="AM549" s="6">
        <v>93035.839999999997</v>
      </c>
      <c r="AN549" s="6">
        <v>4552.1970181079396</v>
      </c>
      <c r="AO549" s="6">
        <v>19161.5303242312</v>
      </c>
      <c r="AP549" s="6">
        <v>3753.1860850462999</v>
      </c>
      <c r="AQ549" s="6">
        <v>20687.885194392002</v>
      </c>
      <c r="AR549" s="6">
        <v>14207.08044879</v>
      </c>
      <c r="AS549" s="6">
        <v>14207.08044879</v>
      </c>
      <c r="AT549" s="6">
        <v>0</v>
      </c>
      <c r="AU549" t="s">
        <v>2973</v>
      </c>
      <c r="AV549" t="s">
        <v>2973</v>
      </c>
    </row>
    <row r="550" spans="1:48" x14ac:dyDescent="0.45">
      <c r="A550" s="5" t="s">
        <v>1124</v>
      </c>
      <c r="B550">
        <v>2053</v>
      </c>
      <c r="C550" t="s">
        <v>1118</v>
      </c>
      <c r="D550">
        <v>2053</v>
      </c>
      <c r="E550" t="s">
        <v>1118</v>
      </c>
      <c r="F550" t="s">
        <v>1</v>
      </c>
      <c r="G550" t="s">
        <v>1</v>
      </c>
      <c r="H550" t="s">
        <v>2743</v>
      </c>
      <c r="I550" t="s">
        <v>2742</v>
      </c>
      <c r="J550">
        <v>1</v>
      </c>
      <c r="K550">
        <v>0</v>
      </c>
      <c r="L550">
        <v>0</v>
      </c>
      <c r="M550">
        <v>3</v>
      </c>
      <c r="N550" s="6">
        <v>243.166044944639</v>
      </c>
      <c r="O550" s="6">
        <v>963.79998396056101</v>
      </c>
      <c r="P550" s="6">
        <v>1708.49161171022</v>
      </c>
      <c r="Q550" s="6">
        <v>688.11372056272603</v>
      </c>
      <c r="R550" s="6">
        <v>447.652278845171</v>
      </c>
      <c r="S550" s="6">
        <v>500.97337808461901</v>
      </c>
      <c r="T550" s="6">
        <v>0</v>
      </c>
      <c r="U550" s="6">
        <v>4051.2236400233201</v>
      </c>
      <c r="V550" s="6">
        <v>3085.5064613795198</v>
      </c>
      <c r="W550" s="6">
        <v>965.717178643794</v>
      </c>
      <c r="X550" s="6">
        <v>0</v>
      </c>
      <c r="Y550" s="6">
        <v>0</v>
      </c>
      <c r="Z550" s="6">
        <v>0</v>
      </c>
      <c r="AA550" s="6">
        <v>0</v>
      </c>
      <c r="AB550" s="6">
        <v>0</v>
      </c>
      <c r="AC550" s="6">
        <v>500.19583825688397</v>
      </c>
      <c r="AD550" s="6">
        <v>0.77753982773513797</v>
      </c>
      <c r="AE550" s="6">
        <v>0</v>
      </c>
      <c r="AF550" s="6">
        <v>0</v>
      </c>
      <c r="AG550" s="6">
        <v>0</v>
      </c>
      <c r="AH550" s="6">
        <v>0</v>
      </c>
      <c r="AI550" s="6">
        <v>0</v>
      </c>
      <c r="AJ550" s="6">
        <v>4552.1970181079296</v>
      </c>
      <c r="AK550" s="6">
        <v>4552.1970181079396</v>
      </c>
      <c r="AL550" s="6">
        <v>330.98244656580999</v>
      </c>
      <c r="AM550" s="6">
        <v>93035.839999999997</v>
      </c>
      <c r="AN550" s="6">
        <v>4552.1970181079396</v>
      </c>
      <c r="AO550" s="6">
        <v>19161.5303242312</v>
      </c>
      <c r="AP550" s="6">
        <v>634.54287297753501</v>
      </c>
      <c r="AQ550" s="6">
        <v>40331.279999999999</v>
      </c>
      <c r="AR550" s="6">
        <v>4552.1970181079396</v>
      </c>
      <c r="AS550" s="6">
        <v>4552.1970181079396</v>
      </c>
      <c r="AT550" s="6">
        <v>0</v>
      </c>
      <c r="AU550" t="s">
        <v>2973</v>
      </c>
      <c r="AV550" t="s">
        <v>2977</v>
      </c>
    </row>
    <row r="551" spans="1:48" x14ac:dyDescent="0.45">
      <c r="A551" s="5" t="s">
        <v>1125</v>
      </c>
      <c r="B551">
        <v>2053</v>
      </c>
      <c r="C551" t="s">
        <v>1118</v>
      </c>
      <c r="D551">
        <v>430</v>
      </c>
      <c r="E551" t="s">
        <v>1126</v>
      </c>
      <c r="F551" t="s">
        <v>2739</v>
      </c>
      <c r="G551" t="s">
        <v>2740</v>
      </c>
      <c r="H551" t="s">
        <v>2741</v>
      </c>
      <c r="I551" t="s">
        <v>2742</v>
      </c>
      <c r="J551">
        <v>404.35123798960802</v>
      </c>
      <c r="K551">
        <v>2</v>
      </c>
      <c r="L551">
        <v>1</v>
      </c>
      <c r="M551">
        <v>3</v>
      </c>
      <c r="N551" s="6">
        <v>3026402.8513103998</v>
      </c>
      <c r="O551" s="6">
        <v>913815.18668881699</v>
      </c>
      <c r="P551" s="6">
        <v>1245006.0482898899</v>
      </c>
      <c r="Q551" s="6">
        <v>278239.63478717301</v>
      </c>
      <c r="R551" s="6">
        <v>195240.083139914</v>
      </c>
      <c r="S551" s="6">
        <v>202569.20562835099</v>
      </c>
      <c r="T551" s="6">
        <v>4020586.51</v>
      </c>
      <c r="U551" s="6">
        <v>1638117.29421619</v>
      </c>
      <c r="V551" s="6">
        <v>4781732.9174837396</v>
      </c>
      <c r="W551" s="6">
        <v>876970.88673244999</v>
      </c>
      <c r="X551" s="6">
        <v>0</v>
      </c>
      <c r="Y551" s="6">
        <v>0</v>
      </c>
      <c r="Z551" s="6">
        <v>0</v>
      </c>
      <c r="AA551" s="6">
        <v>0</v>
      </c>
      <c r="AB551" s="6">
        <v>0</v>
      </c>
      <c r="AC551" s="6">
        <v>202254.806436421</v>
      </c>
      <c r="AD551" s="6">
        <v>314.39919193092902</v>
      </c>
      <c r="AE551" s="6">
        <v>0</v>
      </c>
      <c r="AF551" s="6">
        <v>0</v>
      </c>
      <c r="AG551" s="6">
        <v>0</v>
      </c>
      <c r="AH551" s="6">
        <v>0</v>
      </c>
      <c r="AI551" s="6">
        <v>0</v>
      </c>
      <c r="AJ551" s="6">
        <v>5861273.0098445499</v>
      </c>
      <c r="AK551" s="6">
        <v>14495.499108612101</v>
      </c>
      <c r="AL551" s="6">
        <v>330.98244656580999</v>
      </c>
      <c r="AM551" s="6">
        <v>93035.839999999997</v>
      </c>
      <c r="AN551" s="6">
        <v>4552.1970181079396</v>
      </c>
      <c r="AO551" s="6">
        <v>19161.5303242312</v>
      </c>
      <c r="AP551" s="6">
        <v>330.98244656580999</v>
      </c>
      <c r="AQ551" s="6">
        <v>93035.839999999997</v>
      </c>
      <c r="AR551" s="6">
        <v>13759.2195960682</v>
      </c>
      <c r="AS551" s="6">
        <v>19161.5303242312</v>
      </c>
      <c r="AT551" s="6">
        <v>0</v>
      </c>
      <c r="AU551" t="s">
        <v>2973</v>
      </c>
      <c r="AV551" t="s">
        <v>2973</v>
      </c>
    </row>
    <row r="552" spans="1:48" x14ac:dyDescent="0.45">
      <c r="A552" s="5" t="s">
        <v>1127</v>
      </c>
      <c r="B552">
        <v>2053</v>
      </c>
      <c r="C552" t="s">
        <v>1118</v>
      </c>
      <c r="D552">
        <v>434</v>
      </c>
      <c r="E552" t="s">
        <v>1128</v>
      </c>
      <c r="F552" t="s">
        <v>2739</v>
      </c>
      <c r="G552" t="s">
        <v>2744</v>
      </c>
      <c r="H552" t="s">
        <v>2745</v>
      </c>
      <c r="I552" t="s">
        <v>2742</v>
      </c>
      <c r="J552">
        <v>636.244450235616</v>
      </c>
      <c r="K552">
        <v>2</v>
      </c>
      <c r="L552">
        <v>1</v>
      </c>
      <c r="M552">
        <v>3</v>
      </c>
      <c r="N552" s="6">
        <v>4862512.0565817701</v>
      </c>
      <c r="O552" s="6">
        <v>2887654.7909320798</v>
      </c>
      <c r="P552" s="6">
        <v>2185586.0362247298</v>
      </c>
      <c r="Q552" s="6">
        <v>437808.53583901603</v>
      </c>
      <c r="R552" s="6">
        <v>284816.27805056598</v>
      </c>
      <c r="S552" s="6">
        <v>318741.53152212797</v>
      </c>
      <c r="T552" s="6">
        <v>8080809.1399999997</v>
      </c>
      <c r="U552" s="6">
        <v>2577568.5576281599</v>
      </c>
      <c r="V552" s="6">
        <v>8364428.1422188496</v>
      </c>
      <c r="W552" s="6">
        <v>2293949.5554093099</v>
      </c>
      <c r="X552" s="6">
        <v>0</v>
      </c>
      <c r="Y552" s="6">
        <v>0</v>
      </c>
      <c r="Z552" s="6">
        <v>0</v>
      </c>
      <c r="AA552" s="6">
        <v>0</v>
      </c>
      <c r="AB552" s="6">
        <v>0</v>
      </c>
      <c r="AC552" s="6">
        <v>318246.826121894</v>
      </c>
      <c r="AD552" s="6">
        <v>494.70540023363799</v>
      </c>
      <c r="AE552" s="6">
        <v>0</v>
      </c>
      <c r="AF552" s="6">
        <v>0</v>
      </c>
      <c r="AG552" s="6">
        <v>0</v>
      </c>
      <c r="AH552" s="6">
        <v>0</v>
      </c>
      <c r="AI552" s="6">
        <v>0</v>
      </c>
      <c r="AJ552" s="6">
        <v>10977119.229150301</v>
      </c>
      <c r="AK552" s="6">
        <v>17252.9901440951</v>
      </c>
      <c r="AL552" s="6">
        <v>330.98244656580999</v>
      </c>
      <c r="AM552" s="6">
        <v>93035.839999999997</v>
      </c>
      <c r="AN552" s="6">
        <v>4552.1970181079396</v>
      </c>
      <c r="AO552" s="6">
        <v>19161.5303242312</v>
      </c>
      <c r="AP552" s="6">
        <v>330.98244656580999</v>
      </c>
      <c r="AQ552" s="6">
        <v>40734.411818744898</v>
      </c>
      <c r="AR552" s="6">
        <v>13061.1317927091</v>
      </c>
      <c r="AS552" s="6">
        <v>17252.9901440951</v>
      </c>
      <c r="AT552" s="6">
        <v>0</v>
      </c>
      <c r="AU552" t="s">
        <v>2973</v>
      </c>
      <c r="AV552" t="s">
        <v>2973</v>
      </c>
    </row>
    <row r="553" spans="1:48" x14ac:dyDescent="0.45">
      <c r="A553" s="5" t="s">
        <v>1129</v>
      </c>
      <c r="B553">
        <v>2053</v>
      </c>
      <c r="C553" t="s">
        <v>1118</v>
      </c>
      <c r="D553">
        <v>431</v>
      </c>
      <c r="E553" t="s">
        <v>1130</v>
      </c>
      <c r="F553" t="s">
        <v>2739</v>
      </c>
      <c r="G553" t="s">
        <v>2740</v>
      </c>
      <c r="H553" t="s">
        <v>2741</v>
      </c>
      <c r="I553" t="s">
        <v>2742</v>
      </c>
      <c r="J553">
        <v>303.24419807830401</v>
      </c>
      <c r="K553">
        <v>3</v>
      </c>
      <c r="L553">
        <v>1</v>
      </c>
      <c r="M553">
        <v>3</v>
      </c>
      <c r="N553" s="6">
        <v>2383491.08229911</v>
      </c>
      <c r="O553" s="6">
        <v>707213.703244003</v>
      </c>
      <c r="P553" s="6">
        <v>927449.58871657401</v>
      </c>
      <c r="Q553" s="6">
        <v>208666.49337872199</v>
      </c>
      <c r="R553" s="6">
        <v>155087.316316329</v>
      </c>
      <c r="S553" s="6">
        <v>151917.27029584901</v>
      </c>
      <c r="T553" s="6">
        <v>3153398.12</v>
      </c>
      <c r="U553" s="6">
        <v>1228510.0639547401</v>
      </c>
      <c r="V553" s="6">
        <v>3732441.2225464601</v>
      </c>
      <c r="W553" s="6">
        <v>649466.96140827902</v>
      </c>
      <c r="X553" s="6">
        <v>0</v>
      </c>
      <c r="Y553" s="6">
        <v>0</v>
      </c>
      <c r="Z553" s="6">
        <v>0</v>
      </c>
      <c r="AA553" s="6">
        <v>0</v>
      </c>
      <c r="AB553" s="6">
        <v>0</v>
      </c>
      <c r="AC553" s="6">
        <v>151681.485854314</v>
      </c>
      <c r="AD553" s="6">
        <v>235.78444153548401</v>
      </c>
      <c r="AE553" s="6">
        <v>0</v>
      </c>
      <c r="AF553" s="6">
        <v>0</v>
      </c>
      <c r="AG553" s="6">
        <v>0</v>
      </c>
      <c r="AH553" s="6">
        <v>0</v>
      </c>
      <c r="AI553" s="6">
        <v>0</v>
      </c>
      <c r="AJ553" s="6">
        <v>4533825.4542505899</v>
      </c>
      <c r="AK553" s="6">
        <v>14951.0707310544</v>
      </c>
      <c r="AL553" s="6">
        <v>330.98244656580999</v>
      </c>
      <c r="AM553" s="6">
        <v>93035.839999999997</v>
      </c>
      <c r="AN553" s="6">
        <v>4552.1970181079396</v>
      </c>
      <c r="AO553" s="6">
        <v>19161.5303242312</v>
      </c>
      <c r="AP553" s="6">
        <v>330.98244656580999</v>
      </c>
      <c r="AQ553" s="6">
        <v>93035.839999999997</v>
      </c>
      <c r="AR553" s="6">
        <v>13759.2195960682</v>
      </c>
      <c r="AS553" s="6">
        <v>19161.5303242312</v>
      </c>
      <c r="AT553" s="6">
        <v>0</v>
      </c>
      <c r="AU553" t="s">
        <v>2973</v>
      </c>
      <c r="AV553" t="s">
        <v>2973</v>
      </c>
    </row>
    <row r="554" spans="1:48" x14ac:dyDescent="0.45">
      <c r="A554" s="5" t="s">
        <v>1131</v>
      </c>
      <c r="B554">
        <v>2053</v>
      </c>
      <c r="C554" t="s">
        <v>1118</v>
      </c>
      <c r="D554">
        <v>432</v>
      </c>
      <c r="E554" t="s">
        <v>1132</v>
      </c>
      <c r="F554" t="s">
        <v>2739</v>
      </c>
      <c r="G554" t="s">
        <v>2740</v>
      </c>
      <c r="H554" t="s">
        <v>2741</v>
      </c>
      <c r="I554" t="s">
        <v>2742</v>
      </c>
      <c r="J554">
        <v>631.22063725139196</v>
      </c>
      <c r="K554">
        <v>5</v>
      </c>
      <c r="L554">
        <v>2</v>
      </c>
      <c r="M554">
        <v>3</v>
      </c>
      <c r="N554" s="6">
        <v>5499208.2358478596</v>
      </c>
      <c r="O554" s="6">
        <v>1905554.67005847</v>
      </c>
      <c r="P554" s="6">
        <v>2119371.76388238</v>
      </c>
      <c r="Q554" s="6">
        <v>434351.58119503001</v>
      </c>
      <c r="R554" s="6">
        <v>329656.55671968602</v>
      </c>
      <c r="S554" s="6">
        <v>316224.73496055597</v>
      </c>
      <c r="T554" s="6">
        <v>7730926.8399999999</v>
      </c>
      <c r="U554" s="6">
        <v>2557215.9677034202</v>
      </c>
      <c r="V554" s="6">
        <v>7966716.2747952696</v>
      </c>
      <c r="W554" s="6">
        <v>2321426.53290815</v>
      </c>
      <c r="X554" s="6">
        <v>0</v>
      </c>
      <c r="Y554" s="6">
        <v>0</v>
      </c>
      <c r="Z554" s="6">
        <v>0</v>
      </c>
      <c r="AA554" s="6">
        <v>0</v>
      </c>
      <c r="AB554" s="6">
        <v>0</v>
      </c>
      <c r="AC554" s="6">
        <v>315733.93577500398</v>
      </c>
      <c r="AD554" s="6">
        <v>490.79918555131098</v>
      </c>
      <c r="AE554" s="6">
        <v>0</v>
      </c>
      <c r="AF554" s="6">
        <v>0</v>
      </c>
      <c r="AG554" s="6">
        <v>0</v>
      </c>
      <c r="AH554" s="6">
        <v>0</v>
      </c>
      <c r="AI554" s="6">
        <v>0</v>
      </c>
      <c r="AJ554" s="6">
        <v>10604367.542664001</v>
      </c>
      <c r="AK554" s="6">
        <v>16799.779533254801</v>
      </c>
      <c r="AL554" s="6">
        <v>330.98244656580999</v>
      </c>
      <c r="AM554" s="6">
        <v>93035.839999999997</v>
      </c>
      <c r="AN554" s="6">
        <v>4552.1970181079396</v>
      </c>
      <c r="AO554" s="6">
        <v>19161.5303242312</v>
      </c>
      <c r="AP554" s="6">
        <v>330.98244656580999</v>
      </c>
      <c r="AQ554" s="6">
        <v>93035.839999999997</v>
      </c>
      <c r="AR554" s="6">
        <v>13759.2195960682</v>
      </c>
      <c r="AS554" s="6">
        <v>19161.5303242312</v>
      </c>
      <c r="AT554" s="6">
        <v>0</v>
      </c>
      <c r="AU554" t="s">
        <v>2973</v>
      </c>
      <c r="AV554" t="s">
        <v>2973</v>
      </c>
    </row>
    <row r="555" spans="1:48" x14ac:dyDescent="0.45">
      <c r="A555" s="5" t="s">
        <v>1135</v>
      </c>
      <c r="B555">
        <v>2140</v>
      </c>
      <c r="C555" t="s">
        <v>1136</v>
      </c>
      <c r="D555">
        <v>721</v>
      </c>
      <c r="E555" t="s">
        <v>499</v>
      </c>
      <c r="F555" t="s">
        <v>2739</v>
      </c>
      <c r="G555" t="s">
        <v>2740</v>
      </c>
      <c r="H555" t="s">
        <v>2741</v>
      </c>
      <c r="I555" t="s">
        <v>2742</v>
      </c>
      <c r="J555">
        <v>379.34322364748198</v>
      </c>
      <c r="K555">
        <v>2</v>
      </c>
      <c r="L555">
        <v>1</v>
      </c>
      <c r="M555">
        <v>2</v>
      </c>
      <c r="N555" s="6">
        <v>2656616.5044265301</v>
      </c>
      <c r="O555" s="6">
        <v>790816.00686029496</v>
      </c>
      <c r="P555" s="6">
        <v>1105268.4452276099</v>
      </c>
      <c r="Q555" s="6">
        <v>269033.66210251499</v>
      </c>
      <c r="R555" s="6">
        <v>97655.550941762296</v>
      </c>
      <c r="S555" s="6">
        <v>223631.86603076899</v>
      </c>
      <c r="T555" s="6">
        <v>0</v>
      </c>
      <c r="U555" s="6">
        <v>4919390.1695587104</v>
      </c>
      <c r="V555" s="6">
        <v>4186390.2064599502</v>
      </c>
      <c r="W555" s="6">
        <v>732999.96309877001</v>
      </c>
      <c r="X555" s="6">
        <v>0</v>
      </c>
      <c r="Y555" s="6">
        <v>0</v>
      </c>
      <c r="Z555" s="6">
        <v>0</v>
      </c>
      <c r="AA555" s="6">
        <v>0</v>
      </c>
      <c r="AB555" s="6">
        <v>0</v>
      </c>
      <c r="AC555" s="6">
        <v>69770.928966893494</v>
      </c>
      <c r="AD555" s="6">
        <v>153860.937063875</v>
      </c>
      <c r="AE555" s="6">
        <v>0</v>
      </c>
      <c r="AF555" s="6">
        <v>0</v>
      </c>
      <c r="AG555" s="6">
        <v>0</v>
      </c>
      <c r="AH555" s="6">
        <v>0</v>
      </c>
      <c r="AI555" s="6">
        <v>0</v>
      </c>
      <c r="AJ555" s="6">
        <v>5143022.0355894798</v>
      </c>
      <c r="AK555" s="6">
        <v>13557.701086994501</v>
      </c>
      <c r="AL555" s="6">
        <v>330.98244656580999</v>
      </c>
      <c r="AM555" s="6">
        <v>93035.839999999997</v>
      </c>
      <c r="AN555" s="6">
        <v>13557.701086994501</v>
      </c>
      <c r="AO555" s="6">
        <v>13557.701086994601</v>
      </c>
      <c r="AP555" s="6">
        <v>330.98244656580999</v>
      </c>
      <c r="AQ555" s="6">
        <v>93035.839999999997</v>
      </c>
      <c r="AR555" s="6">
        <v>13557.701086994501</v>
      </c>
      <c r="AS555" s="6">
        <v>13557.701086994501</v>
      </c>
      <c r="AT555" s="6">
        <v>0</v>
      </c>
      <c r="AU555" t="s">
        <v>2973</v>
      </c>
      <c r="AV555" t="s">
        <v>2976</v>
      </c>
    </row>
    <row r="556" spans="1:48" x14ac:dyDescent="0.45">
      <c r="A556" s="5" t="s">
        <v>1137</v>
      </c>
      <c r="B556">
        <v>2140</v>
      </c>
      <c r="C556" t="s">
        <v>1136</v>
      </c>
      <c r="D556">
        <v>723</v>
      </c>
      <c r="E556" t="s">
        <v>1138</v>
      </c>
      <c r="F556" t="s">
        <v>2739</v>
      </c>
      <c r="G556" t="s">
        <v>2744</v>
      </c>
      <c r="H556" t="s">
        <v>2745</v>
      </c>
      <c r="I556" t="s">
        <v>2742</v>
      </c>
      <c r="J556">
        <v>249.79975664103699</v>
      </c>
      <c r="K556">
        <v>1</v>
      </c>
      <c r="L556">
        <v>1</v>
      </c>
      <c r="M556">
        <v>2</v>
      </c>
      <c r="N556" s="6">
        <v>1749397.6824296799</v>
      </c>
      <c r="O556" s="6">
        <v>520757.01830676303</v>
      </c>
      <c r="P556" s="6">
        <v>727825.80900257698</v>
      </c>
      <c r="Q556" s="6">
        <v>177160.257866917</v>
      </c>
      <c r="R556" s="6">
        <v>64306.757941636301</v>
      </c>
      <c r="S556" s="6">
        <v>147262.90659558401</v>
      </c>
      <c r="T556" s="6">
        <v>0</v>
      </c>
      <c r="U556" s="6">
        <v>3239447.5255475799</v>
      </c>
      <c r="V556" s="6">
        <v>2756762.7140479102</v>
      </c>
      <c r="W556" s="6">
        <v>482684.81149966898</v>
      </c>
      <c r="X556" s="6">
        <v>0</v>
      </c>
      <c r="Y556" s="6">
        <v>0</v>
      </c>
      <c r="Z556" s="6">
        <v>0</v>
      </c>
      <c r="AA556" s="6">
        <v>0</v>
      </c>
      <c r="AB556" s="6">
        <v>0</v>
      </c>
      <c r="AC556" s="6">
        <v>45944.569429676601</v>
      </c>
      <c r="AD556" s="6">
        <v>101318.337165908</v>
      </c>
      <c r="AE556" s="6">
        <v>0</v>
      </c>
      <c r="AF556" s="6">
        <v>0</v>
      </c>
      <c r="AG556" s="6">
        <v>0</v>
      </c>
      <c r="AH556" s="6">
        <v>0</v>
      </c>
      <c r="AI556" s="6">
        <v>0</v>
      </c>
      <c r="AJ556" s="6">
        <v>3386710.4321431601</v>
      </c>
      <c r="AK556" s="6">
        <v>13557.701086994601</v>
      </c>
      <c r="AL556" s="6">
        <v>330.98244656580999</v>
      </c>
      <c r="AM556" s="6">
        <v>93035.839999999997</v>
      </c>
      <c r="AN556" s="6">
        <v>13557.701086994501</v>
      </c>
      <c r="AO556" s="6">
        <v>13557.701086994601</v>
      </c>
      <c r="AP556" s="6">
        <v>330.98244656580999</v>
      </c>
      <c r="AQ556" s="6">
        <v>40734.411818744898</v>
      </c>
      <c r="AR556" s="6">
        <v>13557.701086994601</v>
      </c>
      <c r="AS556" s="6">
        <v>13557.701086994601</v>
      </c>
      <c r="AT556" s="6">
        <v>0</v>
      </c>
      <c r="AU556" t="s">
        <v>2973</v>
      </c>
      <c r="AV556" t="s">
        <v>2976</v>
      </c>
    </row>
    <row r="557" spans="1:48" x14ac:dyDescent="0.45">
      <c r="A557" s="5" t="s">
        <v>1139</v>
      </c>
      <c r="B557">
        <v>2140</v>
      </c>
      <c r="C557" t="s">
        <v>1136</v>
      </c>
      <c r="D557">
        <v>722</v>
      </c>
      <c r="E557" t="s">
        <v>1140</v>
      </c>
      <c r="F557" t="s">
        <v>2739</v>
      </c>
      <c r="G557" t="s">
        <v>2747</v>
      </c>
      <c r="H557" t="s">
        <v>2741</v>
      </c>
      <c r="I557" t="s">
        <v>2742</v>
      </c>
      <c r="J557">
        <v>205.949421821361</v>
      </c>
      <c r="K557">
        <v>2</v>
      </c>
      <c r="L557">
        <v>1</v>
      </c>
      <c r="M557">
        <v>2</v>
      </c>
      <c r="N557" s="6">
        <v>1442305.01292984</v>
      </c>
      <c r="O557" s="6">
        <v>429342.319111271</v>
      </c>
      <c r="P557" s="6">
        <v>600061.85180614504</v>
      </c>
      <c r="Q557" s="6">
        <v>146061.20185235099</v>
      </c>
      <c r="R557" s="6">
        <v>53018.224658712497</v>
      </c>
      <c r="S557" s="6">
        <v>121412.08973504401</v>
      </c>
      <c r="T557" s="6">
        <v>0</v>
      </c>
      <c r="U557" s="6">
        <v>2670788.6103583202</v>
      </c>
      <c r="V557" s="6">
        <v>2272835.2288698</v>
      </c>
      <c r="W557" s="6">
        <v>397953.38148851797</v>
      </c>
      <c r="X557" s="6">
        <v>0</v>
      </c>
      <c r="Y557" s="6">
        <v>0</v>
      </c>
      <c r="Z557" s="6">
        <v>0</v>
      </c>
      <c r="AA557" s="6">
        <v>0</v>
      </c>
      <c r="AB557" s="6">
        <v>0</v>
      </c>
      <c r="AC557" s="6">
        <v>37879.370408957402</v>
      </c>
      <c r="AD557" s="6">
        <v>83532.719326086502</v>
      </c>
      <c r="AE557" s="6">
        <v>0</v>
      </c>
      <c r="AF557" s="6">
        <v>0</v>
      </c>
      <c r="AG557" s="6">
        <v>0</v>
      </c>
      <c r="AH557" s="6">
        <v>0</v>
      </c>
      <c r="AI557" s="6">
        <v>0</v>
      </c>
      <c r="AJ557" s="6">
        <v>2792200.7000933699</v>
      </c>
      <c r="AK557" s="6">
        <v>13557.701086994601</v>
      </c>
      <c r="AL557" s="6">
        <v>330.98244656580999</v>
      </c>
      <c r="AM557" s="6">
        <v>93035.839999999997</v>
      </c>
      <c r="AN557" s="6">
        <v>13557.701086994501</v>
      </c>
      <c r="AO557" s="6">
        <v>13557.701086994601</v>
      </c>
      <c r="AP557" s="6">
        <v>3753.1860850462999</v>
      </c>
      <c r="AQ557" s="6">
        <v>20687.885194392002</v>
      </c>
      <c r="AR557" s="6">
        <v>13557.701086994601</v>
      </c>
      <c r="AS557" s="6">
        <v>13557.701086994601</v>
      </c>
      <c r="AT557" s="6">
        <v>0</v>
      </c>
      <c r="AU557" t="s">
        <v>2973</v>
      </c>
      <c r="AV557" t="s">
        <v>2976</v>
      </c>
    </row>
    <row r="558" spans="1:48" x14ac:dyDescent="0.45">
      <c r="A558" s="5" t="s">
        <v>2761</v>
      </c>
      <c r="B558">
        <v>2140</v>
      </c>
      <c r="C558" t="s">
        <v>1136</v>
      </c>
      <c r="D558">
        <v>2140</v>
      </c>
      <c r="E558" t="s">
        <v>1136</v>
      </c>
      <c r="F558" t="s">
        <v>1</v>
      </c>
      <c r="G558" t="s">
        <v>1</v>
      </c>
      <c r="H558" t="s">
        <v>2743</v>
      </c>
      <c r="I558" t="s">
        <v>2742</v>
      </c>
      <c r="J558">
        <v>2</v>
      </c>
      <c r="K558">
        <v>0</v>
      </c>
      <c r="L558">
        <v>0</v>
      </c>
      <c r="M558">
        <v>2</v>
      </c>
      <c r="N558" s="6">
        <v>14006.4002139408</v>
      </c>
      <c r="O558" s="6">
        <v>4169.3957216707204</v>
      </c>
      <c r="P558" s="6">
        <v>5827.2739636689503</v>
      </c>
      <c r="Q558" s="6">
        <v>1418.4181782170101</v>
      </c>
      <c r="R558" s="6">
        <v>514.86645788887097</v>
      </c>
      <c r="S558" s="6">
        <v>1179.0476386027999</v>
      </c>
      <c r="T558" s="6">
        <v>0</v>
      </c>
      <c r="U558" s="6">
        <v>25936.354535386301</v>
      </c>
      <c r="V558" s="6">
        <v>22071.7806223437</v>
      </c>
      <c r="W558" s="6">
        <v>3864.57391304259</v>
      </c>
      <c r="X558" s="6">
        <v>0</v>
      </c>
      <c r="Y558" s="6">
        <v>0</v>
      </c>
      <c r="Z558" s="6">
        <v>0</v>
      </c>
      <c r="AA558" s="6">
        <v>0</v>
      </c>
      <c r="AB558" s="6">
        <v>0</v>
      </c>
      <c r="AC558" s="6">
        <v>367.85119447253197</v>
      </c>
      <c r="AD558" s="6">
        <v>811.19644413026901</v>
      </c>
      <c r="AE558" s="6">
        <v>0</v>
      </c>
      <c r="AF558" s="6">
        <v>0</v>
      </c>
      <c r="AG558" s="6">
        <v>0</v>
      </c>
      <c r="AH558" s="6">
        <v>0</v>
      </c>
      <c r="AI558" s="6">
        <v>0</v>
      </c>
      <c r="AJ558" s="6">
        <v>27115.4021739891</v>
      </c>
      <c r="AK558" s="6">
        <v>13557.701086994501</v>
      </c>
      <c r="AL558" s="6">
        <v>330.98244656580999</v>
      </c>
      <c r="AM558" s="6">
        <v>93035.839999999997</v>
      </c>
      <c r="AN558" s="6">
        <v>13557.701086994501</v>
      </c>
      <c r="AO558" s="6">
        <v>13557.701086994601</v>
      </c>
      <c r="AP558" s="6">
        <v>634.54287297753501</v>
      </c>
      <c r="AQ558" s="6">
        <v>40331.279999999999</v>
      </c>
      <c r="AR558" s="6">
        <v>13557.701086994501</v>
      </c>
      <c r="AS558" s="6">
        <v>13557.701086994501</v>
      </c>
      <c r="AT558" s="6">
        <v>0</v>
      </c>
      <c r="AU558" t="s">
        <v>2973</v>
      </c>
      <c r="AV558" t="s">
        <v>2977</v>
      </c>
    </row>
    <row r="559" spans="1:48" x14ac:dyDescent="0.45">
      <c r="A559" s="5" t="s">
        <v>1141</v>
      </c>
      <c r="B559">
        <v>1934</v>
      </c>
      <c r="C559" t="s">
        <v>1142</v>
      </c>
      <c r="D559">
        <v>3352</v>
      </c>
      <c r="E559" t="s">
        <v>1143</v>
      </c>
      <c r="F559" t="s">
        <v>2739</v>
      </c>
      <c r="G559" t="s">
        <v>2748</v>
      </c>
      <c r="H559" t="s">
        <v>2745</v>
      </c>
      <c r="I559" t="s">
        <v>2742</v>
      </c>
      <c r="J559">
        <v>138.924114206979</v>
      </c>
      <c r="K559">
        <v>1</v>
      </c>
      <c r="L559">
        <v>2</v>
      </c>
      <c r="M559">
        <v>4</v>
      </c>
      <c r="N559" s="6">
        <v>2232769.94</v>
      </c>
      <c r="O559" s="6">
        <v>1047602.66</v>
      </c>
      <c r="P559" s="6">
        <v>1807031.56</v>
      </c>
      <c r="Q559" s="6">
        <v>586885.01</v>
      </c>
      <c r="R559" s="6">
        <v>2064645.52</v>
      </c>
      <c r="S559" s="6">
        <v>63390</v>
      </c>
      <c r="T559" s="6">
        <v>7738934.6900000004</v>
      </c>
      <c r="U559" s="6">
        <v>0</v>
      </c>
      <c r="V559" s="6">
        <v>5018614.42</v>
      </c>
      <c r="W559" s="6">
        <v>2720320.27</v>
      </c>
      <c r="X559" s="6">
        <v>0</v>
      </c>
      <c r="Y559" s="6">
        <v>0</v>
      </c>
      <c r="Z559" s="6">
        <v>0</v>
      </c>
      <c r="AA559" s="6">
        <v>0</v>
      </c>
      <c r="AB559" s="6">
        <v>0</v>
      </c>
      <c r="AC559" s="6">
        <v>63390</v>
      </c>
      <c r="AD559" s="6">
        <v>0</v>
      </c>
      <c r="AE559" s="6">
        <v>0</v>
      </c>
      <c r="AF559" s="6">
        <v>0</v>
      </c>
      <c r="AG559" s="6">
        <v>0</v>
      </c>
      <c r="AH559" s="6">
        <v>0</v>
      </c>
      <c r="AI559" s="6">
        <v>0</v>
      </c>
      <c r="AJ559" s="6">
        <v>7802324.6900000004</v>
      </c>
      <c r="AK559" s="6">
        <v>56162.493707719797</v>
      </c>
      <c r="AL559" s="6">
        <v>330.98244656580999</v>
      </c>
      <c r="AM559" s="6">
        <v>93035.839999999997</v>
      </c>
      <c r="AN559" s="6">
        <v>56162.493707719797</v>
      </c>
      <c r="AO559" s="6">
        <v>56162.493707719797</v>
      </c>
      <c r="AP559" s="6">
        <v>330.98244656580999</v>
      </c>
      <c r="AQ559" s="6">
        <v>56162.493707719797</v>
      </c>
      <c r="AR559" s="6">
        <v>56162.493707719797</v>
      </c>
      <c r="AS559" s="6">
        <v>56162.493707719797</v>
      </c>
      <c r="AT559" s="6">
        <v>0</v>
      </c>
      <c r="AU559" t="s">
        <v>2973</v>
      </c>
      <c r="AV559" t="s">
        <v>2973</v>
      </c>
    </row>
    <row r="560" spans="1:48" x14ac:dyDescent="0.45">
      <c r="A560" s="5" t="s">
        <v>1144</v>
      </c>
      <c r="B560">
        <v>2008</v>
      </c>
      <c r="C560" t="s">
        <v>1145</v>
      </c>
      <c r="D560">
        <v>331</v>
      </c>
      <c r="E560" t="s">
        <v>1146</v>
      </c>
      <c r="F560" t="s">
        <v>2739</v>
      </c>
      <c r="G560" t="s">
        <v>2744</v>
      </c>
      <c r="H560" t="s">
        <v>2745</v>
      </c>
      <c r="I560" t="s">
        <v>2742</v>
      </c>
      <c r="J560">
        <v>265.89716048794702</v>
      </c>
      <c r="K560">
        <v>1</v>
      </c>
      <c r="L560">
        <v>1</v>
      </c>
      <c r="M560">
        <v>2</v>
      </c>
      <c r="N560" s="6">
        <v>1984239.65227815</v>
      </c>
      <c r="O560" s="6">
        <v>990283.566309524</v>
      </c>
      <c r="P560" s="6">
        <v>1112294.7288929599</v>
      </c>
      <c r="Q560" s="6">
        <v>136517.16633240599</v>
      </c>
      <c r="R560" s="6">
        <v>657574.931478785</v>
      </c>
      <c r="S560" s="6">
        <v>644176.90641493199</v>
      </c>
      <c r="T560" s="6">
        <v>3193750.56</v>
      </c>
      <c r="U560" s="6">
        <v>1687159.48529183</v>
      </c>
      <c r="V560" s="6">
        <v>4132843.7532054302</v>
      </c>
      <c r="W560" s="6">
        <v>748066.29208639299</v>
      </c>
      <c r="X560" s="6">
        <v>0</v>
      </c>
      <c r="Y560" s="6">
        <v>0</v>
      </c>
      <c r="Z560" s="6">
        <v>0</v>
      </c>
      <c r="AA560" s="6">
        <v>0</v>
      </c>
      <c r="AB560" s="6">
        <v>0</v>
      </c>
      <c r="AC560" s="6">
        <v>569369.83339987404</v>
      </c>
      <c r="AD560" s="6">
        <v>74807.073015058006</v>
      </c>
      <c r="AE560" s="6">
        <v>0</v>
      </c>
      <c r="AF560" s="6">
        <v>0</v>
      </c>
      <c r="AG560" s="6">
        <v>0</v>
      </c>
      <c r="AH560" s="6">
        <v>0</v>
      </c>
      <c r="AI560" s="6">
        <v>0</v>
      </c>
      <c r="AJ560" s="6">
        <v>5525086.9517067596</v>
      </c>
      <c r="AK560" s="6">
        <v>20779.037059168601</v>
      </c>
      <c r="AL560" s="6">
        <v>330.98244656580999</v>
      </c>
      <c r="AM560" s="6">
        <v>93035.839999999997</v>
      </c>
      <c r="AN560" s="6">
        <v>16776.108890970499</v>
      </c>
      <c r="AO560" s="6">
        <v>22261.232177399099</v>
      </c>
      <c r="AP560" s="6">
        <v>330.98244656580999</v>
      </c>
      <c r="AQ560" s="6">
        <v>40734.411818744898</v>
      </c>
      <c r="AR560" s="6">
        <v>20779.037059168601</v>
      </c>
      <c r="AS560" s="6">
        <v>20779.037059168601</v>
      </c>
      <c r="AT560" s="6">
        <v>0</v>
      </c>
      <c r="AU560" t="s">
        <v>2973</v>
      </c>
      <c r="AV560" t="s">
        <v>2973</v>
      </c>
    </row>
    <row r="561" spans="1:48" x14ac:dyDescent="0.45">
      <c r="A561" s="5" t="s">
        <v>1147</v>
      </c>
      <c r="B561">
        <v>2008</v>
      </c>
      <c r="C561" t="s">
        <v>1145</v>
      </c>
      <c r="D561">
        <v>327</v>
      </c>
      <c r="E561" t="s">
        <v>1148</v>
      </c>
      <c r="F561" t="s">
        <v>2739</v>
      </c>
      <c r="G561" t="s">
        <v>2740</v>
      </c>
      <c r="H561" t="s">
        <v>2741</v>
      </c>
      <c r="I561" t="s">
        <v>2742</v>
      </c>
      <c r="J561">
        <v>297.51987330590498</v>
      </c>
      <c r="K561">
        <v>1</v>
      </c>
      <c r="L561">
        <v>1</v>
      </c>
      <c r="M561">
        <v>2</v>
      </c>
      <c r="N561" s="6">
        <v>2196201.65393097</v>
      </c>
      <c r="O561" s="6">
        <v>315324.99833924702</v>
      </c>
      <c r="P561" s="6">
        <v>979740.31593852805</v>
      </c>
      <c r="Q561" s="6">
        <v>152752.92882693201</v>
      </c>
      <c r="R561" s="6">
        <v>626418.08631449996</v>
      </c>
      <c r="S561" s="6">
        <v>720787.80845742696</v>
      </c>
      <c r="T561" s="6">
        <v>2382627.39</v>
      </c>
      <c r="U561" s="6">
        <v>1887810.59335018</v>
      </c>
      <c r="V561" s="6">
        <v>3660532.1473357398</v>
      </c>
      <c r="W561" s="6">
        <v>609905.83601443702</v>
      </c>
      <c r="X561" s="6">
        <v>0</v>
      </c>
      <c r="Y561" s="6">
        <v>0</v>
      </c>
      <c r="Z561" s="6">
        <v>0</v>
      </c>
      <c r="AA561" s="6">
        <v>0</v>
      </c>
      <c r="AB561" s="6">
        <v>0</v>
      </c>
      <c r="AC561" s="6">
        <v>637084.05304694199</v>
      </c>
      <c r="AD561" s="6">
        <v>83703.755410484999</v>
      </c>
      <c r="AE561" s="6">
        <v>0</v>
      </c>
      <c r="AF561" s="6">
        <v>0</v>
      </c>
      <c r="AG561" s="6">
        <v>0</v>
      </c>
      <c r="AH561" s="6">
        <v>0</v>
      </c>
      <c r="AI561" s="6">
        <v>0</v>
      </c>
      <c r="AJ561" s="6">
        <v>4991225.7918076096</v>
      </c>
      <c r="AK561" s="6">
        <v>16776.108890970499</v>
      </c>
      <c r="AL561" s="6">
        <v>330.98244656580999</v>
      </c>
      <c r="AM561" s="6">
        <v>93035.839999999997</v>
      </c>
      <c r="AN561" s="6">
        <v>16776.108890970499</v>
      </c>
      <c r="AO561" s="6">
        <v>22261.232177399099</v>
      </c>
      <c r="AP561" s="6">
        <v>330.98244656580999</v>
      </c>
      <c r="AQ561" s="6">
        <v>93035.839999999997</v>
      </c>
      <c r="AR561" s="6">
        <v>16776.108890970499</v>
      </c>
      <c r="AS561" s="6">
        <v>22261.232177399099</v>
      </c>
      <c r="AT561" s="6">
        <v>0</v>
      </c>
      <c r="AU561" t="s">
        <v>2973</v>
      </c>
      <c r="AV561" t="s">
        <v>2973</v>
      </c>
    </row>
    <row r="562" spans="1:48" x14ac:dyDescent="0.45">
      <c r="A562" s="5" t="s">
        <v>1149</v>
      </c>
      <c r="B562">
        <v>2008</v>
      </c>
      <c r="C562" t="s">
        <v>1145</v>
      </c>
      <c r="D562">
        <v>330</v>
      </c>
      <c r="E562" t="s">
        <v>1150</v>
      </c>
      <c r="F562" t="s">
        <v>2739</v>
      </c>
      <c r="G562" t="s">
        <v>2740</v>
      </c>
      <c r="H562" t="s">
        <v>2741</v>
      </c>
      <c r="I562" t="s">
        <v>2742</v>
      </c>
      <c r="J562">
        <v>25.285714285712999</v>
      </c>
      <c r="K562">
        <v>1</v>
      </c>
      <c r="L562">
        <v>1</v>
      </c>
      <c r="M562">
        <v>2</v>
      </c>
      <c r="N562" s="6">
        <v>233912.843790874</v>
      </c>
      <c r="O562" s="6">
        <v>56472.2953512288</v>
      </c>
      <c r="P562" s="6">
        <v>146971.70516851399</v>
      </c>
      <c r="Q562" s="6">
        <v>12982.2148406615</v>
      </c>
      <c r="R562" s="6">
        <v>51293.552206714703</v>
      </c>
      <c r="S562" s="6">
        <v>61258.545127640697</v>
      </c>
      <c r="T562" s="6">
        <v>341190.76</v>
      </c>
      <c r="U562" s="6">
        <v>160441.851357993</v>
      </c>
      <c r="V562" s="6">
        <v>473086.90945882298</v>
      </c>
      <c r="W562" s="6">
        <v>28545.701899170501</v>
      </c>
      <c r="X562" s="6">
        <v>0</v>
      </c>
      <c r="Y562" s="6">
        <v>0</v>
      </c>
      <c r="Z562" s="6">
        <v>0</v>
      </c>
      <c r="AA562" s="6">
        <v>0</v>
      </c>
      <c r="AB562" s="6">
        <v>0</v>
      </c>
      <c r="AC562" s="6">
        <v>54144.703553183703</v>
      </c>
      <c r="AD562" s="6">
        <v>7113.8415744570002</v>
      </c>
      <c r="AE562" s="6">
        <v>0</v>
      </c>
      <c r="AF562" s="6">
        <v>0</v>
      </c>
      <c r="AG562" s="6">
        <v>0</v>
      </c>
      <c r="AH562" s="6">
        <v>0</v>
      </c>
      <c r="AI562" s="6">
        <v>0</v>
      </c>
      <c r="AJ562" s="6">
        <v>562891.15648563404</v>
      </c>
      <c r="AK562" s="6">
        <v>22261.232177399099</v>
      </c>
      <c r="AL562" s="6">
        <v>330.98244656580999</v>
      </c>
      <c r="AM562" s="6">
        <v>93035.839999999997</v>
      </c>
      <c r="AN562" s="6">
        <v>16776.108890970499</v>
      </c>
      <c r="AO562" s="6">
        <v>22261.232177399099</v>
      </c>
      <c r="AP562" s="6">
        <v>330.98244656580999</v>
      </c>
      <c r="AQ562" s="6">
        <v>93035.839999999997</v>
      </c>
      <c r="AR562" s="6">
        <v>16776.108890970499</v>
      </c>
      <c r="AS562" s="6">
        <v>22261.232177399099</v>
      </c>
      <c r="AT562" s="6">
        <v>0</v>
      </c>
      <c r="AU562" t="s">
        <v>2973</v>
      </c>
      <c r="AV562" t="s">
        <v>2973</v>
      </c>
    </row>
    <row r="563" spans="1:48" x14ac:dyDescent="0.45">
      <c r="A563" s="5" t="s">
        <v>1151</v>
      </c>
      <c r="B563">
        <v>2107</v>
      </c>
      <c r="C563" t="s">
        <v>1152</v>
      </c>
      <c r="D563">
        <v>691</v>
      </c>
      <c r="E563" t="s">
        <v>1153</v>
      </c>
      <c r="F563" t="s">
        <v>2739</v>
      </c>
      <c r="G563" t="s">
        <v>2740</v>
      </c>
      <c r="H563" t="s">
        <v>2745</v>
      </c>
      <c r="I563" t="s">
        <v>2742</v>
      </c>
      <c r="J563">
        <v>18.625850340130999</v>
      </c>
      <c r="K563">
        <v>1</v>
      </c>
      <c r="L563">
        <v>1</v>
      </c>
      <c r="M563">
        <v>3</v>
      </c>
      <c r="N563" s="6">
        <v>150854.523183465</v>
      </c>
      <c r="O563" s="6">
        <v>50265.099035233798</v>
      </c>
      <c r="P563" s="6">
        <v>114268.28698042899</v>
      </c>
      <c r="Q563" s="6">
        <v>74190.246973410496</v>
      </c>
      <c r="R563" s="6">
        <v>0</v>
      </c>
      <c r="S563" s="6">
        <v>34691.854485417702</v>
      </c>
      <c r="T563" s="6">
        <v>130870.05</v>
      </c>
      <c r="U563" s="6">
        <v>258708.10617253801</v>
      </c>
      <c r="V563" s="6">
        <v>355193.76198567997</v>
      </c>
      <c r="W563" s="6">
        <v>34384.394186858299</v>
      </c>
      <c r="X563" s="6">
        <v>0</v>
      </c>
      <c r="Y563" s="6">
        <v>0</v>
      </c>
      <c r="Z563" s="6">
        <v>0</v>
      </c>
      <c r="AA563" s="6">
        <v>0</v>
      </c>
      <c r="AB563" s="6">
        <v>0</v>
      </c>
      <c r="AC563" s="6">
        <v>23323.429080900201</v>
      </c>
      <c r="AD563" s="6">
        <v>11368.4254045176</v>
      </c>
      <c r="AE563" s="6">
        <v>0</v>
      </c>
      <c r="AF563" s="6">
        <v>0</v>
      </c>
      <c r="AG563" s="6">
        <v>0</v>
      </c>
      <c r="AH563" s="6">
        <v>0</v>
      </c>
      <c r="AI563" s="6">
        <v>0</v>
      </c>
      <c r="AJ563" s="6">
        <v>424270.01065795601</v>
      </c>
      <c r="AK563" s="6">
        <v>22778.557913344201</v>
      </c>
      <c r="AL563" s="6">
        <v>330.98244656580999</v>
      </c>
      <c r="AM563" s="6">
        <v>93035.839999999997</v>
      </c>
      <c r="AN563" s="6">
        <v>22778.557913344201</v>
      </c>
      <c r="AO563" s="6">
        <v>33519.420837374397</v>
      </c>
      <c r="AP563" s="6">
        <v>330.98244656580999</v>
      </c>
      <c r="AQ563" s="6">
        <v>93035.839999999997</v>
      </c>
      <c r="AR563" s="6">
        <v>22778.557913344201</v>
      </c>
      <c r="AS563" s="6">
        <v>33519.420837374397</v>
      </c>
      <c r="AT563" s="6">
        <v>0</v>
      </c>
      <c r="AU563" t="s">
        <v>2973</v>
      </c>
      <c r="AV563" t="s">
        <v>2973</v>
      </c>
    </row>
    <row r="564" spans="1:48" x14ac:dyDescent="0.45">
      <c r="A564" s="5" t="s">
        <v>1154</v>
      </c>
      <c r="B564">
        <v>2107</v>
      </c>
      <c r="C564" t="s">
        <v>1152</v>
      </c>
      <c r="D564">
        <v>712</v>
      </c>
      <c r="E564" t="s">
        <v>1155</v>
      </c>
      <c r="F564" t="s">
        <v>2739</v>
      </c>
      <c r="G564" t="s">
        <v>2744</v>
      </c>
      <c r="H564" t="s">
        <v>2745</v>
      </c>
      <c r="I564" t="s">
        <v>2742</v>
      </c>
      <c r="J564">
        <v>34.476190476188997</v>
      </c>
      <c r="K564">
        <v>1</v>
      </c>
      <c r="L564">
        <v>1</v>
      </c>
      <c r="M564">
        <v>3</v>
      </c>
      <c r="N564" s="6">
        <v>490855.02250322199</v>
      </c>
      <c r="O564" s="6">
        <v>156634.85069781699</v>
      </c>
      <c r="P564" s="6">
        <v>211509.01330056501</v>
      </c>
      <c r="Q564" s="6">
        <v>137325.11748039801</v>
      </c>
      <c r="R564" s="6">
        <v>1389.8</v>
      </c>
      <c r="S564" s="6">
        <v>64214.141173169199</v>
      </c>
      <c r="T564" s="6">
        <v>518848.69</v>
      </c>
      <c r="U564" s="6">
        <v>478865.11398200301</v>
      </c>
      <c r="V564" s="6">
        <v>912710.62516570103</v>
      </c>
      <c r="W564" s="6">
        <v>85003.178816301996</v>
      </c>
      <c r="X564" s="6">
        <v>0</v>
      </c>
      <c r="Y564" s="6">
        <v>0</v>
      </c>
      <c r="Z564" s="6">
        <v>0</v>
      </c>
      <c r="AA564" s="6">
        <v>0</v>
      </c>
      <c r="AB564" s="6">
        <v>0</v>
      </c>
      <c r="AC564" s="6">
        <v>43171.343528863799</v>
      </c>
      <c r="AD564" s="6">
        <v>21042.797644305399</v>
      </c>
      <c r="AE564" s="6">
        <v>0</v>
      </c>
      <c r="AF564" s="6">
        <v>0</v>
      </c>
      <c r="AG564" s="6">
        <v>0</v>
      </c>
      <c r="AH564" s="6">
        <v>0</v>
      </c>
      <c r="AI564" s="6">
        <v>0</v>
      </c>
      <c r="AJ564" s="6">
        <v>1061927.94515517</v>
      </c>
      <c r="AK564" s="6">
        <v>30801.777414723099</v>
      </c>
      <c r="AL564" s="6">
        <v>330.98244656580999</v>
      </c>
      <c r="AM564" s="6">
        <v>93035.839999999997</v>
      </c>
      <c r="AN564" s="6">
        <v>22778.557913344201</v>
      </c>
      <c r="AO564" s="6">
        <v>33519.420837374397</v>
      </c>
      <c r="AP564" s="6">
        <v>330.98244656580999</v>
      </c>
      <c r="AQ564" s="6">
        <v>40734.411818744898</v>
      </c>
      <c r="AR564" s="6">
        <v>30801.777414723099</v>
      </c>
      <c r="AS564" s="6">
        <v>30801.777414723099</v>
      </c>
      <c r="AT564" s="6">
        <v>0</v>
      </c>
      <c r="AU564" t="s">
        <v>2973</v>
      </c>
      <c r="AV564" t="s">
        <v>2973</v>
      </c>
    </row>
    <row r="565" spans="1:48" x14ac:dyDescent="0.45">
      <c r="A565" s="5" t="s">
        <v>1156</v>
      </c>
      <c r="B565">
        <v>2107</v>
      </c>
      <c r="C565" t="s">
        <v>1152</v>
      </c>
      <c r="D565">
        <v>3132</v>
      </c>
      <c r="E565" t="s">
        <v>1157</v>
      </c>
      <c r="F565" t="s">
        <v>2739</v>
      </c>
      <c r="G565" t="s">
        <v>2740</v>
      </c>
      <c r="H565" t="s">
        <v>2745</v>
      </c>
      <c r="I565" t="s">
        <v>2742</v>
      </c>
      <c r="J565">
        <v>5</v>
      </c>
      <c r="K565">
        <v>0</v>
      </c>
      <c r="L565">
        <v>0</v>
      </c>
      <c r="M565">
        <v>3</v>
      </c>
      <c r="N565" s="6">
        <v>94200.3243133129</v>
      </c>
      <c r="O565" s="6">
        <v>13493.3702669492</v>
      </c>
      <c r="P565" s="6">
        <v>30674.649719005902</v>
      </c>
      <c r="Q565" s="6">
        <v>19915.935546191198</v>
      </c>
      <c r="R565" s="6">
        <v>0</v>
      </c>
      <c r="S565" s="6">
        <v>9312.8243414130593</v>
      </c>
      <c r="T565" s="6">
        <v>88835.61</v>
      </c>
      <c r="U565" s="6">
        <v>69448.669845459197</v>
      </c>
      <c r="V565" s="6">
        <v>149704.63284861899</v>
      </c>
      <c r="W565" s="6">
        <v>8579.6469968397396</v>
      </c>
      <c r="X565" s="6">
        <v>0</v>
      </c>
      <c r="Y565" s="6">
        <v>0</v>
      </c>
      <c r="Z565" s="6">
        <v>0</v>
      </c>
      <c r="AA565" s="6">
        <v>0</v>
      </c>
      <c r="AB565" s="6">
        <v>0</v>
      </c>
      <c r="AC565" s="6">
        <v>6261.0373902360398</v>
      </c>
      <c r="AD565" s="6">
        <v>3051.78695117702</v>
      </c>
      <c r="AE565" s="6">
        <v>0</v>
      </c>
      <c r="AF565" s="6">
        <v>0</v>
      </c>
      <c r="AG565" s="6">
        <v>0</v>
      </c>
      <c r="AH565" s="6">
        <v>0</v>
      </c>
      <c r="AI565" s="6">
        <v>0</v>
      </c>
      <c r="AJ565" s="6">
        <v>167597.10418687199</v>
      </c>
      <c r="AK565" s="6">
        <v>33519.420837374397</v>
      </c>
      <c r="AL565" s="6">
        <v>330.98244656580999</v>
      </c>
      <c r="AM565" s="6">
        <v>93035.839999999997</v>
      </c>
      <c r="AN565" s="6">
        <v>22778.557913344201</v>
      </c>
      <c r="AO565" s="6">
        <v>33519.420837374397</v>
      </c>
      <c r="AP565" s="6">
        <v>330.98244656580999</v>
      </c>
      <c r="AQ565" s="6">
        <v>93035.839999999997</v>
      </c>
      <c r="AR565" s="6">
        <v>22778.557913344201</v>
      </c>
      <c r="AS565" s="6">
        <v>33519.420837374397</v>
      </c>
      <c r="AT565" s="6">
        <v>0</v>
      </c>
      <c r="AU565" t="s">
        <v>2973</v>
      </c>
      <c r="AV565" t="s">
        <v>2973</v>
      </c>
    </row>
    <row r="566" spans="1:48" x14ac:dyDescent="0.45">
      <c r="A566" s="5" t="s">
        <v>1158</v>
      </c>
      <c r="B566">
        <v>2219</v>
      </c>
      <c r="C566" t="s">
        <v>1159</v>
      </c>
      <c r="D566">
        <v>1084</v>
      </c>
      <c r="E566" t="s">
        <v>1160</v>
      </c>
      <c r="F566" t="s">
        <v>2739</v>
      </c>
      <c r="G566" t="s">
        <v>2740</v>
      </c>
      <c r="H566" t="s">
        <v>2741</v>
      </c>
      <c r="I566" t="s">
        <v>2742</v>
      </c>
      <c r="J566">
        <v>8.6821192052979992</v>
      </c>
      <c r="K566">
        <v>0</v>
      </c>
      <c r="L566">
        <v>0</v>
      </c>
      <c r="M566">
        <v>2</v>
      </c>
      <c r="N566" s="6">
        <v>147898.73521448701</v>
      </c>
      <c r="O566" s="6">
        <v>11868.704997136199</v>
      </c>
      <c r="P566" s="6">
        <v>28960.378440737601</v>
      </c>
      <c r="Q566" s="6">
        <v>5760.8054578102301</v>
      </c>
      <c r="R566" s="6">
        <v>7629.19671263297</v>
      </c>
      <c r="S566" s="6">
        <v>6630.0850765887199</v>
      </c>
      <c r="T566" s="6">
        <v>126876.34</v>
      </c>
      <c r="U566" s="6">
        <v>75241.480822803802</v>
      </c>
      <c r="V566" s="6">
        <v>172882.975199974</v>
      </c>
      <c r="W566" s="6">
        <v>29234.845622830198</v>
      </c>
      <c r="X566" s="6">
        <v>0</v>
      </c>
      <c r="Y566" s="6">
        <v>0</v>
      </c>
      <c r="Z566" s="6">
        <v>0</v>
      </c>
      <c r="AA566" s="6">
        <v>0</v>
      </c>
      <c r="AB566" s="6">
        <v>0</v>
      </c>
      <c r="AC566" s="6">
        <v>6614.9333840106901</v>
      </c>
      <c r="AD566" s="6">
        <v>15.151692578021899</v>
      </c>
      <c r="AE566" s="6">
        <v>0</v>
      </c>
      <c r="AF566" s="6">
        <v>0</v>
      </c>
      <c r="AG566" s="6">
        <v>0</v>
      </c>
      <c r="AH566" s="6">
        <v>0</v>
      </c>
      <c r="AI566" s="6">
        <v>0</v>
      </c>
      <c r="AJ566" s="6">
        <v>208747.905899392</v>
      </c>
      <c r="AK566" s="6">
        <v>24043.4277580536</v>
      </c>
      <c r="AL566" s="6">
        <v>330.98244656580999</v>
      </c>
      <c r="AM566" s="6">
        <v>93035.839999999997</v>
      </c>
      <c r="AN566" s="6">
        <v>17469.272582474001</v>
      </c>
      <c r="AO566" s="6">
        <v>24043.4277580536</v>
      </c>
      <c r="AP566" s="6">
        <v>330.98244656580999</v>
      </c>
      <c r="AQ566" s="6">
        <v>93035.839999999997</v>
      </c>
      <c r="AR566" s="6">
        <v>24043.4277580536</v>
      </c>
      <c r="AS566" s="6">
        <v>24043.4277580536</v>
      </c>
      <c r="AT566" s="6">
        <v>0</v>
      </c>
      <c r="AU566" t="s">
        <v>2973</v>
      </c>
      <c r="AV566" t="s">
        <v>2973</v>
      </c>
    </row>
    <row r="567" spans="1:48" x14ac:dyDescent="0.45">
      <c r="A567" s="5" t="s">
        <v>1161</v>
      </c>
      <c r="B567">
        <v>2219</v>
      </c>
      <c r="C567" t="s">
        <v>1159</v>
      </c>
      <c r="D567">
        <v>1087</v>
      </c>
      <c r="E567" t="s">
        <v>1162</v>
      </c>
      <c r="F567" t="s">
        <v>3</v>
      </c>
      <c r="G567" t="s">
        <v>2748</v>
      </c>
      <c r="H567" t="s">
        <v>2745</v>
      </c>
      <c r="I567" t="s">
        <v>2742</v>
      </c>
      <c r="J567">
        <v>251.374172185406</v>
      </c>
      <c r="K567">
        <v>1</v>
      </c>
      <c r="L567">
        <v>1</v>
      </c>
      <c r="M567">
        <v>2</v>
      </c>
      <c r="N567" s="6">
        <v>2478934.6047855099</v>
      </c>
      <c r="O567" s="6">
        <v>445149.53500286402</v>
      </c>
      <c r="P567" s="6">
        <v>838492.42155926197</v>
      </c>
      <c r="Q567" s="6">
        <v>166793.11454218999</v>
      </c>
      <c r="R567" s="6">
        <v>269992.813287367</v>
      </c>
      <c r="S567" s="6">
        <v>191961.44492341101</v>
      </c>
      <c r="T567" s="6">
        <v>2020889.18</v>
      </c>
      <c r="U567" s="6">
        <v>2178473.3091771998</v>
      </c>
      <c r="V567" s="6">
        <v>3352923.3948000199</v>
      </c>
      <c r="W567" s="6">
        <v>846439.09437716997</v>
      </c>
      <c r="X567" s="6">
        <v>0</v>
      </c>
      <c r="Y567" s="6">
        <v>0</v>
      </c>
      <c r="Z567" s="6">
        <v>0</v>
      </c>
      <c r="AA567" s="6">
        <v>0</v>
      </c>
      <c r="AB567" s="6">
        <v>0</v>
      </c>
      <c r="AC567" s="6">
        <v>191522.756615989</v>
      </c>
      <c r="AD567" s="6">
        <v>438.68830742197798</v>
      </c>
      <c r="AE567" s="6">
        <v>0</v>
      </c>
      <c r="AF567" s="6">
        <v>0</v>
      </c>
      <c r="AG567" s="6">
        <v>0</v>
      </c>
      <c r="AH567" s="6">
        <v>0</v>
      </c>
      <c r="AI567" s="6">
        <v>0</v>
      </c>
      <c r="AJ567" s="6">
        <v>4391323.9341006</v>
      </c>
      <c r="AK567" s="6">
        <v>17469.272582474001</v>
      </c>
      <c r="AL567" s="6">
        <v>330.98244656580999</v>
      </c>
      <c r="AM567" s="6">
        <v>93035.839999999997</v>
      </c>
      <c r="AN567" s="6">
        <v>17469.272582474001</v>
      </c>
      <c r="AO567" s="6">
        <v>24043.4277580536</v>
      </c>
      <c r="AP567" s="6">
        <v>330.98244656580999</v>
      </c>
      <c r="AQ567" s="6">
        <v>56162.493707719797</v>
      </c>
      <c r="AR567" s="6">
        <v>17469.272582474001</v>
      </c>
      <c r="AS567" s="6">
        <v>17469.272582474001</v>
      </c>
      <c r="AT567" s="6">
        <v>0</v>
      </c>
      <c r="AU567" t="s">
        <v>2973</v>
      </c>
      <c r="AV567" t="s">
        <v>2973</v>
      </c>
    </row>
    <row r="568" spans="1:48" x14ac:dyDescent="0.45">
      <c r="A568" s="5" t="s">
        <v>1163</v>
      </c>
      <c r="B568">
        <v>2091</v>
      </c>
      <c r="C568" t="s">
        <v>1164</v>
      </c>
      <c r="D568">
        <v>597</v>
      </c>
      <c r="E568" t="s">
        <v>1165</v>
      </c>
      <c r="F568" t="s">
        <v>2739</v>
      </c>
      <c r="G568" t="s">
        <v>2744</v>
      </c>
      <c r="H568" t="s">
        <v>2745</v>
      </c>
      <c r="I568" t="s">
        <v>2742</v>
      </c>
      <c r="J568">
        <v>536.04571697899598</v>
      </c>
      <c r="K568">
        <v>1</v>
      </c>
      <c r="L568">
        <v>1</v>
      </c>
      <c r="M568">
        <v>2</v>
      </c>
      <c r="N568" s="6">
        <v>3610105.4643094498</v>
      </c>
      <c r="O568" s="6">
        <v>1965661.5109315801</v>
      </c>
      <c r="P568" s="6">
        <v>2580951.71613215</v>
      </c>
      <c r="Q568" s="6">
        <v>332001.416477249</v>
      </c>
      <c r="R568" s="6">
        <v>4634497.2081809398</v>
      </c>
      <c r="S568" s="6">
        <v>327196.167050716</v>
      </c>
      <c r="T568" s="6">
        <v>7011366.6500000004</v>
      </c>
      <c r="U568" s="6">
        <v>6111850.6660313802</v>
      </c>
      <c r="V568" s="6">
        <v>10591491.2828106</v>
      </c>
      <c r="W568" s="6">
        <v>2531726.03322074</v>
      </c>
      <c r="X568" s="6">
        <v>0</v>
      </c>
      <c r="Y568" s="6">
        <v>0</v>
      </c>
      <c r="Z568" s="6">
        <v>0</v>
      </c>
      <c r="AA568" s="6">
        <v>0</v>
      </c>
      <c r="AB568" s="6">
        <v>0</v>
      </c>
      <c r="AC568" s="6">
        <v>233111.74764781</v>
      </c>
      <c r="AD568" s="6">
        <v>94084.419402906802</v>
      </c>
      <c r="AE568" s="6">
        <v>0</v>
      </c>
      <c r="AF568" s="6">
        <v>0</v>
      </c>
      <c r="AG568" s="6">
        <v>0</v>
      </c>
      <c r="AH568" s="6">
        <v>0</v>
      </c>
      <c r="AI568" s="6">
        <v>0</v>
      </c>
      <c r="AJ568" s="6">
        <v>13450413.483082101</v>
      </c>
      <c r="AK568" s="6">
        <v>25091.914844287701</v>
      </c>
      <c r="AL568" s="6">
        <v>330.98244656580999</v>
      </c>
      <c r="AM568" s="6">
        <v>93035.839999999997</v>
      </c>
      <c r="AN568" s="6">
        <v>12012.1225282253</v>
      </c>
      <c r="AO568" s="6">
        <v>25091.914844287701</v>
      </c>
      <c r="AP568" s="6">
        <v>330.98244656580999</v>
      </c>
      <c r="AQ568" s="6">
        <v>40734.411818744898</v>
      </c>
      <c r="AR568" s="6">
        <v>25091.914844287701</v>
      </c>
      <c r="AS568" s="6">
        <v>25091.914844287701</v>
      </c>
      <c r="AT568" s="6">
        <v>0</v>
      </c>
      <c r="AU568" t="s">
        <v>2973</v>
      </c>
      <c r="AV568" t="s">
        <v>2973</v>
      </c>
    </row>
    <row r="569" spans="1:48" x14ac:dyDescent="0.45">
      <c r="A569" s="5" t="s">
        <v>1166</v>
      </c>
      <c r="B569">
        <v>2091</v>
      </c>
      <c r="C569" t="s">
        <v>1164</v>
      </c>
      <c r="D569">
        <v>2091</v>
      </c>
      <c r="E569" t="s">
        <v>1164</v>
      </c>
      <c r="F569" t="s">
        <v>1</v>
      </c>
      <c r="G569" t="s">
        <v>1</v>
      </c>
      <c r="H569" t="s">
        <v>2743</v>
      </c>
      <c r="I569" t="s">
        <v>2742</v>
      </c>
      <c r="J569">
        <v>8.5061519250920004</v>
      </c>
      <c r="K569">
        <v>0</v>
      </c>
      <c r="L569">
        <v>0</v>
      </c>
      <c r="M569">
        <v>2</v>
      </c>
      <c r="N569" s="6">
        <v>2373.8063601733902</v>
      </c>
      <c r="O569" s="6">
        <v>4001.93138638753</v>
      </c>
      <c r="P569" s="6">
        <v>13916.0122340086</v>
      </c>
      <c r="Q569" s="6">
        <v>5268.3090237467104</v>
      </c>
      <c r="R569" s="6">
        <v>71424.822437754294</v>
      </c>
      <c r="S569" s="6">
        <v>5192.0577258342801</v>
      </c>
      <c r="T569" s="6">
        <v>0</v>
      </c>
      <c r="U569" s="6">
        <v>96984.881442070502</v>
      </c>
      <c r="V569" s="6">
        <v>91911.290086278605</v>
      </c>
      <c r="W569" s="6">
        <v>5073.5913557918602</v>
      </c>
      <c r="X569" s="6">
        <v>0</v>
      </c>
      <c r="Y569" s="6">
        <v>0</v>
      </c>
      <c r="Z569" s="6">
        <v>0</v>
      </c>
      <c r="AA569" s="6">
        <v>0</v>
      </c>
      <c r="AB569" s="6">
        <v>0</v>
      </c>
      <c r="AC569" s="6">
        <v>3699.09483129714</v>
      </c>
      <c r="AD569" s="6">
        <v>1492.9628945371401</v>
      </c>
      <c r="AE569" s="6">
        <v>0</v>
      </c>
      <c r="AF569" s="6">
        <v>0</v>
      </c>
      <c r="AG569" s="6">
        <v>0</v>
      </c>
      <c r="AH569" s="6">
        <v>0</v>
      </c>
      <c r="AI569" s="6">
        <v>0</v>
      </c>
      <c r="AJ569" s="6">
        <v>102176.939167905</v>
      </c>
      <c r="AK569" s="6">
        <v>12012.1225282253</v>
      </c>
      <c r="AL569" s="6">
        <v>330.98244656580999</v>
      </c>
      <c r="AM569" s="6">
        <v>93035.839999999997</v>
      </c>
      <c r="AN569" s="6">
        <v>12012.1225282253</v>
      </c>
      <c r="AO569" s="6">
        <v>25091.914844287701</v>
      </c>
      <c r="AP569" s="6">
        <v>634.54287297753501</v>
      </c>
      <c r="AQ569" s="6">
        <v>40331.279999999999</v>
      </c>
      <c r="AR569" s="6">
        <v>12012.1225282253</v>
      </c>
      <c r="AS569" s="6">
        <v>12012.1225282253</v>
      </c>
      <c r="AT569" s="6">
        <v>0</v>
      </c>
      <c r="AU569" t="s">
        <v>2973</v>
      </c>
      <c r="AV569" t="s">
        <v>2977</v>
      </c>
    </row>
    <row r="570" spans="1:48" x14ac:dyDescent="0.45">
      <c r="A570" s="5" t="s">
        <v>1167</v>
      </c>
      <c r="B570">
        <v>2091</v>
      </c>
      <c r="C570" t="s">
        <v>1164</v>
      </c>
      <c r="D570">
        <v>595</v>
      </c>
      <c r="E570" t="s">
        <v>1168</v>
      </c>
      <c r="F570" t="s">
        <v>2739</v>
      </c>
      <c r="G570" t="s">
        <v>2740</v>
      </c>
      <c r="H570" t="s">
        <v>2745</v>
      </c>
      <c r="I570" t="s">
        <v>2742</v>
      </c>
      <c r="J570">
        <v>498.59463659133598</v>
      </c>
      <c r="K570">
        <v>1</v>
      </c>
      <c r="L570">
        <v>1</v>
      </c>
      <c r="M570">
        <v>2</v>
      </c>
      <c r="N570" s="6">
        <v>3286022.2153343498</v>
      </c>
      <c r="O570" s="6">
        <v>725070.19582595199</v>
      </c>
      <c r="P570" s="6">
        <v>1426805.4689535699</v>
      </c>
      <c r="Q570" s="6">
        <v>308805.98492454499</v>
      </c>
      <c r="R570" s="6">
        <v>4188390.8951549702</v>
      </c>
      <c r="S570" s="6">
        <v>304336.456457728</v>
      </c>
      <c r="T570" s="6">
        <v>4250251.3499999996</v>
      </c>
      <c r="U570" s="6">
        <v>5684843.41019338</v>
      </c>
      <c r="V570" s="6">
        <v>8677106.8211201001</v>
      </c>
      <c r="W570" s="6">
        <v>1257987.93907328</v>
      </c>
      <c r="X570" s="6">
        <v>0</v>
      </c>
      <c r="Y570" s="6">
        <v>0</v>
      </c>
      <c r="Z570" s="6">
        <v>0</v>
      </c>
      <c r="AA570" s="6">
        <v>0</v>
      </c>
      <c r="AB570" s="6">
        <v>0</v>
      </c>
      <c r="AC570" s="6">
        <v>216825.28825836099</v>
      </c>
      <c r="AD570" s="6">
        <v>87511.168199366904</v>
      </c>
      <c r="AE570" s="6">
        <v>0</v>
      </c>
      <c r="AF570" s="6">
        <v>0</v>
      </c>
      <c r="AG570" s="6">
        <v>0</v>
      </c>
      <c r="AH570" s="6">
        <v>0</v>
      </c>
      <c r="AI570" s="6">
        <v>0</v>
      </c>
      <c r="AJ570" s="6">
        <v>10239431.216651101</v>
      </c>
      <c r="AK570" s="6">
        <v>20536.585163958898</v>
      </c>
      <c r="AL570" s="6">
        <v>330.98244656580999</v>
      </c>
      <c r="AM570" s="6">
        <v>93035.839999999997</v>
      </c>
      <c r="AN570" s="6">
        <v>12012.1225282253</v>
      </c>
      <c r="AO570" s="6">
        <v>25091.914844287701</v>
      </c>
      <c r="AP570" s="6">
        <v>330.98244656580999</v>
      </c>
      <c r="AQ570" s="6">
        <v>93035.839999999997</v>
      </c>
      <c r="AR570" s="6">
        <v>19234.886749700901</v>
      </c>
      <c r="AS570" s="6">
        <v>20536.585163958898</v>
      </c>
      <c r="AT570" s="6">
        <v>0</v>
      </c>
      <c r="AU570" t="s">
        <v>2973</v>
      </c>
      <c r="AV570" t="s">
        <v>2973</v>
      </c>
    </row>
    <row r="571" spans="1:48" x14ac:dyDescent="0.45">
      <c r="A571" s="5" t="s">
        <v>1169</v>
      </c>
      <c r="B571">
        <v>2091</v>
      </c>
      <c r="C571" t="s">
        <v>1164</v>
      </c>
      <c r="D571">
        <v>596</v>
      </c>
      <c r="E571" t="s">
        <v>1170</v>
      </c>
      <c r="F571" t="s">
        <v>2739</v>
      </c>
      <c r="G571" t="s">
        <v>2747</v>
      </c>
      <c r="H571" t="s">
        <v>2745</v>
      </c>
      <c r="I571" t="s">
        <v>2742</v>
      </c>
      <c r="J571">
        <v>498.38304093563602</v>
      </c>
      <c r="K571">
        <v>1</v>
      </c>
      <c r="L571">
        <v>1</v>
      </c>
      <c r="M571">
        <v>2</v>
      </c>
      <c r="N571" s="6">
        <v>2567150.1054704702</v>
      </c>
      <c r="O571" s="6">
        <v>1007033.2353708</v>
      </c>
      <c r="P571" s="6">
        <v>1936681.39976222</v>
      </c>
      <c r="Q571" s="6">
        <v>308674.932562428</v>
      </c>
      <c r="R571" s="6">
        <v>4186744.1596498801</v>
      </c>
      <c r="S571" s="6">
        <v>304207.300892603</v>
      </c>
      <c r="T571" s="6">
        <v>4323852.9800000004</v>
      </c>
      <c r="U571" s="6">
        <v>5682430.8528157901</v>
      </c>
      <c r="V571" s="6">
        <v>8972556.2623852901</v>
      </c>
      <c r="W571" s="6">
        <v>1033727.5704305</v>
      </c>
      <c r="X571" s="6">
        <v>0</v>
      </c>
      <c r="Y571" s="6">
        <v>0</v>
      </c>
      <c r="Z571" s="6">
        <v>0</v>
      </c>
      <c r="AA571" s="6">
        <v>0</v>
      </c>
      <c r="AB571" s="6">
        <v>0</v>
      </c>
      <c r="AC571" s="6">
        <v>216733.27104503001</v>
      </c>
      <c r="AD571" s="6">
        <v>87474.029847573198</v>
      </c>
      <c r="AE571" s="6">
        <v>0</v>
      </c>
      <c r="AF571" s="6">
        <v>0</v>
      </c>
      <c r="AG571" s="6">
        <v>0</v>
      </c>
      <c r="AH571" s="6">
        <v>0</v>
      </c>
      <c r="AI571" s="6">
        <v>0</v>
      </c>
      <c r="AJ571" s="6">
        <v>10310491.133708401</v>
      </c>
      <c r="AK571" s="6">
        <v>20687.885194392002</v>
      </c>
      <c r="AL571" s="6">
        <v>330.98244656580999</v>
      </c>
      <c r="AM571" s="6">
        <v>93035.839999999997</v>
      </c>
      <c r="AN571" s="6">
        <v>12012.1225282253</v>
      </c>
      <c r="AO571" s="6">
        <v>25091.914844287701</v>
      </c>
      <c r="AP571" s="6">
        <v>3753.1860850462999</v>
      </c>
      <c r="AQ571" s="6">
        <v>20687.885194392002</v>
      </c>
      <c r="AR571" s="6">
        <v>20687.885194392002</v>
      </c>
      <c r="AS571" s="6">
        <v>20687.885194392002</v>
      </c>
      <c r="AT571" s="6">
        <v>0</v>
      </c>
      <c r="AU571" t="s">
        <v>2973</v>
      </c>
      <c r="AV571" t="s">
        <v>2973</v>
      </c>
    </row>
    <row r="572" spans="1:48" x14ac:dyDescent="0.45">
      <c r="A572" s="5" t="s">
        <v>1171</v>
      </c>
      <c r="B572">
        <v>2091</v>
      </c>
      <c r="C572" t="s">
        <v>1164</v>
      </c>
      <c r="D572">
        <v>1297</v>
      </c>
      <c r="E572" t="s">
        <v>1172</v>
      </c>
      <c r="F572" t="s">
        <v>2739</v>
      </c>
      <c r="G572" t="s">
        <v>2740</v>
      </c>
      <c r="H572" t="s">
        <v>2745</v>
      </c>
      <c r="I572" t="s">
        <v>2742</v>
      </c>
      <c r="J572">
        <v>144.25732282690299</v>
      </c>
      <c r="K572">
        <v>1</v>
      </c>
      <c r="L572">
        <v>1</v>
      </c>
      <c r="M572">
        <v>2</v>
      </c>
      <c r="N572" s="6">
        <v>768015.49852555199</v>
      </c>
      <c r="O572" s="6">
        <v>278691.12648528098</v>
      </c>
      <c r="P572" s="6">
        <v>339361.35291805601</v>
      </c>
      <c r="Q572" s="6">
        <v>89346.177012033004</v>
      </c>
      <c r="R572" s="6">
        <v>1211306.0945764701</v>
      </c>
      <c r="S572" s="6">
        <v>88053.017873119097</v>
      </c>
      <c r="T572" s="6">
        <v>1041936.63</v>
      </c>
      <c r="U572" s="6">
        <v>1644783.6195173899</v>
      </c>
      <c r="V572" s="6">
        <v>2480491.49359771</v>
      </c>
      <c r="W572" s="6">
        <v>206228.755919691</v>
      </c>
      <c r="X572" s="6">
        <v>0</v>
      </c>
      <c r="Y572" s="6">
        <v>0</v>
      </c>
      <c r="Z572" s="6">
        <v>0</v>
      </c>
      <c r="AA572" s="6">
        <v>0</v>
      </c>
      <c r="AB572" s="6">
        <v>0</v>
      </c>
      <c r="AC572" s="6">
        <v>62733.598217502898</v>
      </c>
      <c r="AD572" s="6">
        <v>25319.419655616199</v>
      </c>
      <c r="AE572" s="6">
        <v>0</v>
      </c>
      <c r="AF572" s="6">
        <v>0</v>
      </c>
      <c r="AG572" s="6">
        <v>0</v>
      </c>
      <c r="AH572" s="6">
        <v>0</v>
      </c>
      <c r="AI572" s="6">
        <v>0</v>
      </c>
      <c r="AJ572" s="6">
        <v>2774773.2673905101</v>
      </c>
      <c r="AK572" s="6">
        <v>19234.886749700901</v>
      </c>
      <c r="AL572" s="6">
        <v>330.98244656580999</v>
      </c>
      <c r="AM572" s="6">
        <v>93035.839999999997</v>
      </c>
      <c r="AN572" s="6">
        <v>12012.1225282253</v>
      </c>
      <c r="AO572" s="6">
        <v>25091.914844287701</v>
      </c>
      <c r="AP572" s="6">
        <v>330.98244656580999</v>
      </c>
      <c r="AQ572" s="6">
        <v>93035.839999999997</v>
      </c>
      <c r="AR572" s="6">
        <v>19234.886749700901</v>
      </c>
      <c r="AS572" s="6">
        <v>20536.585163958898</v>
      </c>
      <c r="AT572" s="6">
        <v>0</v>
      </c>
      <c r="AU572" t="s">
        <v>2973</v>
      </c>
      <c r="AV572" t="s">
        <v>2973</v>
      </c>
    </row>
    <row r="573" spans="1:48" x14ac:dyDescent="0.45">
      <c r="A573" s="5" t="s">
        <v>1173</v>
      </c>
      <c r="B573">
        <v>2109</v>
      </c>
      <c r="C573" t="s">
        <v>1174</v>
      </c>
      <c r="D573">
        <v>700</v>
      </c>
      <c r="E573" t="s">
        <v>1175</v>
      </c>
      <c r="F573" t="s">
        <v>2739</v>
      </c>
      <c r="G573" t="s">
        <v>2740</v>
      </c>
      <c r="H573" t="s">
        <v>2741</v>
      </c>
      <c r="I573" t="s">
        <v>2742</v>
      </c>
      <c r="J573">
        <v>3</v>
      </c>
      <c r="K573">
        <v>0</v>
      </c>
      <c r="L573">
        <v>0</v>
      </c>
      <c r="M573">
        <v>4</v>
      </c>
      <c r="N573" s="6">
        <v>98834.08</v>
      </c>
      <c r="O573" s="6">
        <v>17024.68</v>
      </c>
      <c r="P573" s="6">
        <v>92568.69</v>
      </c>
      <c r="Q573" s="6">
        <v>20897.580000000002</v>
      </c>
      <c r="R573" s="6">
        <v>10000</v>
      </c>
      <c r="S573" s="6">
        <v>12698.52</v>
      </c>
      <c r="T573" s="6">
        <v>0</v>
      </c>
      <c r="U573" s="6">
        <v>239325.03</v>
      </c>
      <c r="V573" s="6">
        <v>222973.05</v>
      </c>
      <c r="W573" s="6">
        <v>16351.98</v>
      </c>
      <c r="X573" s="6">
        <v>0</v>
      </c>
      <c r="Y573" s="6">
        <v>0</v>
      </c>
      <c r="Z573" s="6">
        <v>0</v>
      </c>
      <c r="AA573" s="6">
        <v>0</v>
      </c>
      <c r="AB573" s="6">
        <v>0</v>
      </c>
      <c r="AC573" s="6">
        <v>12344.52</v>
      </c>
      <c r="AD573" s="6">
        <v>354</v>
      </c>
      <c r="AE573" s="6">
        <v>0</v>
      </c>
      <c r="AF573" s="6">
        <v>0</v>
      </c>
      <c r="AG573" s="6">
        <v>0</v>
      </c>
      <c r="AH573" s="6">
        <v>0</v>
      </c>
      <c r="AI573" s="6">
        <v>0</v>
      </c>
      <c r="AJ573" s="6">
        <v>252023.55</v>
      </c>
      <c r="AK573" s="6">
        <v>84007.85</v>
      </c>
      <c r="AL573" s="6">
        <v>330.98244656580999</v>
      </c>
      <c r="AM573" s="6">
        <v>93035.839999999997</v>
      </c>
      <c r="AN573" s="6">
        <v>84007.85</v>
      </c>
      <c r="AO573" s="6">
        <v>84007.85</v>
      </c>
      <c r="AP573" s="6">
        <v>330.98244656580999</v>
      </c>
      <c r="AQ573" s="6">
        <v>93035.839999999997</v>
      </c>
      <c r="AR573" s="6">
        <v>84007.85</v>
      </c>
      <c r="AS573" s="6">
        <v>84007.85</v>
      </c>
      <c r="AT573" s="6">
        <v>0</v>
      </c>
      <c r="AU573" t="s">
        <v>2973</v>
      </c>
      <c r="AV573" t="s">
        <v>2976</v>
      </c>
    </row>
    <row r="574" spans="1:48" x14ac:dyDescent="0.45">
      <c r="A574" s="5" t="s">
        <v>1176</v>
      </c>
      <c r="B574">
        <v>2057</v>
      </c>
      <c r="C574" t="s">
        <v>1177</v>
      </c>
      <c r="D574">
        <v>467</v>
      </c>
      <c r="E574" t="s">
        <v>1178</v>
      </c>
      <c r="F574" t="s">
        <v>2739</v>
      </c>
      <c r="G574" t="s">
        <v>2740</v>
      </c>
      <c r="H574" t="s">
        <v>2741</v>
      </c>
      <c r="I574" t="s">
        <v>2742</v>
      </c>
      <c r="J574">
        <v>224.43877173139401</v>
      </c>
      <c r="K574">
        <v>1</v>
      </c>
      <c r="L574">
        <v>1</v>
      </c>
      <c r="M574">
        <v>3</v>
      </c>
      <c r="N574" s="6">
        <v>1479325.3787756299</v>
      </c>
      <c r="O574" s="6">
        <v>418135.344490694</v>
      </c>
      <c r="P574" s="6">
        <v>426343.15403076599</v>
      </c>
      <c r="Q574" s="6">
        <v>138314.434586416</v>
      </c>
      <c r="R574" s="6">
        <v>137800.433026315</v>
      </c>
      <c r="S574" s="6">
        <v>107046.784806037</v>
      </c>
      <c r="T574" s="6">
        <v>1822853.42</v>
      </c>
      <c r="U574" s="6">
        <v>777065.32490981999</v>
      </c>
      <c r="V574" s="6">
        <v>2360610.3519187798</v>
      </c>
      <c r="W574" s="6">
        <v>230718.15220551399</v>
      </c>
      <c r="X574" s="6">
        <v>0</v>
      </c>
      <c r="Y574" s="6">
        <v>0</v>
      </c>
      <c r="Z574" s="6">
        <v>0</v>
      </c>
      <c r="AA574" s="6">
        <v>8590.2407855224792</v>
      </c>
      <c r="AB574" s="6">
        <v>0</v>
      </c>
      <c r="AC574" s="6">
        <v>87950.466787985803</v>
      </c>
      <c r="AD574" s="6">
        <v>19096.318018051599</v>
      </c>
      <c r="AE574" s="6">
        <v>0</v>
      </c>
      <c r="AF574" s="6">
        <v>0</v>
      </c>
      <c r="AG574" s="6">
        <v>0</v>
      </c>
      <c r="AH574" s="6">
        <v>0</v>
      </c>
      <c r="AI574" s="6">
        <v>0</v>
      </c>
      <c r="AJ574" s="6">
        <v>2706965.5297158598</v>
      </c>
      <c r="AK574" s="6">
        <v>12061.0423450166</v>
      </c>
      <c r="AL574" s="6">
        <v>330.98244656580999</v>
      </c>
      <c r="AM574" s="6">
        <v>93035.839999999997</v>
      </c>
      <c r="AN574" s="6">
        <v>3939.21292161567</v>
      </c>
      <c r="AO574" s="6">
        <v>29042.4110524727</v>
      </c>
      <c r="AP574" s="6">
        <v>330.98244656580999</v>
      </c>
      <c r="AQ574" s="6">
        <v>93035.839999999997</v>
      </c>
      <c r="AR574" s="6">
        <v>3939.21292161567</v>
      </c>
      <c r="AS574" s="6">
        <v>29042.4110524727</v>
      </c>
      <c r="AT574" s="6">
        <v>0</v>
      </c>
      <c r="AU574" t="s">
        <v>2973</v>
      </c>
      <c r="AV574" t="s">
        <v>2973</v>
      </c>
    </row>
    <row r="575" spans="1:48" x14ac:dyDescent="0.45">
      <c r="A575" s="5" t="s">
        <v>1179</v>
      </c>
      <c r="B575">
        <v>2057</v>
      </c>
      <c r="C575" t="s">
        <v>1177</v>
      </c>
      <c r="D575">
        <v>482</v>
      </c>
      <c r="E575" t="s">
        <v>1180</v>
      </c>
      <c r="F575" t="s">
        <v>2739</v>
      </c>
      <c r="G575" t="s">
        <v>2744</v>
      </c>
      <c r="H575" t="s">
        <v>2741</v>
      </c>
      <c r="I575" t="s">
        <v>2742</v>
      </c>
      <c r="J575">
        <v>180.88216246553401</v>
      </c>
      <c r="K575">
        <v>1</v>
      </c>
      <c r="L575">
        <v>1</v>
      </c>
      <c r="M575">
        <v>3</v>
      </c>
      <c r="N575" s="6">
        <v>1702248.6072191601</v>
      </c>
      <c r="O575" s="6">
        <v>750827.05454571999</v>
      </c>
      <c r="P575" s="6">
        <v>668977.71104830795</v>
      </c>
      <c r="Q575" s="6">
        <v>99621.963124868693</v>
      </c>
      <c r="R575" s="6">
        <v>108705.35401843001</v>
      </c>
      <c r="S575" s="6">
        <v>86272.321717532599</v>
      </c>
      <c r="T575" s="6">
        <v>2704119.66</v>
      </c>
      <c r="U575" s="6">
        <v>626261.02995648305</v>
      </c>
      <c r="V575" s="6">
        <v>2762834.4038834502</v>
      </c>
      <c r="W575" s="6">
        <v>561699.95723612199</v>
      </c>
      <c r="X575" s="6">
        <v>0</v>
      </c>
      <c r="Y575" s="6">
        <v>0</v>
      </c>
      <c r="Z575" s="6">
        <v>0</v>
      </c>
      <c r="AA575" s="6">
        <v>5846.3288369064203</v>
      </c>
      <c r="AB575" s="6">
        <v>0</v>
      </c>
      <c r="AC575" s="6">
        <v>70882.007149385507</v>
      </c>
      <c r="AD575" s="6">
        <v>15390.3145681471</v>
      </c>
      <c r="AE575" s="6">
        <v>0</v>
      </c>
      <c r="AF575" s="6">
        <v>0</v>
      </c>
      <c r="AG575" s="6">
        <v>0</v>
      </c>
      <c r="AH575" s="6">
        <v>0</v>
      </c>
      <c r="AI575" s="6">
        <v>0</v>
      </c>
      <c r="AJ575" s="6">
        <v>3416653.01167402</v>
      </c>
      <c r="AK575" s="6">
        <v>18888.8332884954</v>
      </c>
      <c r="AL575" s="6">
        <v>330.98244656580999</v>
      </c>
      <c r="AM575" s="6">
        <v>93035.839999999997</v>
      </c>
      <c r="AN575" s="6">
        <v>3939.21292161567</v>
      </c>
      <c r="AO575" s="6">
        <v>29042.4110524727</v>
      </c>
      <c r="AP575" s="6">
        <v>330.98244656580999</v>
      </c>
      <c r="AQ575" s="6">
        <v>40734.411818744898</v>
      </c>
      <c r="AR575" s="6">
        <v>3939.21292161567</v>
      </c>
      <c r="AS575" s="6">
        <v>26099.4574989832</v>
      </c>
      <c r="AT575" s="6">
        <v>0</v>
      </c>
      <c r="AU575" t="s">
        <v>2973</v>
      </c>
      <c r="AV575" t="s">
        <v>2973</v>
      </c>
    </row>
    <row r="576" spans="1:48" x14ac:dyDescent="0.45">
      <c r="A576" s="5" t="s">
        <v>1181</v>
      </c>
      <c r="B576">
        <v>2057</v>
      </c>
      <c r="C576" t="s">
        <v>1177</v>
      </c>
      <c r="D576">
        <v>480</v>
      </c>
      <c r="E576" t="s">
        <v>1182</v>
      </c>
      <c r="F576" t="s">
        <v>2739</v>
      </c>
      <c r="G576" t="s">
        <v>2747</v>
      </c>
      <c r="H576" t="s">
        <v>2741</v>
      </c>
      <c r="I576" t="s">
        <v>2742</v>
      </c>
      <c r="J576">
        <v>379.49566434163</v>
      </c>
      <c r="K576">
        <v>1</v>
      </c>
      <c r="L576">
        <v>1</v>
      </c>
      <c r="M576">
        <v>3</v>
      </c>
      <c r="N576" s="6">
        <v>2545005.4940307802</v>
      </c>
      <c r="O576" s="6">
        <v>927245.93328877399</v>
      </c>
      <c r="P576" s="6">
        <v>876297.16929131595</v>
      </c>
      <c r="Q576" s="6">
        <v>206445.82008074701</v>
      </c>
      <c r="R576" s="6">
        <v>226604.22591330699</v>
      </c>
      <c r="S576" s="6">
        <v>181001.662066752</v>
      </c>
      <c r="T576" s="6">
        <v>3467686.08</v>
      </c>
      <c r="U576" s="6">
        <v>1313912.56260492</v>
      </c>
      <c r="V576" s="6">
        <v>4173486.1299371198</v>
      </c>
      <c r="W576" s="6">
        <v>588800.20679845696</v>
      </c>
      <c r="X576" s="6">
        <v>0</v>
      </c>
      <c r="Y576" s="6">
        <v>0</v>
      </c>
      <c r="Z576" s="6">
        <v>0</v>
      </c>
      <c r="AA576" s="6">
        <v>19312.305869345</v>
      </c>
      <c r="AB576" s="6">
        <v>0</v>
      </c>
      <c r="AC576" s="6">
        <v>148712.366251978</v>
      </c>
      <c r="AD576" s="6">
        <v>32289.295814773999</v>
      </c>
      <c r="AE576" s="6">
        <v>0</v>
      </c>
      <c r="AF576" s="6">
        <v>0</v>
      </c>
      <c r="AG576" s="6">
        <v>0</v>
      </c>
      <c r="AH576" s="6">
        <v>0</v>
      </c>
      <c r="AI576" s="6">
        <v>0</v>
      </c>
      <c r="AJ576" s="6">
        <v>4962600.3046716601</v>
      </c>
      <c r="AK576" s="6">
        <v>13076.830043054801</v>
      </c>
      <c r="AL576" s="6">
        <v>330.98244656580999</v>
      </c>
      <c r="AM576" s="6">
        <v>93035.839999999997</v>
      </c>
      <c r="AN576" s="6">
        <v>3939.21292161567</v>
      </c>
      <c r="AO576" s="6">
        <v>29042.4110524727</v>
      </c>
      <c r="AP576" s="6">
        <v>3753.1860850462999</v>
      </c>
      <c r="AQ576" s="6">
        <v>20687.885194392002</v>
      </c>
      <c r="AR576" s="6">
        <v>13076.830043054801</v>
      </c>
      <c r="AS576" s="6">
        <v>14400.8743399086</v>
      </c>
      <c r="AT576" s="6">
        <v>0</v>
      </c>
      <c r="AU576" t="s">
        <v>2973</v>
      </c>
      <c r="AV576" t="s">
        <v>2973</v>
      </c>
    </row>
    <row r="577" spans="1:48" x14ac:dyDescent="0.45">
      <c r="A577" s="5" t="s">
        <v>1183</v>
      </c>
      <c r="B577">
        <v>2057</v>
      </c>
      <c r="C577" t="s">
        <v>1177</v>
      </c>
      <c r="D577">
        <v>468</v>
      </c>
      <c r="E577" t="s">
        <v>1184</v>
      </c>
      <c r="F577" t="s">
        <v>2739</v>
      </c>
      <c r="G577" t="s">
        <v>2740</v>
      </c>
      <c r="H577" t="s">
        <v>2741</v>
      </c>
      <c r="I577" t="s">
        <v>2742</v>
      </c>
      <c r="J577">
        <v>187.222952553932</v>
      </c>
      <c r="K577">
        <v>2</v>
      </c>
      <c r="L577">
        <v>1</v>
      </c>
      <c r="M577">
        <v>3</v>
      </c>
      <c r="N577" s="6">
        <v>1367737.50329123</v>
      </c>
      <c r="O577" s="6">
        <v>405423.474018462</v>
      </c>
      <c r="P577" s="6">
        <v>672686.21660009795</v>
      </c>
      <c r="Q577" s="6">
        <v>101797.602532073</v>
      </c>
      <c r="R577" s="6">
        <v>122694.49579841099</v>
      </c>
      <c r="S577" s="6">
        <v>89296.581683209501</v>
      </c>
      <c r="T577" s="6">
        <v>2022124.8</v>
      </c>
      <c r="U577" s="6">
        <v>648214.49224027398</v>
      </c>
      <c r="V577" s="6">
        <v>2061304.87118257</v>
      </c>
      <c r="W577" s="6">
        <v>595059.72026611597</v>
      </c>
      <c r="X577" s="6">
        <v>0</v>
      </c>
      <c r="Y577" s="6">
        <v>0</v>
      </c>
      <c r="Z577" s="6">
        <v>0</v>
      </c>
      <c r="AA577" s="6">
        <v>13974.7007915872</v>
      </c>
      <c r="AB577" s="6">
        <v>0</v>
      </c>
      <c r="AC577" s="6">
        <v>73366.762540698299</v>
      </c>
      <c r="AD577" s="6">
        <v>15929.8191425112</v>
      </c>
      <c r="AE577" s="6">
        <v>0</v>
      </c>
      <c r="AF577" s="6">
        <v>0</v>
      </c>
      <c r="AG577" s="6">
        <v>0</v>
      </c>
      <c r="AH577" s="6">
        <v>0</v>
      </c>
      <c r="AI577" s="6">
        <v>0</v>
      </c>
      <c r="AJ577" s="6">
        <v>2759635.87392348</v>
      </c>
      <c r="AK577" s="6">
        <v>14739.8373771963</v>
      </c>
      <c r="AL577" s="6">
        <v>330.98244656580999</v>
      </c>
      <c r="AM577" s="6">
        <v>93035.839999999997</v>
      </c>
      <c r="AN577" s="6">
        <v>3939.21292161567</v>
      </c>
      <c r="AO577" s="6">
        <v>29042.4110524727</v>
      </c>
      <c r="AP577" s="6">
        <v>330.98244656580999</v>
      </c>
      <c r="AQ577" s="6">
        <v>93035.839999999997</v>
      </c>
      <c r="AR577" s="6">
        <v>3939.21292161567</v>
      </c>
      <c r="AS577" s="6">
        <v>29042.4110524727</v>
      </c>
      <c r="AT577" s="6">
        <v>0</v>
      </c>
      <c r="AU577" t="s">
        <v>2973</v>
      </c>
      <c r="AV577" t="s">
        <v>2973</v>
      </c>
    </row>
    <row r="578" spans="1:48" x14ac:dyDescent="0.45">
      <c r="A578" s="5" t="s">
        <v>1185</v>
      </c>
      <c r="B578">
        <v>2057</v>
      </c>
      <c r="C578" t="s">
        <v>1177</v>
      </c>
      <c r="D578">
        <v>483</v>
      </c>
      <c r="E578" t="s">
        <v>1186</v>
      </c>
      <c r="F578" t="s">
        <v>2739</v>
      </c>
      <c r="G578" t="s">
        <v>2744</v>
      </c>
      <c r="H578" t="s">
        <v>2741</v>
      </c>
      <c r="I578" t="s">
        <v>2742</v>
      </c>
      <c r="J578">
        <v>121.057426925581</v>
      </c>
      <c r="K578">
        <v>1</v>
      </c>
      <c r="L578">
        <v>1</v>
      </c>
      <c r="M578">
        <v>3</v>
      </c>
      <c r="N578" s="6">
        <v>1072569.1619291699</v>
      </c>
      <c r="O578" s="6">
        <v>837140.43276705605</v>
      </c>
      <c r="P578" s="6">
        <v>419797.00884008303</v>
      </c>
      <c r="Q578" s="6">
        <v>65947.791852616298</v>
      </c>
      <c r="R578" s="6">
        <v>71817.560865147199</v>
      </c>
      <c r="S578" s="6">
        <v>57738.724148714398</v>
      </c>
      <c r="T578" s="6">
        <v>2048139.7</v>
      </c>
      <c r="U578" s="6">
        <v>419132.25625407899</v>
      </c>
      <c r="V578" s="6">
        <v>2080663.2624718901</v>
      </c>
      <c r="W578" s="6">
        <v>382599.28228268202</v>
      </c>
      <c r="X578" s="6">
        <v>0</v>
      </c>
      <c r="Y578" s="6">
        <v>0</v>
      </c>
      <c r="Z578" s="6">
        <v>0</v>
      </c>
      <c r="AA578" s="6">
        <v>4009.4114995097798</v>
      </c>
      <c r="AB578" s="6">
        <v>0</v>
      </c>
      <c r="AC578" s="6">
        <v>47438.582576987203</v>
      </c>
      <c r="AD578" s="6">
        <v>10300.141571727199</v>
      </c>
      <c r="AE578" s="6">
        <v>0</v>
      </c>
      <c r="AF578" s="6">
        <v>0</v>
      </c>
      <c r="AG578" s="6">
        <v>0</v>
      </c>
      <c r="AH578" s="6">
        <v>0</v>
      </c>
      <c r="AI578" s="6">
        <v>0</v>
      </c>
      <c r="AJ578" s="6">
        <v>2525010.6804027902</v>
      </c>
      <c r="AK578" s="6">
        <v>20857.957620022898</v>
      </c>
      <c r="AL578" s="6">
        <v>330.98244656580999</v>
      </c>
      <c r="AM578" s="6">
        <v>93035.839999999997</v>
      </c>
      <c r="AN578" s="6">
        <v>3939.21292161567</v>
      </c>
      <c r="AO578" s="6">
        <v>29042.4110524727</v>
      </c>
      <c r="AP578" s="6">
        <v>330.98244656580999</v>
      </c>
      <c r="AQ578" s="6">
        <v>40734.411818744898</v>
      </c>
      <c r="AR578" s="6">
        <v>3939.21292161567</v>
      </c>
      <c r="AS578" s="6">
        <v>26099.4574989832</v>
      </c>
      <c r="AT578" s="6">
        <v>0</v>
      </c>
      <c r="AU578" t="s">
        <v>2973</v>
      </c>
      <c r="AV578" t="s">
        <v>2973</v>
      </c>
    </row>
    <row r="579" spans="1:48" x14ac:dyDescent="0.45">
      <c r="A579" s="5" t="s">
        <v>1187</v>
      </c>
      <c r="B579">
        <v>2057</v>
      </c>
      <c r="C579" t="s">
        <v>1177</v>
      </c>
      <c r="D579">
        <v>4848</v>
      </c>
      <c r="E579" t="s">
        <v>1188</v>
      </c>
      <c r="F579" t="s">
        <v>2750</v>
      </c>
      <c r="G579" t="s">
        <v>2744</v>
      </c>
      <c r="H579" t="s">
        <v>2745</v>
      </c>
      <c r="I579" t="s">
        <v>2742</v>
      </c>
      <c r="J579">
        <v>71.260515345105205</v>
      </c>
      <c r="K579">
        <v>1</v>
      </c>
      <c r="L579">
        <v>1</v>
      </c>
      <c r="M579">
        <v>3</v>
      </c>
      <c r="N579" s="6">
        <v>38281.526865769003</v>
      </c>
      <c r="O579" s="6">
        <v>44895.492575776501</v>
      </c>
      <c r="P579" s="6">
        <v>83571.488356413698</v>
      </c>
      <c r="Q579" s="6">
        <v>38746.048592744199</v>
      </c>
      <c r="R579" s="6">
        <v>41227.857400423898</v>
      </c>
      <c r="S579" s="6">
        <v>33987.929057302797</v>
      </c>
      <c r="T579" s="6">
        <v>0</v>
      </c>
      <c r="U579" s="6">
        <v>246722.41379112701</v>
      </c>
      <c r="V579" s="6">
        <v>213674.86001585901</v>
      </c>
      <c r="W579" s="6">
        <v>30744.3282934614</v>
      </c>
      <c r="X579" s="6">
        <v>0</v>
      </c>
      <c r="Y579" s="6">
        <v>0</v>
      </c>
      <c r="Z579" s="6">
        <v>0</v>
      </c>
      <c r="AA579" s="6">
        <v>2303.2254818066099</v>
      </c>
      <c r="AB579" s="6">
        <v>0</v>
      </c>
      <c r="AC579" s="6">
        <v>27924.745532180899</v>
      </c>
      <c r="AD579" s="6">
        <v>6063.1835251218599</v>
      </c>
      <c r="AE579" s="6">
        <v>0</v>
      </c>
      <c r="AF579" s="6">
        <v>0</v>
      </c>
      <c r="AG579" s="6">
        <v>0</v>
      </c>
      <c r="AH579" s="6">
        <v>0</v>
      </c>
      <c r="AI579" s="6">
        <v>0</v>
      </c>
      <c r="AJ579" s="6">
        <v>280710.34284842998</v>
      </c>
      <c r="AK579" s="6">
        <v>3939.21292161567</v>
      </c>
      <c r="AL579" s="6">
        <v>330.98244656580999</v>
      </c>
      <c r="AM579" s="6">
        <v>93035.839999999997</v>
      </c>
      <c r="AN579" s="6">
        <v>3939.21292161567</v>
      </c>
      <c r="AO579" s="6">
        <v>29042.4110524727</v>
      </c>
      <c r="AP579" s="6">
        <v>330.98244656580999</v>
      </c>
      <c r="AQ579" s="6">
        <v>40734.411818744898</v>
      </c>
      <c r="AR579" s="6">
        <v>3939.21292161567</v>
      </c>
      <c r="AS579" s="6">
        <v>26099.4574989832</v>
      </c>
      <c r="AT579" s="6">
        <v>0</v>
      </c>
      <c r="AU579" t="s">
        <v>2973</v>
      </c>
      <c r="AV579" t="s">
        <v>2976</v>
      </c>
    </row>
    <row r="580" spans="1:48" x14ac:dyDescent="0.45">
      <c r="A580" s="5" t="s">
        <v>1189</v>
      </c>
      <c r="B580">
        <v>2057</v>
      </c>
      <c r="C580" t="s">
        <v>1177</v>
      </c>
      <c r="D580">
        <v>470</v>
      </c>
      <c r="E580" t="s">
        <v>1190</v>
      </c>
      <c r="F580" t="s">
        <v>2739</v>
      </c>
      <c r="G580" t="s">
        <v>2740</v>
      </c>
      <c r="H580" t="s">
        <v>2741</v>
      </c>
      <c r="I580" t="s">
        <v>2742</v>
      </c>
      <c r="J580">
        <v>500.88920523924799</v>
      </c>
      <c r="K580">
        <v>1</v>
      </c>
      <c r="L580">
        <v>1</v>
      </c>
      <c r="M580">
        <v>3</v>
      </c>
      <c r="N580" s="6">
        <v>3191870.3381687501</v>
      </c>
      <c r="O580" s="6">
        <v>769926.33431021799</v>
      </c>
      <c r="P580" s="6">
        <v>1043111.59918334</v>
      </c>
      <c r="Q580" s="6">
        <v>272549.44514852302</v>
      </c>
      <c r="R580" s="6">
        <v>309563.94592377899</v>
      </c>
      <c r="S580" s="6">
        <v>238900.696841645</v>
      </c>
      <c r="T580" s="6">
        <v>3852813.13</v>
      </c>
      <c r="U580" s="6">
        <v>1734208.5327346099</v>
      </c>
      <c r="V580" s="6">
        <v>4877326.7611199198</v>
      </c>
      <c r="W580" s="6">
        <v>685203.670638385</v>
      </c>
      <c r="X580" s="6">
        <v>0</v>
      </c>
      <c r="Y580" s="6">
        <v>0</v>
      </c>
      <c r="Z580" s="6">
        <v>0</v>
      </c>
      <c r="AA580" s="6">
        <v>24491.230976301798</v>
      </c>
      <c r="AB580" s="6">
        <v>0</v>
      </c>
      <c r="AC580" s="6">
        <v>196282.66128001199</v>
      </c>
      <c r="AD580" s="6">
        <v>42618.035561632998</v>
      </c>
      <c r="AE580" s="6">
        <v>0</v>
      </c>
      <c r="AF580" s="6">
        <v>0</v>
      </c>
      <c r="AG580" s="6">
        <v>0</v>
      </c>
      <c r="AH580" s="6">
        <v>0</v>
      </c>
      <c r="AI580" s="6">
        <v>0</v>
      </c>
      <c r="AJ580" s="6">
        <v>5825922.3595762504</v>
      </c>
      <c r="AK580" s="6">
        <v>11631.159742788899</v>
      </c>
      <c r="AL580" s="6">
        <v>330.98244656580999</v>
      </c>
      <c r="AM580" s="6">
        <v>93035.839999999997</v>
      </c>
      <c r="AN580" s="6">
        <v>3939.21292161567</v>
      </c>
      <c r="AO580" s="6">
        <v>29042.4110524727</v>
      </c>
      <c r="AP580" s="6">
        <v>330.98244656580999</v>
      </c>
      <c r="AQ580" s="6">
        <v>93035.839999999997</v>
      </c>
      <c r="AR580" s="6">
        <v>3939.21292161567</v>
      </c>
      <c r="AS580" s="6">
        <v>29042.4110524727</v>
      </c>
      <c r="AT580" s="6">
        <v>0</v>
      </c>
      <c r="AU580" t="s">
        <v>2973</v>
      </c>
      <c r="AV580" t="s">
        <v>2973</v>
      </c>
    </row>
    <row r="581" spans="1:48" x14ac:dyDescent="0.45">
      <c r="A581" s="5" t="s">
        <v>1191</v>
      </c>
      <c r="B581">
        <v>2057</v>
      </c>
      <c r="C581" t="s">
        <v>1177</v>
      </c>
      <c r="D581">
        <v>471</v>
      </c>
      <c r="E581" t="s">
        <v>1192</v>
      </c>
      <c r="F581" t="s">
        <v>2739</v>
      </c>
      <c r="G581" t="s">
        <v>2740</v>
      </c>
      <c r="H581" t="s">
        <v>2741</v>
      </c>
      <c r="I581" t="s">
        <v>2742</v>
      </c>
      <c r="J581">
        <v>8.9166666666609995</v>
      </c>
      <c r="K581">
        <v>0</v>
      </c>
      <c r="L581">
        <v>0</v>
      </c>
      <c r="M581">
        <v>3</v>
      </c>
      <c r="N581" s="6">
        <v>111458.660634413</v>
      </c>
      <c r="O581" s="6">
        <v>16463.171163267099</v>
      </c>
      <c r="P581" s="6">
        <v>116092.160798344</v>
      </c>
      <c r="Q581" s="6">
        <v>5191.2351845767498</v>
      </c>
      <c r="R581" s="6">
        <v>5503.4382919524496</v>
      </c>
      <c r="S581" s="6">
        <v>4252.8324784969</v>
      </c>
      <c r="T581" s="6">
        <v>223836.85</v>
      </c>
      <c r="U581" s="6">
        <v>30871.8160725538</v>
      </c>
      <c r="V581" s="6">
        <v>225397.39062033201</v>
      </c>
      <c r="W581" s="6">
        <v>28678.388071386798</v>
      </c>
      <c r="X581" s="6">
        <v>0</v>
      </c>
      <c r="Y581" s="6">
        <v>0</v>
      </c>
      <c r="Z581" s="6">
        <v>0</v>
      </c>
      <c r="AA581" s="6">
        <v>632.88738083524697</v>
      </c>
      <c r="AB581" s="6">
        <v>0</v>
      </c>
      <c r="AC581" s="6">
        <v>3494.16007526658</v>
      </c>
      <c r="AD581" s="6">
        <v>758.67240323032195</v>
      </c>
      <c r="AE581" s="6">
        <v>0</v>
      </c>
      <c r="AF581" s="6">
        <v>0</v>
      </c>
      <c r="AG581" s="6">
        <v>0</v>
      </c>
      <c r="AH581" s="6">
        <v>0</v>
      </c>
      <c r="AI581" s="6">
        <v>0</v>
      </c>
      <c r="AJ581" s="6">
        <v>258961.49855105099</v>
      </c>
      <c r="AK581" s="6">
        <v>29042.4110524727</v>
      </c>
      <c r="AL581" s="6">
        <v>330.98244656580999</v>
      </c>
      <c r="AM581" s="6">
        <v>93035.839999999997</v>
      </c>
      <c r="AN581" s="6">
        <v>3939.21292161567</v>
      </c>
      <c r="AO581" s="6">
        <v>29042.4110524727</v>
      </c>
      <c r="AP581" s="6">
        <v>330.98244656580999</v>
      </c>
      <c r="AQ581" s="6">
        <v>93035.839999999997</v>
      </c>
      <c r="AR581" s="6">
        <v>3939.21292161567</v>
      </c>
      <c r="AS581" s="6">
        <v>29042.4110524727</v>
      </c>
      <c r="AT581" s="6">
        <v>0</v>
      </c>
      <c r="AU581" t="s">
        <v>2973</v>
      </c>
      <c r="AV581" t="s">
        <v>2973</v>
      </c>
    </row>
    <row r="582" spans="1:48" x14ac:dyDescent="0.45">
      <c r="A582" s="5" t="s">
        <v>1193</v>
      </c>
      <c r="B582">
        <v>2057</v>
      </c>
      <c r="C582" t="s">
        <v>1177</v>
      </c>
      <c r="D582">
        <v>472</v>
      </c>
      <c r="E582" t="s">
        <v>1194</v>
      </c>
      <c r="F582" t="s">
        <v>2739</v>
      </c>
      <c r="G582" t="s">
        <v>2740</v>
      </c>
      <c r="H582" t="s">
        <v>2741</v>
      </c>
      <c r="I582" t="s">
        <v>2742</v>
      </c>
      <c r="J582">
        <v>129.89071242437501</v>
      </c>
      <c r="K582">
        <v>1</v>
      </c>
      <c r="L582">
        <v>1</v>
      </c>
      <c r="M582">
        <v>3</v>
      </c>
      <c r="N582" s="6">
        <v>1183120.7497578899</v>
      </c>
      <c r="O582" s="6">
        <v>332859.52219399199</v>
      </c>
      <c r="P582" s="6">
        <v>286341.74353253399</v>
      </c>
      <c r="Q582" s="6">
        <v>70672.580699583603</v>
      </c>
      <c r="R582" s="6">
        <v>82834.888881512699</v>
      </c>
      <c r="S582" s="6">
        <v>61951.787714448503</v>
      </c>
      <c r="T582" s="6">
        <v>1506114.1</v>
      </c>
      <c r="U582" s="6">
        <v>449715.38506551302</v>
      </c>
      <c r="V582" s="6">
        <v>1805466.2744207899</v>
      </c>
      <c r="W582" s="6">
        <v>142798.52674391499</v>
      </c>
      <c r="X582" s="6">
        <v>0</v>
      </c>
      <c r="Y582" s="6">
        <v>0</v>
      </c>
      <c r="Z582" s="6">
        <v>0</v>
      </c>
      <c r="AA582" s="6">
        <v>7564.6839008096604</v>
      </c>
      <c r="AB582" s="6">
        <v>0</v>
      </c>
      <c r="AC582" s="6">
        <v>50900.068205772499</v>
      </c>
      <c r="AD582" s="6">
        <v>11051.7195086761</v>
      </c>
      <c r="AE582" s="6">
        <v>0</v>
      </c>
      <c r="AF582" s="6">
        <v>0</v>
      </c>
      <c r="AG582" s="6">
        <v>0</v>
      </c>
      <c r="AH582" s="6">
        <v>0</v>
      </c>
      <c r="AI582" s="6">
        <v>0</v>
      </c>
      <c r="AJ582" s="6">
        <v>2017781.27277996</v>
      </c>
      <c r="AK582" s="6">
        <v>15534.453812121201</v>
      </c>
      <c r="AL582" s="6">
        <v>330.98244656580999</v>
      </c>
      <c r="AM582" s="6">
        <v>93035.839999999997</v>
      </c>
      <c r="AN582" s="6">
        <v>3939.21292161567</v>
      </c>
      <c r="AO582" s="6">
        <v>29042.4110524727</v>
      </c>
      <c r="AP582" s="6">
        <v>330.98244656580999</v>
      </c>
      <c r="AQ582" s="6">
        <v>93035.839999999997</v>
      </c>
      <c r="AR582" s="6">
        <v>3939.21292161567</v>
      </c>
      <c r="AS582" s="6">
        <v>29042.4110524727</v>
      </c>
      <c r="AT582" s="6">
        <v>0</v>
      </c>
      <c r="AU582" t="s">
        <v>2973</v>
      </c>
      <c r="AV582" t="s">
        <v>2973</v>
      </c>
    </row>
    <row r="583" spans="1:48" x14ac:dyDescent="0.45">
      <c r="A583" s="5" t="s">
        <v>1195</v>
      </c>
      <c r="B583">
        <v>2057</v>
      </c>
      <c r="C583" t="s">
        <v>1177</v>
      </c>
      <c r="D583">
        <v>484</v>
      </c>
      <c r="E583" t="s">
        <v>1196</v>
      </c>
      <c r="F583" t="s">
        <v>2739</v>
      </c>
      <c r="G583" t="s">
        <v>2744</v>
      </c>
      <c r="H583" t="s">
        <v>2741</v>
      </c>
      <c r="I583" t="s">
        <v>2742</v>
      </c>
      <c r="J583">
        <v>84.142367359264</v>
      </c>
      <c r="K583">
        <v>1</v>
      </c>
      <c r="L583">
        <v>1</v>
      </c>
      <c r="M583">
        <v>3</v>
      </c>
      <c r="N583" s="6">
        <v>1072621.92610335</v>
      </c>
      <c r="O583" s="6">
        <v>446806.81662319199</v>
      </c>
      <c r="P583" s="6">
        <v>540378.540277911</v>
      </c>
      <c r="Q583" s="6">
        <v>46750.220000822897</v>
      </c>
      <c r="R583" s="6">
        <v>49380.668474285703</v>
      </c>
      <c r="S583" s="6">
        <v>40131.969277381999</v>
      </c>
      <c r="T583" s="6">
        <v>1864615.44</v>
      </c>
      <c r="U583" s="6">
        <v>291322.73147956299</v>
      </c>
      <c r="V583" s="6">
        <v>1817428.3502938701</v>
      </c>
      <c r="W583" s="6">
        <v>335790.23876809602</v>
      </c>
      <c r="X583" s="6">
        <v>0</v>
      </c>
      <c r="Y583" s="6">
        <v>0</v>
      </c>
      <c r="Z583" s="6">
        <v>0</v>
      </c>
      <c r="AA583" s="6">
        <v>2719.5824175961602</v>
      </c>
      <c r="AB583" s="6">
        <v>0</v>
      </c>
      <c r="AC583" s="6">
        <v>32972.736523215797</v>
      </c>
      <c r="AD583" s="6">
        <v>7159.2327541661998</v>
      </c>
      <c r="AE583" s="6">
        <v>0</v>
      </c>
      <c r="AF583" s="6">
        <v>0</v>
      </c>
      <c r="AG583" s="6">
        <v>0</v>
      </c>
      <c r="AH583" s="6">
        <v>0</v>
      </c>
      <c r="AI583" s="6">
        <v>0</v>
      </c>
      <c r="AJ583" s="6">
        <v>2196070.14075694</v>
      </c>
      <c r="AK583" s="6">
        <v>26099.4574989832</v>
      </c>
      <c r="AL583" s="6">
        <v>330.98244656580999</v>
      </c>
      <c r="AM583" s="6">
        <v>93035.839999999997</v>
      </c>
      <c r="AN583" s="6">
        <v>3939.21292161567</v>
      </c>
      <c r="AO583" s="6">
        <v>29042.4110524727</v>
      </c>
      <c r="AP583" s="6">
        <v>330.98244656580999</v>
      </c>
      <c r="AQ583" s="6">
        <v>40734.411818744898</v>
      </c>
      <c r="AR583" s="6">
        <v>3939.21292161567</v>
      </c>
      <c r="AS583" s="6">
        <v>26099.4574989832</v>
      </c>
      <c r="AT583" s="6">
        <v>0</v>
      </c>
      <c r="AU583" t="s">
        <v>2973</v>
      </c>
      <c r="AV583" t="s">
        <v>2973</v>
      </c>
    </row>
    <row r="584" spans="1:48" x14ac:dyDescent="0.45">
      <c r="A584" s="5" t="s">
        <v>1197</v>
      </c>
      <c r="B584">
        <v>2057</v>
      </c>
      <c r="C584" t="s">
        <v>1177</v>
      </c>
      <c r="D584">
        <v>473</v>
      </c>
      <c r="E584" t="s">
        <v>1198</v>
      </c>
      <c r="F584" t="s">
        <v>2739</v>
      </c>
      <c r="G584" t="s">
        <v>2740</v>
      </c>
      <c r="H584" t="s">
        <v>2741</v>
      </c>
      <c r="I584" t="s">
        <v>2742</v>
      </c>
      <c r="J584">
        <v>553.256313562988</v>
      </c>
      <c r="K584">
        <v>1</v>
      </c>
      <c r="L584">
        <v>1</v>
      </c>
      <c r="M584">
        <v>3</v>
      </c>
      <c r="N584" s="6">
        <v>3538874.5965570002</v>
      </c>
      <c r="O584" s="6">
        <v>818707.73778694402</v>
      </c>
      <c r="P584" s="6">
        <v>1173729.98382976</v>
      </c>
      <c r="Q584" s="6">
        <v>300818.70592346898</v>
      </c>
      <c r="R584" s="6">
        <v>339384.25982506003</v>
      </c>
      <c r="S584" s="6">
        <v>263877.355430539</v>
      </c>
      <c r="T584" s="6">
        <v>4255998.22</v>
      </c>
      <c r="U584" s="6">
        <v>1915517.0639222299</v>
      </c>
      <c r="V584" s="6">
        <v>5461249.3758955896</v>
      </c>
      <c r="W584" s="6">
        <v>690414.34918557096</v>
      </c>
      <c r="X584" s="6">
        <v>0</v>
      </c>
      <c r="Y584" s="6">
        <v>0</v>
      </c>
      <c r="Z584" s="6">
        <v>0</v>
      </c>
      <c r="AA584" s="6">
        <v>19851.558841067501</v>
      </c>
      <c r="AB584" s="6">
        <v>0</v>
      </c>
      <c r="AC584" s="6">
        <v>216803.677260806</v>
      </c>
      <c r="AD584" s="6">
        <v>47073.678169732397</v>
      </c>
      <c r="AE584" s="6">
        <v>0</v>
      </c>
      <c r="AF584" s="6">
        <v>0</v>
      </c>
      <c r="AG584" s="6">
        <v>0</v>
      </c>
      <c r="AH584" s="6">
        <v>0</v>
      </c>
      <c r="AI584" s="6">
        <v>0</v>
      </c>
      <c r="AJ584" s="6">
        <v>6435392.6393527696</v>
      </c>
      <c r="AK584" s="6">
        <v>11631.8467256318</v>
      </c>
      <c r="AL584" s="6">
        <v>330.98244656580999</v>
      </c>
      <c r="AM584" s="6">
        <v>93035.839999999997</v>
      </c>
      <c r="AN584" s="6">
        <v>3939.21292161567</v>
      </c>
      <c r="AO584" s="6">
        <v>29042.4110524727</v>
      </c>
      <c r="AP584" s="6">
        <v>330.98244656580999</v>
      </c>
      <c r="AQ584" s="6">
        <v>93035.839999999997</v>
      </c>
      <c r="AR584" s="6">
        <v>3939.21292161567</v>
      </c>
      <c r="AS584" s="6">
        <v>29042.4110524727</v>
      </c>
      <c r="AT584" s="6">
        <v>0</v>
      </c>
      <c r="AU584" t="s">
        <v>2973</v>
      </c>
      <c r="AV584" t="s">
        <v>2973</v>
      </c>
    </row>
    <row r="585" spans="1:48" x14ac:dyDescent="0.45">
      <c r="A585" s="5" t="s">
        <v>1199</v>
      </c>
      <c r="B585">
        <v>2057</v>
      </c>
      <c r="C585" t="s">
        <v>1177</v>
      </c>
      <c r="D585">
        <v>485</v>
      </c>
      <c r="E585" t="s">
        <v>1200</v>
      </c>
      <c r="F585" t="s">
        <v>2739</v>
      </c>
      <c r="G585" t="s">
        <v>2744</v>
      </c>
      <c r="H585" t="s">
        <v>2741</v>
      </c>
      <c r="I585" t="s">
        <v>2742</v>
      </c>
      <c r="J585">
        <v>662.10980460184703</v>
      </c>
      <c r="K585">
        <v>1</v>
      </c>
      <c r="L585">
        <v>1</v>
      </c>
      <c r="M585">
        <v>3</v>
      </c>
      <c r="N585" s="6">
        <v>4381528.9893884603</v>
      </c>
      <c r="O585" s="6">
        <v>2206029.0566800698</v>
      </c>
      <c r="P585" s="6">
        <v>1853681.75372666</v>
      </c>
      <c r="Q585" s="6">
        <v>361615.81559982902</v>
      </c>
      <c r="R585" s="6">
        <v>408372.26881236502</v>
      </c>
      <c r="S585" s="6">
        <v>315795.37360864598</v>
      </c>
      <c r="T585" s="6">
        <v>6918831.7599999998</v>
      </c>
      <c r="U585" s="6">
        <v>2292396.1242073802</v>
      </c>
      <c r="V585" s="6">
        <v>7431246.3615454501</v>
      </c>
      <c r="W585" s="6">
        <v>1758581.33819332</v>
      </c>
      <c r="X585" s="6">
        <v>0</v>
      </c>
      <c r="Y585" s="6">
        <v>0</v>
      </c>
      <c r="Z585" s="6">
        <v>0</v>
      </c>
      <c r="AA585" s="6">
        <v>21400.1844686031</v>
      </c>
      <c r="AB585" s="6">
        <v>0</v>
      </c>
      <c r="AC585" s="6">
        <v>259459.922768277</v>
      </c>
      <c r="AD585" s="6">
        <v>56335.4508403695</v>
      </c>
      <c r="AE585" s="6">
        <v>0</v>
      </c>
      <c r="AF585" s="6">
        <v>0</v>
      </c>
      <c r="AG585" s="6">
        <v>0</v>
      </c>
      <c r="AH585" s="6">
        <v>0</v>
      </c>
      <c r="AI585" s="6">
        <v>0</v>
      </c>
      <c r="AJ585" s="6">
        <v>9527023.2578160092</v>
      </c>
      <c r="AK585" s="6">
        <v>14388.8871477217</v>
      </c>
      <c r="AL585" s="6">
        <v>330.98244656580999</v>
      </c>
      <c r="AM585" s="6">
        <v>93035.839999999997</v>
      </c>
      <c r="AN585" s="6">
        <v>3939.21292161567</v>
      </c>
      <c r="AO585" s="6">
        <v>29042.4110524727</v>
      </c>
      <c r="AP585" s="6">
        <v>330.98244656580999</v>
      </c>
      <c r="AQ585" s="6">
        <v>40734.411818744898</v>
      </c>
      <c r="AR585" s="6">
        <v>3939.21292161567</v>
      </c>
      <c r="AS585" s="6">
        <v>26099.4574989832</v>
      </c>
      <c r="AT585" s="6">
        <v>0</v>
      </c>
      <c r="AU585" t="s">
        <v>2973</v>
      </c>
      <c r="AV585" t="s">
        <v>2973</v>
      </c>
    </row>
    <row r="586" spans="1:48" x14ac:dyDescent="0.45">
      <c r="A586" s="5" t="s">
        <v>1201</v>
      </c>
      <c r="B586">
        <v>2057</v>
      </c>
      <c r="C586" t="s">
        <v>1177</v>
      </c>
      <c r="D586">
        <v>481</v>
      </c>
      <c r="E586" t="s">
        <v>1202</v>
      </c>
      <c r="F586" t="s">
        <v>2739</v>
      </c>
      <c r="G586" t="s">
        <v>2747</v>
      </c>
      <c r="H586" t="s">
        <v>2741</v>
      </c>
      <c r="I586" t="s">
        <v>2742</v>
      </c>
      <c r="J586">
        <v>355.953570958488</v>
      </c>
      <c r="K586">
        <v>1</v>
      </c>
      <c r="L586">
        <v>1</v>
      </c>
      <c r="M586">
        <v>3</v>
      </c>
      <c r="N586" s="6">
        <v>2000018.9065793899</v>
      </c>
      <c r="O586" s="6">
        <v>859706.55254617496</v>
      </c>
      <c r="P586" s="6">
        <v>861336.15174746804</v>
      </c>
      <c r="Q586" s="6">
        <v>193706.780170913</v>
      </c>
      <c r="R586" s="6">
        <v>1041501.06929319</v>
      </c>
      <c r="S586" s="6">
        <v>169773.18587777601</v>
      </c>
      <c r="T586" s="6">
        <v>3723865.74</v>
      </c>
      <c r="U586" s="6">
        <v>1232403.7203371399</v>
      </c>
      <c r="V586" s="6">
        <v>3641534.96528403</v>
      </c>
      <c r="W586" s="6">
        <v>1300222.14792983</v>
      </c>
      <c r="X586" s="6">
        <v>0</v>
      </c>
      <c r="Y586" s="6">
        <v>0</v>
      </c>
      <c r="Z586" s="6">
        <v>0</v>
      </c>
      <c r="AA586" s="6">
        <v>14512.347123280901</v>
      </c>
      <c r="AB586" s="6">
        <v>0</v>
      </c>
      <c r="AC586" s="6">
        <v>139486.96332252401</v>
      </c>
      <c r="AD586" s="6">
        <v>30286.222555251901</v>
      </c>
      <c r="AE586" s="6">
        <v>0</v>
      </c>
      <c r="AF586" s="6">
        <v>0</v>
      </c>
      <c r="AG586" s="6">
        <v>0</v>
      </c>
      <c r="AH586" s="6">
        <v>0</v>
      </c>
      <c r="AI586" s="6">
        <v>0</v>
      </c>
      <c r="AJ586" s="6">
        <v>5126042.6462149099</v>
      </c>
      <c r="AK586" s="6">
        <v>14400.8743399086</v>
      </c>
      <c r="AL586" s="6">
        <v>330.98244656580999</v>
      </c>
      <c r="AM586" s="6">
        <v>93035.839999999997</v>
      </c>
      <c r="AN586" s="6">
        <v>3939.21292161567</v>
      </c>
      <c r="AO586" s="6">
        <v>29042.4110524727</v>
      </c>
      <c r="AP586" s="6">
        <v>3753.1860850462999</v>
      </c>
      <c r="AQ586" s="6">
        <v>20687.885194392002</v>
      </c>
      <c r="AR586" s="6">
        <v>13076.830043054801</v>
      </c>
      <c r="AS586" s="6">
        <v>14400.8743399086</v>
      </c>
      <c r="AT586" s="6">
        <v>0</v>
      </c>
      <c r="AU586" t="s">
        <v>2973</v>
      </c>
      <c r="AV586" t="s">
        <v>2973</v>
      </c>
    </row>
    <row r="587" spans="1:48" x14ac:dyDescent="0.45">
      <c r="A587" s="5" t="s">
        <v>1203</v>
      </c>
      <c r="B587">
        <v>2057</v>
      </c>
      <c r="C587" t="s">
        <v>1177</v>
      </c>
      <c r="D587">
        <v>474</v>
      </c>
      <c r="E587" t="s">
        <v>1204</v>
      </c>
      <c r="F587" t="s">
        <v>2739</v>
      </c>
      <c r="G587" t="s">
        <v>2740</v>
      </c>
      <c r="H587" t="s">
        <v>2741</v>
      </c>
      <c r="I587" t="s">
        <v>2742</v>
      </c>
      <c r="J587">
        <v>209.660714285691</v>
      </c>
      <c r="K587">
        <v>1</v>
      </c>
      <c r="L587">
        <v>1</v>
      </c>
      <c r="M587">
        <v>3</v>
      </c>
      <c r="N587" s="6">
        <v>1462944.64792124</v>
      </c>
      <c r="O587" s="6">
        <v>395638.54462206998</v>
      </c>
      <c r="P587" s="6">
        <v>506689.29805759399</v>
      </c>
      <c r="Q587" s="6">
        <v>113997.550878796</v>
      </c>
      <c r="R587" s="6">
        <v>135353.70000503099</v>
      </c>
      <c r="S587" s="6">
        <v>99998.343384629494</v>
      </c>
      <c r="T587" s="6">
        <v>1888723.89</v>
      </c>
      <c r="U587" s="6">
        <v>725899.85148473398</v>
      </c>
      <c r="V587" s="6">
        <v>2277825.3842059001</v>
      </c>
      <c r="W587" s="6">
        <v>320269.631067109</v>
      </c>
      <c r="X587" s="6">
        <v>0</v>
      </c>
      <c r="Y587" s="6">
        <v>0</v>
      </c>
      <c r="Z587" s="6">
        <v>0</v>
      </c>
      <c r="AA587" s="6">
        <v>16528.7262117258</v>
      </c>
      <c r="AB587" s="6">
        <v>0</v>
      </c>
      <c r="AC587" s="6">
        <v>82159.412771147807</v>
      </c>
      <c r="AD587" s="6">
        <v>17838.930613481702</v>
      </c>
      <c r="AE587" s="6">
        <v>0</v>
      </c>
      <c r="AF587" s="6">
        <v>0</v>
      </c>
      <c r="AG587" s="6">
        <v>0</v>
      </c>
      <c r="AH587" s="6">
        <v>0</v>
      </c>
      <c r="AI587" s="6">
        <v>0</v>
      </c>
      <c r="AJ587" s="6">
        <v>2714622.0848693601</v>
      </c>
      <c r="AK587" s="6">
        <v>12947.690720782</v>
      </c>
      <c r="AL587" s="6">
        <v>330.98244656580999</v>
      </c>
      <c r="AM587" s="6">
        <v>93035.839999999997</v>
      </c>
      <c r="AN587" s="6">
        <v>3939.21292161567</v>
      </c>
      <c r="AO587" s="6">
        <v>29042.4110524727</v>
      </c>
      <c r="AP587" s="6">
        <v>330.98244656580999</v>
      </c>
      <c r="AQ587" s="6">
        <v>93035.839999999997</v>
      </c>
      <c r="AR587" s="6">
        <v>3939.21292161567</v>
      </c>
      <c r="AS587" s="6">
        <v>29042.4110524727</v>
      </c>
      <c r="AT587" s="6">
        <v>0</v>
      </c>
      <c r="AU587" t="s">
        <v>2973</v>
      </c>
      <c r="AV587" t="s">
        <v>2973</v>
      </c>
    </row>
    <row r="588" spans="1:48" x14ac:dyDescent="0.45">
      <c r="A588" s="5" t="s">
        <v>1205</v>
      </c>
      <c r="B588">
        <v>2057</v>
      </c>
      <c r="C588" t="s">
        <v>1177</v>
      </c>
      <c r="D588">
        <v>2057</v>
      </c>
      <c r="E588" t="s">
        <v>1177</v>
      </c>
      <c r="F588" t="s">
        <v>1</v>
      </c>
      <c r="G588" t="s">
        <v>1</v>
      </c>
      <c r="H588" t="s">
        <v>2743</v>
      </c>
      <c r="I588" t="s">
        <v>2742</v>
      </c>
      <c r="J588">
        <v>211.74428892838</v>
      </c>
      <c r="K588">
        <v>1</v>
      </c>
      <c r="L588">
        <v>4</v>
      </c>
      <c r="M588">
        <v>3</v>
      </c>
      <c r="N588" s="6">
        <v>113750.155272231</v>
      </c>
      <c r="O588" s="6">
        <v>133402.966643016</v>
      </c>
      <c r="P588" s="6">
        <v>248325.25124210599</v>
      </c>
      <c r="Q588" s="6">
        <v>115130.44030516699</v>
      </c>
      <c r="R588" s="6">
        <v>122504.91463633601</v>
      </c>
      <c r="S588" s="6">
        <v>100992.110926141</v>
      </c>
      <c r="T588" s="6">
        <v>0</v>
      </c>
      <c r="U588" s="6">
        <v>733113.72809885698</v>
      </c>
      <c r="V588" s="6">
        <v>634915.85875876097</v>
      </c>
      <c r="W588" s="6">
        <v>91354.039492317999</v>
      </c>
      <c r="X588" s="6">
        <v>0</v>
      </c>
      <c r="Y588" s="6">
        <v>0</v>
      </c>
      <c r="Z588" s="6">
        <v>0</v>
      </c>
      <c r="AA588" s="6">
        <v>6843.8298477779099</v>
      </c>
      <c r="AB588" s="6">
        <v>0</v>
      </c>
      <c r="AC588" s="6">
        <v>82975.899873614399</v>
      </c>
      <c r="AD588" s="6">
        <v>18016.2110525262</v>
      </c>
      <c r="AE588" s="6">
        <v>0</v>
      </c>
      <c r="AF588" s="6">
        <v>0</v>
      </c>
      <c r="AG588" s="6">
        <v>0</v>
      </c>
      <c r="AH588" s="6">
        <v>0</v>
      </c>
      <c r="AI588" s="6">
        <v>0</v>
      </c>
      <c r="AJ588" s="6">
        <v>834105.83902499697</v>
      </c>
      <c r="AK588" s="6">
        <v>3939.21292161567</v>
      </c>
      <c r="AL588" s="6">
        <v>330.98244656580999</v>
      </c>
      <c r="AM588" s="6">
        <v>93035.839999999997</v>
      </c>
      <c r="AN588" s="6">
        <v>3939.21292161567</v>
      </c>
      <c r="AO588" s="6">
        <v>29042.4110524727</v>
      </c>
      <c r="AP588" s="6">
        <v>634.54287297753501</v>
      </c>
      <c r="AQ588" s="6">
        <v>40331.279999999999</v>
      </c>
      <c r="AR588" s="6">
        <v>3939.21292161567</v>
      </c>
      <c r="AS588" s="6">
        <v>3939.21292161567</v>
      </c>
      <c r="AT588" s="6">
        <v>0</v>
      </c>
      <c r="AU588" t="s">
        <v>2973</v>
      </c>
      <c r="AV588" t="s">
        <v>2977</v>
      </c>
    </row>
    <row r="589" spans="1:48" x14ac:dyDescent="0.45">
      <c r="A589" s="5" t="s">
        <v>1206</v>
      </c>
      <c r="B589">
        <v>2057</v>
      </c>
      <c r="C589" t="s">
        <v>1177</v>
      </c>
      <c r="D589">
        <v>486</v>
      </c>
      <c r="E589" t="s">
        <v>1207</v>
      </c>
      <c r="F589" t="s">
        <v>2739</v>
      </c>
      <c r="G589" t="s">
        <v>2744</v>
      </c>
      <c r="H589" t="s">
        <v>2741</v>
      </c>
      <c r="I589" t="s">
        <v>2742</v>
      </c>
      <c r="J589">
        <v>222.33173194962299</v>
      </c>
      <c r="K589">
        <v>1</v>
      </c>
      <c r="L589">
        <v>1</v>
      </c>
      <c r="M589">
        <v>3</v>
      </c>
      <c r="N589" s="6">
        <v>1868678.9658274499</v>
      </c>
      <c r="O589" s="6">
        <v>989345.74898169201</v>
      </c>
      <c r="P589" s="6">
        <v>737017.46186764201</v>
      </c>
      <c r="Q589" s="6">
        <v>122871.006602031</v>
      </c>
      <c r="R589" s="6">
        <v>158653.66261039299</v>
      </c>
      <c r="S589" s="6">
        <v>106041.825491935</v>
      </c>
      <c r="T589" s="6">
        <v>3106796.64</v>
      </c>
      <c r="U589" s="6">
        <v>769770.20588920906</v>
      </c>
      <c r="V589" s="6">
        <v>3042929.4470789698</v>
      </c>
      <c r="W589" s="6">
        <v>824152.00008226698</v>
      </c>
      <c r="X589" s="6">
        <v>0</v>
      </c>
      <c r="Y589" s="6">
        <v>0</v>
      </c>
      <c r="Z589" s="6">
        <v>0</v>
      </c>
      <c r="AA589" s="6">
        <v>9485.3987279797602</v>
      </c>
      <c r="AB589" s="6">
        <v>0</v>
      </c>
      <c r="AC589" s="6">
        <v>87124.784438550007</v>
      </c>
      <c r="AD589" s="6">
        <v>18917.041053385499</v>
      </c>
      <c r="AE589" s="6">
        <v>0</v>
      </c>
      <c r="AF589" s="6">
        <v>0</v>
      </c>
      <c r="AG589" s="6">
        <v>0</v>
      </c>
      <c r="AH589" s="6">
        <v>0</v>
      </c>
      <c r="AI589" s="6">
        <v>0</v>
      </c>
      <c r="AJ589" s="6">
        <v>3982608.6713811499</v>
      </c>
      <c r="AK589" s="6">
        <v>17912.911649892401</v>
      </c>
      <c r="AL589" s="6">
        <v>330.98244656580999</v>
      </c>
      <c r="AM589" s="6">
        <v>93035.839999999997</v>
      </c>
      <c r="AN589" s="6">
        <v>3939.21292161567</v>
      </c>
      <c r="AO589" s="6">
        <v>29042.4110524727</v>
      </c>
      <c r="AP589" s="6">
        <v>330.98244656580999</v>
      </c>
      <c r="AQ589" s="6">
        <v>40734.411818744898</v>
      </c>
      <c r="AR589" s="6">
        <v>3939.21292161567</v>
      </c>
      <c r="AS589" s="6">
        <v>26099.4574989832</v>
      </c>
      <c r="AT589" s="6">
        <v>0</v>
      </c>
      <c r="AU589" t="s">
        <v>2973</v>
      </c>
      <c r="AV589" t="s">
        <v>2973</v>
      </c>
    </row>
    <row r="590" spans="1:48" x14ac:dyDescent="0.45">
      <c r="A590" s="5" t="s">
        <v>1208</v>
      </c>
      <c r="B590">
        <v>2057</v>
      </c>
      <c r="C590" t="s">
        <v>1177</v>
      </c>
      <c r="D590">
        <v>475</v>
      </c>
      <c r="E590" t="s">
        <v>1209</v>
      </c>
      <c r="F590" t="s">
        <v>2739</v>
      </c>
      <c r="G590" t="s">
        <v>2740</v>
      </c>
      <c r="H590" t="s">
        <v>2741</v>
      </c>
      <c r="I590" t="s">
        <v>2742</v>
      </c>
      <c r="J590">
        <v>131.57738095236701</v>
      </c>
      <c r="K590">
        <v>3</v>
      </c>
      <c r="L590">
        <v>1</v>
      </c>
      <c r="M590">
        <v>3</v>
      </c>
      <c r="N590" s="6">
        <v>1081462.8270385601</v>
      </c>
      <c r="O590" s="6">
        <v>258097.16574371501</v>
      </c>
      <c r="P590" s="6">
        <v>369804.01106643799</v>
      </c>
      <c r="Q590" s="6">
        <v>71646.982767106601</v>
      </c>
      <c r="R590" s="6">
        <v>84679.802999779204</v>
      </c>
      <c r="S590" s="6">
        <v>62756.249624315002</v>
      </c>
      <c r="T590" s="6">
        <v>1410135.72</v>
      </c>
      <c r="U590" s="6">
        <v>455555.06961559597</v>
      </c>
      <c r="V590" s="6">
        <v>1670896.9448483</v>
      </c>
      <c r="W590" s="6">
        <v>185835.555712984</v>
      </c>
      <c r="X590" s="6">
        <v>0</v>
      </c>
      <c r="Y590" s="6">
        <v>0</v>
      </c>
      <c r="Z590" s="6">
        <v>0</v>
      </c>
      <c r="AA590" s="6">
        <v>8958.2890543167596</v>
      </c>
      <c r="AB590" s="6">
        <v>0</v>
      </c>
      <c r="AC590" s="6">
        <v>51561.0203363209</v>
      </c>
      <c r="AD590" s="6">
        <v>11195.2292879941</v>
      </c>
      <c r="AE590" s="6">
        <v>0</v>
      </c>
      <c r="AF590" s="6">
        <v>0</v>
      </c>
      <c r="AG590" s="6">
        <v>0</v>
      </c>
      <c r="AH590" s="6">
        <v>0</v>
      </c>
      <c r="AI590" s="6">
        <v>0</v>
      </c>
      <c r="AJ590" s="6">
        <v>1928447.03923991</v>
      </c>
      <c r="AK590" s="6">
        <v>14656.371978843699</v>
      </c>
      <c r="AL590" s="6">
        <v>330.98244656580999</v>
      </c>
      <c r="AM590" s="6">
        <v>93035.839999999997</v>
      </c>
      <c r="AN590" s="6">
        <v>3939.21292161567</v>
      </c>
      <c r="AO590" s="6">
        <v>29042.4110524727</v>
      </c>
      <c r="AP590" s="6">
        <v>330.98244656580999</v>
      </c>
      <c r="AQ590" s="6">
        <v>93035.839999999997</v>
      </c>
      <c r="AR590" s="6">
        <v>3939.21292161567</v>
      </c>
      <c r="AS590" s="6">
        <v>29042.4110524727</v>
      </c>
      <c r="AT590" s="6">
        <v>0</v>
      </c>
      <c r="AU590" t="s">
        <v>2973</v>
      </c>
      <c r="AV590" t="s">
        <v>2973</v>
      </c>
    </row>
    <row r="591" spans="1:48" x14ac:dyDescent="0.45">
      <c r="A591" s="5" t="s">
        <v>1210</v>
      </c>
      <c r="B591">
        <v>2057</v>
      </c>
      <c r="C591" t="s">
        <v>1177</v>
      </c>
      <c r="D591">
        <v>488</v>
      </c>
      <c r="E591" t="s">
        <v>1211</v>
      </c>
      <c r="F591" t="s">
        <v>2739</v>
      </c>
      <c r="G591" t="s">
        <v>2744</v>
      </c>
      <c r="H591" t="s">
        <v>2741</v>
      </c>
      <c r="I591" t="s">
        <v>2742</v>
      </c>
      <c r="J591">
        <v>679.85590096804901</v>
      </c>
      <c r="K591">
        <v>1</v>
      </c>
      <c r="L591">
        <v>1</v>
      </c>
      <c r="M591">
        <v>3</v>
      </c>
      <c r="N591" s="6">
        <v>4902437.8264957704</v>
      </c>
      <c r="O591" s="6">
        <v>2304468.60804273</v>
      </c>
      <c r="P591" s="6">
        <v>1809410.96728998</v>
      </c>
      <c r="Q591" s="6">
        <v>369917.77314098901</v>
      </c>
      <c r="R591" s="6">
        <v>417496.774343358</v>
      </c>
      <c r="S591" s="6">
        <v>324259.430617181</v>
      </c>
      <c r="T591" s="6">
        <v>7449894.2300000004</v>
      </c>
      <c r="U591" s="6">
        <v>2353837.7193128201</v>
      </c>
      <c r="V591" s="6">
        <v>8367589.0024895603</v>
      </c>
      <c r="W591" s="6">
        <v>1414169.1871966</v>
      </c>
      <c r="X591" s="6">
        <v>0</v>
      </c>
      <c r="Y591" s="6">
        <v>0</v>
      </c>
      <c r="Z591" s="6">
        <v>0</v>
      </c>
      <c r="AA591" s="6">
        <v>21973.759626673302</v>
      </c>
      <c r="AB591" s="6">
        <v>0</v>
      </c>
      <c r="AC591" s="6">
        <v>266414.05750636902</v>
      </c>
      <c r="AD591" s="6">
        <v>57845.373110811903</v>
      </c>
      <c r="AE591" s="6">
        <v>0</v>
      </c>
      <c r="AF591" s="6">
        <v>0</v>
      </c>
      <c r="AG591" s="6">
        <v>0</v>
      </c>
      <c r="AH591" s="6">
        <v>0</v>
      </c>
      <c r="AI591" s="6">
        <v>0</v>
      </c>
      <c r="AJ591" s="6">
        <v>10127991.379930001</v>
      </c>
      <c r="AK591" s="6">
        <v>14897.2618543264</v>
      </c>
      <c r="AL591" s="6">
        <v>330.98244656580999</v>
      </c>
      <c r="AM591" s="6">
        <v>93035.839999999997</v>
      </c>
      <c r="AN591" s="6">
        <v>3939.21292161567</v>
      </c>
      <c r="AO591" s="6">
        <v>29042.4110524727</v>
      </c>
      <c r="AP591" s="6">
        <v>330.98244656580999</v>
      </c>
      <c r="AQ591" s="6">
        <v>40734.411818744898</v>
      </c>
      <c r="AR591" s="6">
        <v>3939.21292161567</v>
      </c>
      <c r="AS591" s="6">
        <v>26099.4574989832</v>
      </c>
      <c r="AT591" s="6">
        <v>0</v>
      </c>
      <c r="AU591" t="s">
        <v>2973</v>
      </c>
      <c r="AV591" t="s">
        <v>2973</v>
      </c>
    </row>
    <row r="592" spans="1:48" x14ac:dyDescent="0.45">
      <c r="A592" s="5" t="s">
        <v>1212</v>
      </c>
      <c r="B592">
        <v>2057</v>
      </c>
      <c r="C592" t="s">
        <v>1177</v>
      </c>
      <c r="D592">
        <v>476</v>
      </c>
      <c r="E592" t="s">
        <v>1213</v>
      </c>
      <c r="F592" t="s">
        <v>2739</v>
      </c>
      <c r="G592" t="s">
        <v>2740</v>
      </c>
      <c r="H592" t="s">
        <v>2741</v>
      </c>
      <c r="I592" t="s">
        <v>2742</v>
      </c>
      <c r="J592">
        <v>142.02380952379201</v>
      </c>
      <c r="K592">
        <v>3</v>
      </c>
      <c r="L592">
        <v>1</v>
      </c>
      <c r="M592">
        <v>3</v>
      </c>
      <c r="N592" s="6">
        <v>1161568.69388328</v>
      </c>
      <c r="O592" s="6">
        <v>270299.476272111</v>
      </c>
      <c r="P592" s="6">
        <v>418649.33557318</v>
      </c>
      <c r="Q592" s="6">
        <v>77326.956130881401</v>
      </c>
      <c r="R592" s="6">
        <v>380773.92689322302</v>
      </c>
      <c r="S592" s="6">
        <v>67738.7069005261</v>
      </c>
      <c r="T592" s="6">
        <v>1816895.07</v>
      </c>
      <c r="U592" s="6">
        <v>491723.31875267799</v>
      </c>
      <c r="V592" s="6">
        <v>1790904.0109355401</v>
      </c>
      <c r="W592" s="6">
        <v>506855.48763907602</v>
      </c>
      <c r="X592" s="6">
        <v>0</v>
      </c>
      <c r="Y592" s="6">
        <v>0</v>
      </c>
      <c r="Z592" s="6">
        <v>0</v>
      </c>
      <c r="AA592" s="6">
        <v>10858.8901780591</v>
      </c>
      <c r="AB592" s="6">
        <v>0</v>
      </c>
      <c r="AC592" s="6">
        <v>55654.6457916578</v>
      </c>
      <c r="AD592" s="6">
        <v>12084.0611088683</v>
      </c>
      <c r="AE592" s="6">
        <v>0</v>
      </c>
      <c r="AF592" s="6">
        <v>0</v>
      </c>
      <c r="AG592" s="6">
        <v>0</v>
      </c>
      <c r="AH592" s="6">
        <v>0</v>
      </c>
      <c r="AI592" s="6">
        <v>0</v>
      </c>
      <c r="AJ592" s="6">
        <v>2376357.0956532001</v>
      </c>
      <c r="AK592" s="6">
        <v>16732.1036072836</v>
      </c>
      <c r="AL592" s="6">
        <v>330.98244656580999</v>
      </c>
      <c r="AM592" s="6">
        <v>93035.839999999997</v>
      </c>
      <c r="AN592" s="6">
        <v>3939.21292161567</v>
      </c>
      <c r="AO592" s="6">
        <v>29042.4110524727</v>
      </c>
      <c r="AP592" s="6">
        <v>330.98244656580999</v>
      </c>
      <c r="AQ592" s="6">
        <v>93035.839999999997</v>
      </c>
      <c r="AR592" s="6">
        <v>3939.21292161567</v>
      </c>
      <c r="AS592" s="6">
        <v>29042.4110524727</v>
      </c>
      <c r="AT592" s="6">
        <v>0</v>
      </c>
      <c r="AU592" t="s">
        <v>2973</v>
      </c>
      <c r="AV592" t="s">
        <v>2973</v>
      </c>
    </row>
    <row r="593" spans="1:48" x14ac:dyDescent="0.45">
      <c r="A593" s="5" t="s">
        <v>1214</v>
      </c>
      <c r="B593">
        <v>2057</v>
      </c>
      <c r="C593" t="s">
        <v>1177</v>
      </c>
      <c r="D593">
        <v>477</v>
      </c>
      <c r="E593" t="s">
        <v>1215</v>
      </c>
      <c r="F593" t="s">
        <v>2739</v>
      </c>
      <c r="G593" t="s">
        <v>2740</v>
      </c>
      <c r="H593" t="s">
        <v>2741</v>
      </c>
      <c r="I593" t="s">
        <v>2742</v>
      </c>
      <c r="J593">
        <v>650.99385448528403</v>
      </c>
      <c r="K593">
        <v>1</v>
      </c>
      <c r="L593">
        <v>1</v>
      </c>
      <c r="M593">
        <v>3</v>
      </c>
      <c r="N593" s="6">
        <v>3616610.5720180101</v>
      </c>
      <c r="O593" s="6">
        <v>933470.73472617904</v>
      </c>
      <c r="P593" s="6">
        <v>1335982.6810726901</v>
      </c>
      <c r="Q593" s="6">
        <v>356153.78733964398</v>
      </c>
      <c r="R593" s="6">
        <v>401926.75241865002</v>
      </c>
      <c r="S593" s="6">
        <v>310493.58590564399</v>
      </c>
      <c r="T593" s="6">
        <v>4390234.71</v>
      </c>
      <c r="U593" s="6">
        <v>2253909.8175751702</v>
      </c>
      <c r="V593" s="6">
        <v>5815361.58318137</v>
      </c>
      <c r="W593" s="6">
        <v>802524.57078977698</v>
      </c>
      <c r="X593" s="6">
        <v>0</v>
      </c>
      <c r="Y593" s="6">
        <v>0</v>
      </c>
      <c r="Z593" s="6">
        <v>0</v>
      </c>
      <c r="AA593" s="6">
        <v>26258.373604032098</v>
      </c>
      <c r="AB593" s="6">
        <v>0</v>
      </c>
      <c r="AC593" s="6">
        <v>255103.93296312101</v>
      </c>
      <c r="AD593" s="6">
        <v>55389.652942523498</v>
      </c>
      <c r="AE593" s="6">
        <v>0</v>
      </c>
      <c r="AF593" s="6">
        <v>0</v>
      </c>
      <c r="AG593" s="6">
        <v>0</v>
      </c>
      <c r="AH593" s="6">
        <v>0</v>
      </c>
      <c r="AI593" s="6">
        <v>0</v>
      </c>
      <c r="AJ593" s="6">
        <v>6954638.1134808203</v>
      </c>
      <c r="AK593" s="6">
        <v>10683.1087045815</v>
      </c>
      <c r="AL593" s="6">
        <v>330.98244656580999</v>
      </c>
      <c r="AM593" s="6">
        <v>93035.839999999997</v>
      </c>
      <c r="AN593" s="6">
        <v>3939.21292161567</v>
      </c>
      <c r="AO593" s="6">
        <v>29042.4110524727</v>
      </c>
      <c r="AP593" s="6">
        <v>330.98244656580999</v>
      </c>
      <c r="AQ593" s="6">
        <v>93035.839999999997</v>
      </c>
      <c r="AR593" s="6">
        <v>3939.21292161567</v>
      </c>
      <c r="AS593" s="6">
        <v>29042.4110524727</v>
      </c>
      <c r="AT593" s="6">
        <v>0</v>
      </c>
      <c r="AU593" t="s">
        <v>2973</v>
      </c>
      <c r="AV593" t="s">
        <v>2973</v>
      </c>
    </row>
    <row r="594" spans="1:48" x14ac:dyDescent="0.45">
      <c r="A594" s="5" t="s">
        <v>1216</v>
      </c>
      <c r="B594">
        <v>2057</v>
      </c>
      <c r="C594" t="s">
        <v>1177</v>
      </c>
      <c r="D594">
        <v>4581</v>
      </c>
      <c r="E594" t="s">
        <v>1217</v>
      </c>
      <c r="F594" t="s">
        <v>3</v>
      </c>
      <c r="G594" t="s">
        <v>2740</v>
      </c>
      <c r="H594" t="s">
        <v>2741</v>
      </c>
      <c r="I594" t="s">
        <v>2742</v>
      </c>
      <c r="J594">
        <v>52.541070077061903</v>
      </c>
      <c r="K594">
        <v>1</v>
      </c>
      <c r="L594">
        <v>1</v>
      </c>
      <c r="M594">
        <v>3</v>
      </c>
      <c r="N594" s="6">
        <v>28225.341564968901</v>
      </c>
      <c r="O594" s="6">
        <v>33101.882720668698</v>
      </c>
      <c r="P594" s="6">
        <v>61618.070047823501</v>
      </c>
      <c r="Q594" s="6">
        <v>28567.837945904699</v>
      </c>
      <c r="R594" s="6">
        <v>30397.699684213399</v>
      </c>
      <c r="S594" s="6">
        <v>25059.6301994975</v>
      </c>
      <c r="T594" s="6">
        <v>0</v>
      </c>
      <c r="U594" s="6">
        <v>181910.831963579</v>
      </c>
      <c r="V594" s="6">
        <v>157544.54959286001</v>
      </c>
      <c r="W594" s="6">
        <v>22668.091853056001</v>
      </c>
      <c r="X594" s="6">
        <v>0</v>
      </c>
      <c r="Y594" s="6">
        <v>0</v>
      </c>
      <c r="Z594" s="6">
        <v>0</v>
      </c>
      <c r="AA594" s="6">
        <v>1698.1905176635601</v>
      </c>
      <c r="AB594" s="6">
        <v>0</v>
      </c>
      <c r="AC594" s="6">
        <v>20589.186098149901</v>
      </c>
      <c r="AD594" s="6">
        <v>4470.4441013475898</v>
      </c>
      <c r="AE594" s="6">
        <v>0</v>
      </c>
      <c r="AF594" s="6">
        <v>0</v>
      </c>
      <c r="AG594" s="6">
        <v>0</v>
      </c>
      <c r="AH594" s="6">
        <v>0</v>
      </c>
      <c r="AI594" s="6">
        <v>0</v>
      </c>
      <c r="AJ594" s="6">
        <v>206970.462163077</v>
      </c>
      <c r="AK594" s="6">
        <v>3939.21292161567</v>
      </c>
      <c r="AL594" s="6">
        <v>330.98244656580999</v>
      </c>
      <c r="AM594" s="6">
        <v>93035.839999999997</v>
      </c>
      <c r="AN594" s="6">
        <v>3939.21292161567</v>
      </c>
      <c r="AO594" s="6">
        <v>29042.4110524727</v>
      </c>
      <c r="AP594" s="6">
        <v>330.98244656580999</v>
      </c>
      <c r="AQ594" s="6">
        <v>93035.839999999997</v>
      </c>
      <c r="AR594" s="6">
        <v>3939.21292161567</v>
      </c>
      <c r="AS594" s="6">
        <v>29042.4110524727</v>
      </c>
      <c r="AT594" s="6">
        <v>0</v>
      </c>
      <c r="AU594" t="s">
        <v>2973</v>
      </c>
      <c r="AV594" t="s">
        <v>2976</v>
      </c>
    </row>
    <row r="595" spans="1:48" x14ac:dyDescent="0.45">
      <c r="A595" s="5" t="s">
        <v>1218</v>
      </c>
      <c r="B595">
        <v>2057</v>
      </c>
      <c r="C595" t="s">
        <v>1177</v>
      </c>
      <c r="D595">
        <v>478</v>
      </c>
      <c r="E595" t="s">
        <v>1219</v>
      </c>
      <c r="F595" t="s">
        <v>2739</v>
      </c>
      <c r="G595" t="s">
        <v>2740</v>
      </c>
      <c r="H595" t="s">
        <v>2741</v>
      </c>
      <c r="I595" t="s">
        <v>2742</v>
      </c>
      <c r="J595">
        <v>529.42261904754503</v>
      </c>
      <c r="K595">
        <v>1</v>
      </c>
      <c r="L595">
        <v>1</v>
      </c>
      <c r="M595">
        <v>3</v>
      </c>
      <c r="N595" s="6">
        <v>3308528.4694304499</v>
      </c>
      <c r="O595" s="6">
        <v>854433.18273345602</v>
      </c>
      <c r="P595" s="6">
        <v>1194864.6781158899</v>
      </c>
      <c r="Q595" s="6">
        <v>293995.50549534301</v>
      </c>
      <c r="R595" s="6">
        <v>339000.17701692501</v>
      </c>
      <c r="S595" s="6">
        <v>252509.79915563299</v>
      </c>
      <c r="T595" s="6">
        <v>4157823.39</v>
      </c>
      <c r="U595" s="6">
        <v>1832998.62279206</v>
      </c>
      <c r="V595" s="6">
        <v>5308785.0844094502</v>
      </c>
      <c r="W595" s="6">
        <v>645623.27318659995</v>
      </c>
      <c r="X595" s="6">
        <v>0</v>
      </c>
      <c r="Y595" s="6">
        <v>0</v>
      </c>
      <c r="Z595" s="6">
        <v>0</v>
      </c>
      <c r="AA595" s="6">
        <v>36413.655196022803</v>
      </c>
      <c r="AB595" s="6">
        <v>0</v>
      </c>
      <c r="AC595" s="6">
        <v>207464.005056469</v>
      </c>
      <c r="AD595" s="6">
        <v>45045.794099164203</v>
      </c>
      <c r="AE595" s="6">
        <v>0</v>
      </c>
      <c r="AF595" s="6">
        <v>0</v>
      </c>
      <c r="AG595" s="6">
        <v>0</v>
      </c>
      <c r="AH595" s="6">
        <v>0</v>
      </c>
      <c r="AI595" s="6">
        <v>0</v>
      </c>
      <c r="AJ595" s="6">
        <v>6243331.8119476996</v>
      </c>
      <c r="AK595" s="6">
        <v>11792.7183073132</v>
      </c>
      <c r="AL595" s="6">
        <v>330.98244656580999</v>
      </c>
      <c r="AM595" s="6">
        <v>93035.839999999997</v>
      </c>
      <c r="AN595" s="6">
        <v>3939.21292161567</v>
      </c>
      <c r="AO595" s="6">
        <v>29042.4110524727</v>
      </c>
      <c r="AP595" s="6">
        <v>330.98244656580999</v>
      </c>
      <c r="AQ595" s="6">
        <v>93035.839999999997</v>
      </c>
      <c r="AR595" s="6">
        <v>3939.21292161567</v>
      </c>
      <c r="AS595" s="6">
        <v>29042.4110524727</v>
      </c>
      <c r="AT595" s="6">
        <v>0</v>
      </c>
      <c r="AU595" t="s">
        <v>2973</v>
      </c>
      <c r="AV595" t="s">
        <v>2973</v>
      </c>
    </row>
    <row r="596" spans="1:48" x14ac:dyDescent="0.45">
      <c r="A596" s="5" t="s">
        <v>1220</v>
      </c>
      <c r="B596">
        <v>2057</v>
      </c>
      <c r="C596" t="s">
        <v>1177</v>
      </c>
      <c r="D596">
        <v>479</v>
      </c>
      <c r="E596" t="s">
        <v>1221</v>
      </c>
      <c r="F596" t="s">
        <v>2739</v>
      </c>
      <c r="G596" t="s">
        <v>2740</v>
      </c>
      <c r="H596" t="s">
        <v>2741</v>
      </c>
      <c r="I596" t="s">
        <v>2742</v>
      </c>
      <c r="J596">
        <v>354.79091428557501</v>
      </c>
      <c r="K596">
        <v>1</v>
      </c>
      <c r="L596">
        <v>1</v>
      </c>
      <c r="M596">
        <v>3</v>
      </c>
      <c r="N596" s="6">
        <v>2689735.7412470402</v>
      </c>
      <c r="O596" s="6">
        <v>520822.72652402101</v>
      </c>
      <c r="P596" s="6">
        <v>836752.45440364501</v>
      </c>
      <c r="Q596" s="6">
        <v>192908.31589695101</v>
      </c>
      <c r="R596" s="6">
        <v>219662.812867901</v>
      </c>
      <c r="S596" s="6">
        <v>169218.65308601101</v>
      </c>
      <c r="T596" s="6">
        <v>3231503.75</v>
      </c>
      <c r="U596" s="6">
        <v>1228378.3009395599</v>
      </c>
      <c r="V596" s="6">
        <v>3927074.67590963</v>
      </c>
      <c r="W596" s="6">
        <v>519318.00636735797</v>
      </c>
      <c r="X596" s="6">
        <v>0</v>
      </c>
      <c r="Y596" s="6">
        <v>0</v>
      </c>
      <c r="Z596" s="6">
        <v>0</v>
      </c>
      <c r="AA596" s="6">
        <v>13489.368662576901</v>
      </c>
      <c r="AB596" s="6">
        <v>0</v>
      </c>
      <c r="AC596" s="6">
        <v>139031.354889507</v>
      </c>
      <c r="AD596" s="6">
        <v>30187.2981965037</v>
      </c>
      <c r="AE596" s="6">
        <v>0</v>
      </c>
      <c r="AF596" s="6">
        <v>0</v>
      </c>
      <c r="AG596" s="6">
        <v>0</v>
      </c>
      <c r="AH596" s="6">
        <v>0</v>
      </c>
      <c r="AI596" s="6">
        <v>0</v>
      </c>
      <c r="AJ596" s="6">
        <v>4629100.7040255796</v>
      </c>
      <c r="AK596" s="6">
        <v>13047.404873224999</v>
      </c>
      <c r="AL596" s="6">
        <v>330.98244656580999</v>
      </c>
      <c r="AM596" s="6">
        <v>93035.839999999997</v>
      </c>
      <c r="AN596" s="6">
        <v>3939.21292161567</v>
      </c>
      <c r="AO596" s="6">
        <v>29042.4110524727</v>
      </c>
      <c r="AP596" s="6">
        <v>330.98244656580999</v>
      </c>
      <c r="AQ596" s="6">
        <v>93035.839999999997</v>
      </c>
      <c r="AR596" s="6">
        <v>3939.21292161567</v>
      </c>
      <c r="AS596" s="6">
        <v>29042.4110524727</v>
      </c>
      <c r="AT596" s="6">
        <v>0</v>
      </c>
      <c r="AU596" t="s">
        <v>2973</v>
      </c>
      <c r="AV596" t="s">
        <v>2973</v>
      </c>
    </row>
    <row r="597" spans="1:48" x14ac:dyDescent="0.45">
      <c r="A597" s="5" t="s">
        <v>1222</v>
      </c>
      <c r="B597">
        <v>2056</v>
      </c>
      <c r="C597" t="s">
        <v>1223</v>
      </c>
      <c r="D597">
        <v>4545</v>
      </c>
      <c r="E597" t="s">
        <v>1224</v>
      </c>
      <c r="F597" t="s">
        <v>3</v>
      </c>
      <c r="G597" t="s">
        <v>2744</v>
      </c>
      <c r="H597" t="s">
        <v>2741</v>
      </c>
      <c r="I597" t="s">
        <v>2742</v>
      </c>
      <c r="J597">
        <v>186.36105397378199</v>
      </c>
      <c r="K597">
        <v>1</v>
      </c>
      <c r="L597">
        <v>2</v>
      </c>
      <c r="M597">
        <v>3</v>
      </c>
      <c r="N597" s="6">
        <v>484664.28676960099</v>
      </c>
      <c r="O597" s="6">
        <v>194968.26687937899</v>
      </c>
      <c r="P597" s="6">
        <v>311989.31273937202</v>
      </c>
      <c r="Q597" s="6">
        <v>141637.798575019</v>
      </c>
      <c r="R597" s="6">
        <v>160707.502745804</v>
      </c>
      <c r="S597" s="6">
        <v>92700.074765062804</v>
      </c>
      <c r="T597" s="6">
        <v>0</v>
      </c>
      <c r="U597" s="6">
        <v>1293967.1677091699</v>
      </c>
      <c r="V597" s="6">
        <v>825227.44831255905</v>
      </c>
      <c r="W597" s="6">
        <v>468739.71939661499</v>
      </c>
      <c r="X597" s="6">
        <v>0</v>
      </c>
      <c r="Y597" s="6">
        <v>0</v>
      </c>
      <c r="Z597" s="6">
        <v>0</v>
      </c>
      <c r="AA597" s="6">
        <v>0</v>
      </c>
      <c r="AB597" s="6">
        <v>0</v>
      </c>
      <c r="AC597" s="6">
        <v>75530.982594963003</v>
      </c>
      <c r="AD597" s="6">
        <v>17169.092170099801</v>
      </c>
      <c r="AE597" s="6">
        <v>0</v>
      </c>
      <c r="AF597" s="6">
        <v>0</v>
      </c>
      <c r="AG597" s="6">
        <v>0</v>
      </c>
      <c r="AH597" s="6">
        <v>0</v>
      </c>
      <c r="AI597" s="6">
        <v>0</v>
      </c>
      <c r="AJ597" s="6">
        <v>1386667.24247424</v>
      </c>
      <c r="AK597" s="6">
        <v>7440.7566007290197</v>
      </c>
      <c r="AL597" s="6">
        <v>330.98244656580999</v>
      </c>
      <c r="AM597" s="6">
        <v>93035.839999999997</v>
      </c>
      <c r="AN597" s="6">
        <v>7440.7566007290197</v>
      </c>
      <c r="AO597" s="6">
        <v>17975.907501281701</v>
      </c>
      <c r="AP597" s="6">
        <v>330.98244656580999</v>
      </c>
      <c r="AQ597" s="6">
        <v>40734.411818744898</v>
      </c>
      <c r="AR597" s="6">
        <v>7440.7566007290197</v>
      </c>
      <c r="AS597" s="6">
        <v>17975.907501281701</v>
      </c>
      <c r="AT597" s="6">
        <v>0</v>
      </c>
      <c r="AU597" t="s">
        <v>2973</v>
      </c>
      <c r="AV597" t="s">
        <v>2976</v>
      </c>
    </row>
    <row r="598" spans="1:48" x14ac:dyDescent="0.45">
      <c r="A598" s="5" t="s">
        <v>1225</v>
      </c>
      <c r="B598">
        <v>2056</v>
      </c>
      <c r="C598" t="s">
        <v>1223</v>
      </c>
      <c r="D598">
        <v>459</v>
      </c>
      <c r="E598" t="s">
        <v>1226</v>
      </c>
      <c r="F598" t="s">
        <v>2739</v>
      </c>
      <c r="G598" t="s">
        <v>2740</v>
      </c>
      <c r="H598" t="s">
        <v>2741</v>
      </c>
      <c r="I598" t="s">
        <v>2742</v>
      </c>
      <c r="J598">
        <v>375.48255813947799</v>
      </c>
      <c r="K598">
        <v>1</v>
      </c>
      <c r="L598">
        <v>1</v>
      </c>
      <c r="M598">
        <v>3</v>
      </c>
      <c r="N598" s="6">
        <v>3018709.7036793502</v>
      </c>
      <c r="O598" s="6">
        <v>706066.06723325595</v>
      </c>
      <c r="P598" s="6">
        <v>964531.22880292195</v>
      </c>
      <c r="Q598" s="6">
        <v>285373.58962175698</v>
      </c>
      <c r="R598" s="6">
        <v>345355.84561102302</v>
      </c>
      <c r="S598" s="6">
        <v>186773.25798663599</v>
      </c>
      <c r="T598" s="6">
        <v>2712935.37</v>
      </c>
      <c r="U598" s="6">
        <v>2607101.0649482999</v>
      </c>
      <c r="V598" s="6">
        <v>3922746.86671062</v>
      </c>
      <c r="W598" s="6">
        <v>1397289.56823768</v>
      </c>
      <c r="X598" s="6">
        <v>0</v>
      </c>
      <c r="Y598" s="6">
        <v>0</v>
      </c>
      <c r="Z598" s="6">
        <v>0</v>
      </c>
      <c r="AA598" s="6">
        <v>0</v>
      </c>
      <c r="AB598" s="6">
        <v>0</v>
      </c>
      <c r="AC598" s="6">
        <v>152180.75858025</v>
      </c>
      <c r="AD598" s="6">
        <v>34592.499406386101</v>
      </c>
      <c r="AE598" s="6">
        <v>0</v>
      </c>
      <c r="AF598" s="6">
        <v>0</v>
      </c>
      <c r="AG598" s="6">
        <v>0</v>
      </c>
      <c r="AH598" s="6">
        <v>0</v>
      </c>
      <c r="AI598" s="6">
        <v>0</v>
      </c>
      <c r="AJ598" s="6">
        <v>5506809.6929349396</v>
      </c>
      <c r="AK598" s="6">
        <v>14665.953380687701</v>
      </c>
      <c r="AL598" s="6">
        <v>330.98244656580999</v>
      </c>
      <c r="AM598" s="6">
        <v>93035.839999999997</v>
      </c>
      <c r="AN598" s="6">
        <v>7440.7566007290197</v>
      </c>
      <c r="AO598" s="6">
        <v>17975.907501281701</v>
      </c>
      <c r="AP598" s="6">
        <v>330.98244656580999</v>
      </c>
      <c r="AQ598" s="6">
        <v>93035.839999999997</v>
      </c>
      <c r="AR598" s="6">
        <v>13755.2968313731</v>
      </c>
      <c r="AS598" s="6">
        <v>16181.4732855983</v>
      </c>
      <c r="AT598" s="6">
        <v>0</v>
      </c>
      <c r="AU598" t="s">
        <v>2973</v>
      </c>
      <c r="AV598" t="s">
        <v>2973</v>
      </c>
    </row>
    <row r="599" spans="1:48" x14ac:dyDescent="0.45">
      <c r="A599" s="5" t="s">
        <v>1227</v>
      </c>
      <c r="B599">
        <v>2056</v>
      </c>
      <c r="C599" t="s">
        <v>1223</v>
      </c>
      <c r="D599">
        <v>2056</v>
      </c>
      <c r="E599" t="s">
        <v>1223</v>
      </c>
      <c r="F599" t="s">
        <v>1</v>
      </c>
      <c r="G599" t="s">
        <v>1</v>
      </c>
      <c r="H599" t="s">
        <v>2743</v>
      </c>
      <c r="I599" t="s">
        <v>2742</v>
      </c>
      <c r="J599">
        <v>41.2159642612325</v>
      </c>
      <c r="K599">
        <v>1</v>
      </c>
      <c r="L599">
        <v>1</v>
      </c>
      <c r="M599">
        <v>3</v>
      </c>
      <c r="N599" s="6">
        <v>107189.273167568</v>
      </c>
      <c r="O599" s="6">
        <v>43119.551797047701</v>
      </c>
      <c r="P599" s="6">
        <v>69000.148311897094</v>
      </c>
      <c r="Q599" s="6">
        <v>31324.884248234001</v>
      </c>
      <c r="R599" s="6">
        <v>35542.376201708103</v>
      </c>
      <c r="S599" s="6">
        <v>20501.724405722201</v>
      </c>
      <c r="T599" s="6">
        <v>0</v>
      </c>
      <c r="U599" s="6">
        <v>286176.23372645502</v>
      </c>
      <c r="V599" s="6">
        <v>182508.86809120301</v>
      </c>
      <c r="W599" s="6">
        <v>103667.365635252</v>
      </c>
      <c r="X599" s="6">
        <v>0</v>
      </c>
      <c r="Y599" s="6">
        <v>0</v>
      </c>
      <c r="Z599" s="6">
        <v>0</v>
      </c>
      <c r="AA599" s="6">
        <v>0</v>
      </c>
      <c r="AB599" s="6">
        <v>0</v>
      </c>
      <c r="AC599" s="6">
        <v>16704.575408162898</v>
      </c>
      <c r="AD599" s="6">
        <v>3797.1489975592899</v>
      </c>
      <c r="AE599" s="6">
        <v>0</v>
      </c>
      <c r="AF599" s="6">
        <v>0</v>
      </c>
      <c r="AG599" s="6">
        <v>0</v>
      </c>
      <c r="AH599" s="6">
        <v>0</v>
      </c>
      <c r="AI599" s="6">
        <v>0</v>
      </c>
      <c r="AJ599" s="6">
        <v>306677.95813217701</v>
      </c>
      <c r="AK599" s="6">
        <v>7440.7566007290197</v>
      </c>
      <c r="AL599" s="6">
        <v>330.98244656580999</v>
      </c>
      <c r="AM599" s="6">
        <v>93035.839999999997</v>
      </c>
      <c r="AN599" s="6">
        <v>7440.7566007290197</v>
      </c>
      <c r="AO599" s="6">
        <v>17975.907501281701</v>
      </c>
      <c r="AP599" s="6">
        <v>634.54287297753501</v>
      </c>
      <c r="AQ599" s="6">
        <v>40331.279999999999</v>
      </c>
      <c r="AR599" s="6">
        <v>7440.7566007290197</v>
      </c>
      <c r="AS599" s="6">
        <v>7440.7566007290197</v>
      </c>
      <c r="AT599" s="6">
        <v>0</v>
      </c>
      <c r="AU599" t="s">
        <v>2973</v>
      </c>
      <c r="AV599" t="s">
        <v>2977</v>
      </c>
    </row>
    <row r="600" spans="1:48" x14ac:dyDescent="0.45">
      <c r="A600" s="5" t="s">
        <v>2762</v>
      </c>
      <c r="B600">
        <v>2056</v>
      </c>
      <c r="C600" t="s">
        <v>1223</v>
      </c>
      <c r="D600">
        <v>5355</v>
      </c>
      <c r="E600" t="s">
        <v>2763</v>
      </c>
      <c r="F600" t="s">
        <v>2750</v>
      </c>
      <c r="G600" t="s">
        <v>2748</v>
      </c>
      <c r="H600" t="s">
        <v>2749</v>
      </c>
      <c r="I600" t="s">
        <v>2742</v>
      </c>
      <c r="J600">
        <v>105.68211095891201</v>
      </c>
      <c r="K600">
        <v>1</v>
      </c>
      <c r="L600">
        <v>1</v>
      </c>
      <c r="M600">
        <v>3</v>
      </c>
      <c r="N600" s="6">
        <v>274844.68369347497</v>
      </c>
      <c r="O600" s="6">
        <v>110563.11162906401</v>
      </c>
      <c r="P600" s="6">
        <v>176923.71052782101</v>
      </c>
      <c r="Q600" s="6">
        <v>80320.331023063394</v>
      </c>
      <c r="R600" s="6">
        <v>91134.428438578601</v>
      </c>
      <c r="S600" s="6">
        <v>52568.599384499299</v>
      </c>
      <c r="T600" s="6">
        <v>0</v>
      </c>
      <c r="U600" s="6">
        <v>733786.26531200204</v>
      </c>
      <c r="V600" s="6">
        <v>467972.12668252399</v>
      </c>
      <c r="W600" s="6">
        <v>265814.13862947701</v>
      </c>
      <c r="X600" s="6">
        <v>0</v>
      </c>
      <c r="Y600" s="6">
        <v>0</v>
      </c>
      <c r="Z600" s="6">
        <v>0</v>
      </c>
      <c r="AA600" s="6">
        <v>0</v>
      </c>
      <c r="AB600" s="6">
        <v>0</v>
      </c>
      <c r="AC600" s="6">
        <v>42832.305963237901</v>
      </c>
      <c r="AD600" s="6">
        <v>9736.29342126138</v>
      </c>
      <c r="AE600" s="6">
        <v>0</v>
      </c>
      <c r="AF600" s="6">
        <v>0</v>
      </c>
      <c r="AG600" s="6">
        <v>0</v>
      </c>
      <c r="AH600" s="6">
        <v>0</v>
      </c>
      <c r="AI600" s="6">
        <v>0</v>
      </c>
      <c r="AJ600" s="6">
        <v>786354.86469650106</v>
      </c>
      <c r="AK600" s="6">
        <v>7440.7566007290197</v>
      </c>
      <c r="AL600" s="6">
        <v>330.98244656580999</v>
      </c>
      <c r="AM600" s="6">
        <v>93035.839999999997</v>
      </c>
      <c r="AN600" s="6">
        <v>7440.7566007290197</v>
      </c>
      <c r="AO600" s="6">
        <v>17975.907501281701</v>
      </c>
      <c r="AP600" s="6">
        <v>330.98244656580999</v>
      </c>
      <c r="AQ600" s="6">
        <v>56162.493707719797</v>
      </c>
      <c r="AR600" s="6">
        <v>7440.7566007290197</v>
      </c>
      <c r="AS600" s="6">
        <v>7440.7566007290197</v>
      </c>
      <c r="AT600" s="6">
        <v>0</v>
      </c>
      <c r="AU600" t="s">
        <v>2973</v>
      </c>
      <c r="AV600" t="s">
        <v>2976</v>
      </c>
    </row>
    <row r="601" spans="1:48" x14ac:dyDescent="0.45">
      <c r="A601" s="5" t="s">
        <v>1228</v>
      </c>
      <c r="B601">
        <v>2056</v>
      </c>
      <c r="C601" t="s">
        <v>1223</v>
      </c>
      <c r="D601">
        <v>487</v>
      </c>
      <c r="E601" t="s">
        <v>1229</v>
      </c>
      <c r="F601" t="s">
        <v>2739</v>
      </c>
      <c r="G601" t="s">
        <v>2744</v>
      </c>
      <c r="H601" t="s">
        <v>2745</v>
      </c>
      <c r="I601" t="s">
        <v>2742</v>
      </c>
      <c r="J601">
        <v>599.52474336828504</v>
      </c>
      <c r="K601">
        <v>1</v>
      </c>
      <c r="L601">
        <v>1</v>
      </c>
      <c r="M601">
        <v>3</v>
      </c>
      <c r="N601" s="6">
        <v>4555606.5664782999</v>
      </c>
      <c r="O601" s="6">
        <v>2682044.2342202798</v>
      </c>
      <c r="P601" s="6">
        <v>1964470.4828186301</v>
      </c>
      <c r="Q601" s="6">
        <v>459937.13491662702</v>
      </c>
      <c r="R601" s="6">
        <v>816726.15937566001</v>
      </c>
      <c r="S601" s="6">
        <v>298216.75370844197</v>
      </c>
      <c r="T601" s="6">
        <v>6316083.6399999997</v>
      </c>
      <c r="U601" s="6">
        <v>4162700.9378094901</v>
      </c>
      <c r="V601" s="6">
        <v>8146204.3299073698</v>
      </c>
      <c r="W601" s="6">
        <v>2332580.2479021298</v>
      </c>
      <c r="X601" s="6">
        <v>0</v>
      </c>
      <c r="Y601" s="6">
        <v>0</v>
      </c>
      <c r="Z601" s="6">
        <v>0</v>
      </c>
      <c r="AA601" s="6">
        <v>0</v>
      </c>
      <c r="AB601" s="6">
        <v>0</v>
      </c>
      <c r="AC601" s="6">
        <v>242983.67062771699</v>
      </c>
      <c r="AD601" s="6">
        <v>55233.083080725701</v>
      </c>
      <c r="AE601" s="6">
        <v>0</v>
      </c>
      <c r="AF601" s="6">
        <v>0</v>
      </c>
      <c r="AG601" s="6">
        <v>0</v>
      </c>
      <c r="AH601" s="6">
        <v>0</v>
      </c>
      <c r="AI601" s="6">
        <v>0</v>
      </c>
      <c r="AJ601" s="6">
        <v>10777001.331517899</v>
      </c>
      <c r="AK601" s="6">
        <v>17975.907501281701</v>
      </c>
      <c r="AL601" s="6">
        <v>330.98244656580999</v>
      </c>
      <c r="AM601" s="6">
        <v>93035.839999999997</v>
      </c>
      <c r="AN601" s="6">
        <v>7440.7566007290197</v>
      </c>
      <c r="AO601" s="6">
        <v>17975.907501281701</v>
      </c>
      <c r="AP601" s="6">
        <v>330.98244656580999</v>
      </c>
      <c r="AQ601" s="6">
        <v>40734.411818744898</v>
      </c>
      <c r="AR601" s="6">
        <v>7440.7566007290197</v>
      </c>
      <c r="AS601" s="6">
        <v>17975.907501281701</v>
      </c>
      <c r="AT601" s="6">
        <v>0</v>
      </c>
      <c r="AU601" t="s">
        <v>2973</v>
      </c>
      <c r="AV601" t="s">
        <v>2973</v>
      </c>
    </row>
    <row r="602" spans="1:48" x14ac:dyDescent="0.45">
      <c r="A602" s="5" t="s">
        <v>1230</v>
      </c>
      <c r="B602">
        <v>2056</v>
      </c>
      <c r="C602" t="s">
        <v>1223</v>
      </c>
      <c r="D602">
        <v>461</v>
      </c>
      <c r="E602" t="s">
        <v>1231</v>
      </c>
      <c r="F602" t="s">
        <v>2739</v>
      </c>
      <c r="G602" t="s">
        <v>2740</v>
      </c>
      <c r="H602" t="s">
        <v>2741</v>
      </c>
      <c r="I602" t="s">
        <v>2742</v>
      </c>
      <c r="J602">
        <v>359.87056478390502</v>
      </c>
      <c r="K602">
        <v>2</v>
      </c>
      <c r="L602">
        <v>1</v>
      </c>
      <c r="M602">
        <v>3</v>
      </c>
      <c r="N602" s="6">
        <v>3126422.6835741601</v>
      </c>
      <c r="O602" s="6">
        <v>979605.28327281203</v>
      </c>
      <c r="P602" s="6">
        <v>951480.50037086895</v>
      </c>
      <c r="Q602" s="6">
        <v>273508.19004871999</v>
      </c>
      <c r="R602" s="6">
        <v>313211.76290501998</v>
      </c>
      <c r="S602" s="6">
        <v>179007.51015234401</v>
      </c>
      <c r="T602" s="6">
        <v>3145526.65</v>
      </c>
      <c r="U602" s="6">
        <v>2498701.7701715799</v>
      </c>
      <c r="V602" s="6">
        <v>3984619.6759242099</v>
      </c>
      <c r="W602" s="6">
        <v>1659608.7442473699</v>
      </c>
      <c r="X602" s="6">
        <v>0</v>
      </c>
      <c r="Y602" s="6">
        <v>0</v>
      </c>
      <c r="Z602" s="6">
        <v>0</v>
      </c>
      <c r="AA602" s="6">
        <v>0</v>
      </c>
      <c r="AB602" s="6">
        <v>0</v>
      </c>
      <c r="AC602" s="6">
        <v>145853.31422817899</v>
      </c>
      <c r="AD602" s="6">
        <v>33154.195924165397</v>
      </c>
      <c r="AE602" s="6">
        <v>0</v>
      </c>
      <c r="AF602" s="6">
        <v>0</v>
      </c>
      <c r="AG602" s="6">
        <v>0</v>
      </c>
      <c r="AH602" s="6">
        <v>0</v>
      </c>
      <c r="AI602" s="6">
        <v>0</v>
      </c>
      <c r="AJ602" s="6">
        <v>5823235.93032391</v>
      </c>
      <c r="AK602" s="6">
        <v>16181.4732855983</v>
      </c>
      <c r="AL602" s="6">
        <v>330.98244656580999</v>
      </c>
      <c r="AM602" s="6">
        <v>93035.839999999997</v>
      </c>
      <c r="AN602" s="6">
        <v>7440.7566007290197</v>
      </c>
      <c r="AO602" s="6">
        <v>17975.907501281701</v>
      </c>
      <c r="AP602" s="6">
        <v>330.98244656580999</v>
      </c>
      <c r="AQ602" s="6">
        <v>93035.839999999997</v>
      </c>
      <c r="AR602" s="6">
        <v>13755.2968313731</v>
      </c>
      <c r="AS602" s="6">
        <v>16181.4732855983</v>
      </c>
      <c r="AT602" s="6">
        <v>0</v>
      </c>
      <c r="AU602" t="s">
        <v>2973</v>
      </c>
      <c r="AV602" t="s">
        <v>2973</v>
      </c>
    </row>
    <row r="603" spans="1:48" x14ac:dyDescent="0.45">
      <c r="A603" s="5" t="s">
        <v>1232</v>
      </c>
      <c r="B603">
        <v>2056</v>
      </c>
      <c r="C603" t="s">
        <v>1223</v>
      </c>
      <c r="D603">
        <v>462</v>
      </c>
      <c r="E603" t="s">
        <v>1233</v>
      </c>
      <c r="F603" t="s">
        <v>2739</v>
      </c>
      <c r="G603" t="s">
        <v>2740</v>
      </c>
      <c r="H603" t="s">
        <v>2741</v>
      </c>
      <c r="I603" t="s">
        <v>2742</v>
      </c>
      <c r="J603">
        <v>246.511727574617</v>
      </c>
      <c r="K603">
        <v>1</v>
      </c>
      <c r="L603">
        <v>1</v>
      </c>
      <c r="M603">
        <v>3</v>
      </c>
      <c r="N603" s="6">
        <v>2140646.3900253698</v>
      </c>
      <c r="O603" s="6">
        <v>548009.11053415597</v>
      </c>
      <c r="P603" s="6">
        <v>651806.69882573199</v>
      </c>
      <c r="Q603" s="6">
        <v>187353.40712070401</v>
      </c>
      <c r="R603" s="6">
        <v>213423.54880605399</v>
      </c>
      <c r="S603" s="6">
        <v>122620.33879593</v>
      </c>
      <c r="T603" s="6">
        <v>2029625.73</v>
      </c>
      <c r="U603" s="6">
        <v>1711613.4253120101</v>
      </c>
      <c r="V603" s="6">
        <v>2832026.9926606501</v>
      </c>
      <c r="W603" s="6">
        <v>909212.16265137505</v>
      </c>
      <c r="X603" s="6">
        <v>0</v>
      </c>
      <c r="Y603" s="6">
        <v>0</v>
      </c>
      <c r="Z603" s="6">
        <v>0</v>
      </c>
      <c r="AA603" s="6">
        <v>0</v>
      </c>
      <c r="AB603" s="6">
        <v>0</v>
      </c>
      <c r="AC603" s="6">
        <v>99909.678593640405</v>
      </c>
      <c r="AD603" s="6">
        <v>22710.6602022896</v>
      </c>
      <c r="AE603" s="6">
        <v>0</v>
      </c>
      <c r="AF603" s="6">
        <v>0</v>
      </c>
      <c r="AG603" s="6">
        <v>0</v>
      </c>
      <c r="AH603" s="6">
        <v>0</v>
      </c>
      <c r="AI603" s="6">
        <v>0</v>
      </c>
      <c r="AJ603" s="6">
        <v>3863859.49410795</v>
      </c>
      <c r="AK603" s="6">
        <v>15674.140667154999</v>
      </c>
      <c r="AL603" s="6">
        <v>330.98244656580999</v>
      </c>
      <c r="AM603" s="6">
        <v>93035.839999999997</v>
      </c>
      <c r="AN603" s="6">
        <v>7440.7566007290197</v>
      </c>
      <c r="AO603" s="6">
        <v>17975.907501281701</v>
      </c>
      <c r="AP603" s="6">
        <v>330.98244656580999</v>
      </c>
      <c r="AQ603" s="6">
        <v>93035.839999999997</v>
      </c>
      <c r="AR603" s="6">
        <v>13755.2968313731</v>
      </c>
      <c r="AS603" s="6">
        <v>16181.4732855983</v>
      </c>
      <c r="AT603" s="6">
        <v>0</v>
      </c>
      <c r="AU603" t="s">
        <v>2973</v>
      </c>
      <c r="AV603" t="s">
        <v>2973</v>
      </c>
    </row>
    <row r="604" spans="1:48" x14ac:dyDescent="0.45">
      <c r="A604" s="5" t="s">
        <v>1234</v>
      </c>
      <c r="B604">
        <v>2056</v>
      </c>
      <c r="C604" t="s">
        <v>1223</v>
      </c>
      <c r="D604">
        <v>463</v>
      </c>
      <c r="E604" t="s">
        <v>1235</v>
      </c>
      <c r="F604" t="s">
        <v>2739</v>
      </c>
      <c r="G604" t="s">
        <v>2747</v>
      </c>
      <c r="H604" t="s">
        <v>2741</v>
      </c>
      <c r="I604" t="s">
        <v>2742</v>
      </c>
      <c r="J604">
        <v>618.59996677715105</v>
      </c>
      <c r="K604">
        <v>1</v>
      </c>
      <c r="L604">
        <v>1</v>
      </c>
      <c r="M604">
        <v>3</v>
      </c>
      <c r="N604" s="6">
        <v>4675165.4578071404</v>
      </c>
      <c r="O604" s="6">
        <v>1501539.2498857901</v>
      </c>
      <c r="P604" s="6">
        <v>1547253.09690972</v>
      </c>
      <c r="Q604" s="6">
        <v>470147.25246843498</v>
      </c>
      <c r="R604" s="6">
        <v>554363.830823923</v>
      </c>
      <c r="S604" s="6">
        <v>307705.18811282603</v>
      </c>
      <c r="T604" s="6">
        <v>4453322.29</v>
      </c>
      <c r="U604" s="6">
        <v>4295146.5978950104</v>
      </c>
      <c r="V604" s="6">
        <v>6904732.8980714902</v>
      </c>
      <c r="W604" s="6">
        <v>1843735.9898235099</v>
      </c>
      <c r="X604" s="6">
        <v>0</v>
      </c>
      <c r="Y604" s="6">
        <v>0</v>
      </c>
      <c r="Z604" s="6">
        <v>0</v>
      </c>
      <c r="AA604" s="6">
        <v>0</v>
      </c>
      <c r="AB604" s="6">
        <v>0</v>
      </c>
      <c r="AC604" s="6">
        <v>250714.74070147099</v>
      </c>
      <c r="AD604" s="6">
        <v>56990.447411355199</v>
      </c>
      <c r="AE604" s="6">
        <v>0</v>
      </c>
      <c r="AF604" s="6">
        <v>0</v>
      </c>
      <c r="AG604" s="6">
        <v>0</v>
      </c>
      <c r="AH604" s="6">
        <v>0</v>
      </c>
      <c r="AI604" s="6">
        <v>0</v>
      </c>
      <c r="AJ604" s="6">
        <v>9056174.0760078393</v>
      </c>
      <c r="AK604" s="6">
        <v>14639.7907571668</v>
      </c>
      <c r="AL604" s="6">
        <v>330.98244656580999</v>
      </c>
      <c r="AM604" s="6">
        <v>93035.839999999997</v>
      </c>
      <c r="AN604" s="6">
        <v>7440.7566007290197</v>
      </c>
      <c r="AO604" s="6">
        <v>17975.907501281701</v>
      </c>
      <c r="AP604" s="6">
        <v>3753.1860850462999</v>
      </c>
      <c r="AQ604" s="6">
        <v>20687.885194392002</v>
      </c>
      <c r="AR604" s="6">
        <v>14639.7907571668</v>
      </c>
      <c r="AS604" s="6">
        <v>14639.7907571668</v>
      </c>
      <c r="AT604" s="6">
        <v>0</v>
      </c>
      <c r="AU604" t="s">
        <v>2973</v>
      </c>
      <c r="AV604" t="s">
        <v>2973</v>
      </c>
    </row>
    <row r="605" spans="1:48" x14ac:dyDescent="0.45">
      <c r="A605" s="5" t="s">
        <v>1236</v>
      </c>
      <c r="B605">
        <v>2056</v>
      </c>
      <c r="C605" t="s">
        <v>1223</v>
      </c>
      <c r="D605">
        <v>465</v>
      </c>
      <c r="E605" t="s">
        <v>1237</v>
      </c>
      <c r="F605" t="s">
        <v>2739</v>
      </c>
      <c r="G605" t="s">
        <v>2740</v>
      </c>
      <c r="H605" t="s">
        <v>2741</v>
      </c>
      <c r="I605" t="s">
        <v>2742</v>
      </c>
      <c r="J605">
        <v>387.69186046508099</v>
      </c>
      <c r="K605">
        <v>1</v>
      </c>
      <c r="L605">
        <v>1</v>
      </c>
      <c r="M605">
        <v>3</v>
      </c>
      <c r="N605" s="6">
        <v>2884625.19480504</v>
      </c>
      <c r="O605" s="6">
        <v>713495.89454820601</v>
      </c>
      <c r="P605" s="6">
        <v>883223.37069302704</v>
      </c>
      <c r="Q605" s="6">
        <v>294652.88197743602</v>
      </c>
      <c r="R605" s="6">
        <v>363972.845092225</v>
      </c>
      <c r="S605" s="6">
        <v>192846.432688534</v>
      </c>
      <c r="T605" s="6">
        <v>2448095.85</v>
      </c>
      <c r="U605" s="6">
        <v>2691874.3371159299</v>
      </c>
      <c r="V605" s="6">
        <v>3795224.1636393601</v>
      </c>
      <c r="W605" s="6">
        <v>1344746.0234765699</v>
      </c>
      <c r="X605" s="6">
        <v>0</v>
      </c>
      <c r="Y605" s="6">
        <v>0</v>
      </c>
      <c r="Z605" s="6">
        <v>0</v>
      </c>
      <c r="AA605" s="6">
        <v>0</v>
      </c>
      <c r="AB605" s="6">
        <v>0</v>
      </c>
      <c r="AC605" s="6">
        <v>157129.11330237699</v>
      </c>
      <c r="AD605" s="6">
        <v>35717.319386157098</v>
      </c>
      <c r="AE605" s="6">
        <v>0</v>
      </c>
      <c r="AF605" s="6">
        <v>0</v>
      </c>
      <c r="AG605" s="6">
        <v>0</v>
      </c>
      <c r="AH605" s="6">
        <v>0</v>
      </c>
      <c r="AI605" s="6">
        <v>0</v>
      </c>
      <c r="AJ605" s="6">
        <v>5332816.6198044699</v>
      </c>
      <c r="AK605" s="6">
        <v>13755.2968313731</v>
      </c>
      <c r="AL605" s="6">
        <v>330.98244656580999</v>
      </c>
      <c r="AM605" s="6">
        <v>93035.839999999997</v>
      </c>
      <c r="AN605" s="6">
        <v>7440.7566007290197</v>
      </c>
      <c r="AO605" s="6">
        <v>17975.907501281701</v>
      </c>
      <c r="AP605" s="6">
        <v>330.98244656580999</v>
      </c>
      <c r="AQ605" s="6">
        <v>93035.839999999997</v>
      </c>
      <c r="AR605" s="6">
        <v>13755.2968313731</v>
      </c>
      <c r="AS605" s="6">
        <v>16181.4732855983</v>
      </c>
      <c r="AT605" s="6">
        <v>0</v>
      </c>
      <c r="AU605" t="s">
        <v>2973</v>
      </c>
      <c r="AV605" t="s">
        <v>2973</v>
      </c>
    </row>
    <row r="606" spans="1:48" x14ac:dyDescent="0.45">
      <c r="A606" s="5" t="s">
        <v>1238</v>
      </c>
      <c r="B606">
        <v>2262</v>
      </c>
      <c r="C606" t="s">
        <v>1239</v>
      </c>
      <c r="D606">
        <v>166</v>
      </c>
      <c r="E606" t="s">
        <v>1240</v>
      </c>
      <c r="F606" t="s">
        <v>2739</v>
      </c>
      <c r="G606" t="s">
        <v>2740</v>
      </c>
      <c r="H606" t="s">
        <v>2741</v>
      </c>
      <c r="I606" t="s">
        <v>2742</v>
      </c>
      <c r="J606">
        <v>359.26912849252</v>
      </c>
      <c r="K606">
        <v>1</v>
      </c>
      <c r="L606">
        <v>1</v>
      </c>
      <c r="M606">
        <v>2</v>
      </c>
      <c r="N606" s="6">
        <v>2292946.0365586602</v>
      </c>
      <c r="O606" s="6">
        <v>494849.10081668099</v>
      </c>
      <c r="P606" s="6">
        <v>846119.15986428398</v>
      </c>
      <c r="Q606" s="6">
        <v>284336.18454716197</v>
      </c>
      <c r="R606" s="6">
        <v>148128.17992719301</v>
      </c>
      <c r="S606" s="6">
        <v>147302.17702091299</v>
      </c>
      <c r="T606" s="6">
        <v>2552299.16</v>
      </c>
      <c r="U606" s="6">
        <v>1514079.50171398</v>
      </c>
      <c r="V606" s="6">
        <v>3524969.4088985301</v>
      </c>
      <c r="W606" s="6">
        <v>541409.25281545101</v>
      </c>
      <c r="X606" s="6">
        <v>0</v>
      </c>
      <c r="Y606" s="6">
        <v>0</v>
      </c>
      <c r="Z606" s="6">
        <v>0</v>
      </c>
      <c r="AA606" s="6">
        <v>0</v>
      </c>
      <c r="AB606" s="6">
        <v>0</v>
      </c>
      <c r="AC606" s="6">
        <v>147302.17702091299</v>
      </c>
      <c r="AD606" s="6">
        <v>0</v>
      </c>
      <c r="AE606" s="6">
        <v>0</v>
      </c>
      <c r="AF606" s="6">
        <v>0</v>
      </c>
      <c r="AG606" s="6">
        <v>0</v>
      </c>
      <c r="AH606" s="6">
        <v>0</v>
      </c>
      <c r="AI606" s="6">
        <v>0</v>
      </c>
      <c r="AJ606" s="6">
        <v>4213680.8387348903</v>
      </c>
      <c r="AK606" s="6">
        <v>11728.480140821801</v>
      </c>
      <c r="AL606" s="6">
        <v>330.98244656580999</v>
      </c>
      <c r="AM606" s="6">
        <v>93035.839999999997</v>
      </c>
      <c r="AN606" s="6">
        <v>4624.33743112298</v>
      </c>
      <c r="AO606" s="6">
        <v>15789.2906399205</v>
      </c>
      <c r="AP606" s="6">
        <v>330.98244656580999</v>
      </c>
      <c r="AQ606" s="6">
        <v>93035.839999999997</v>
      </c>
      <c r="AR606" s="6">
        <v>11728.480140821801</v>
      </c>
      <c r="AS606" s="6">
        <v>11728.480140821801</v>
      </c>
      <c r="AT606" s="6">
        <v>0</v>
      </c>
      <c r="AU606" t="s">
        <v>2973</v>
      </c>
      <c r="AV606" t="s">
        <v>2973</v>
      </c>
    </row>
    <row r="607" spans="1:48" x14ac:dyDescent="0.45">
      <c r="A607" s="5" t="s">
        <v>1241</v>
      </c>
      <c r="B607">
        <v>2262</v>
      </c>
      <c r="C607" t="s">
        <v>1239</v>
      </c>
      <c r="D607">
        <v>169</v>
      </c>
      <c r="E607" t="s">
        <v>1242</v>
      </c>
      <c r="F607" t="s">
        <v>2739</v>
      </c>
      <c r="G607" t="s">
        <v>2744</v>
      </c>
      <c r="H607" t="s">
        <v>2745</v>
      </c>
      <c r="I607" t="s">
        <v>2742</v>
      </c>
      <c r="J607">
        <v>134.15169969720901</v>
      </c>
      <c r="K607">
        <v>1</v>
      </c>
      <c r="L607">
        <v>1</v>
      </c>
      <c r="M607">
        <v>2</v>
      </c>
      <c r="N607" s="6">
        <v>902359.52515657595</v>
      </c>
      <c r="O607" s="6">
        <v>656809.34825925296</v>
      </c>
      <c r="P607" s="6">
        <v>340196.13475847902</v>
      </c>
      <c r="Q607" s="6">
        <v>106171.611801083</v>
      </c>
      <c r="R607" s="6">
        <v>57620.674562051703</v>
      </c>
      <c r="S607" s="6">
        <v>55002.881821130701</v>
      </c>
      <c r="T607" s="6">
        <v>1497797.45</v>
      </c>
      <c r="U607" s="6">
        <v>565359.84453744197</v>
      </c>
      <c r="V607" s="6">
        <v>1583141.667805</v>
      </c>
      <c r="W607" s="6">
        <v>480015.62673244602</v>
      </c>
      <c r="X607" s="6">
        <v>0</v>
      </c>
      <c r="Y607" s="6">
        <v>0</v>
      </c>
      <c r="Z607" s="6">
        <v>0</v>
      </c>
      <c r="AA607" s="6">
        <v>0</v>
      </c>
      <c r="AB607" s="6">
        <v>0</v>
      </c>
      <c r="AC607" s="6">
        <v>55002.881821130701</v>
      </c>
      <c r="AD607" s="6">
        <v>0</v>
      </c>
      <c r="AE607" s="6">
        <v>0</v>
      </c>
      <c r="AF607" s="6">
        <v>0</v>
      </c>
      <c r="AG607" s="6">
        <v>0</v>
      </c>
      <c r="AH607" s="6">
        <v>0</v>
      </c>
      <c r="AI607" s="6">
        <v>0</v>
      </c>
      <c r="AJ607" s="6">
        <v>2118160.1763585699</v>
      </c>
      <c r="AK607" s="6">
        <v>15789.2906399205</v>
      </c>
      <c r="AL607" s="6">
        <v>330.98244656580999</v>
      </c>
      <c r="AM607" s="6">
        <v>93035.839999999997</v>
      </c>
      <c r="AN607" s="6">
        <v>4624.33743112298</v>
      </c>
      <c r="AO607" s="6">
        <v>15789.2906399205</v>
      </c>
      <c r="AP607" s="6">
        <v>330.98244656580999</v>
      </c>
      <c r="AQ607" s="6">
        <v>40734.411818744898</v>
      </c>
      <c r="AR607" s="6">
        <v>15789.2906399205</v>
      </c>
      <c r="AS607" s="6">
        <v>15789.2906399205</v>
      </c>
      <c r="AT607" s="6">
        <v>0</v>
      </c>
      <c r="AU607" t="s">
        <v>2973</v>
      </c>
      <c r="AV607" t="s">
        <v>2973</v>
      </c>
    </row>
    <row r="608" spans="1:48" x14ac:dyDescent="0.45">
      <c r="A608" s="5" t="s">
        <v>1243</v>
      </c>
      <c r="B608">
        <v>2262</v>
      </c>
      <c r="C608" t="s">
        <v>1239</v>
      </c>
      <c r="D608">
        <v>2262</v>
      </c>
      <c r="E608" t="s">
        <v>1239</v>
      </c>
      <c r="F608" t="s">
        <v>1</v>
      </c>
      <c r="G608" t="s">
        <v>1</v>
      </c>
      <c r="H608" t="s">
        <v>2743</v>
      </c>
      <c r="I608" t="s">
        <v>2742</v>
      </c>
      <c r="J608">
        <v>1.982758620689</v>
      </c>
      <c r="K608">
        <v>0</v>
      </c>
      <c r="L608">
        <v>0</v>
      </c>
      <c r="M608">
        <v>2</v>
      </c>
      <c r="N608" s="6">
        <v>2300.4982847649298</v>
      </c>
      <c r="O608" s="6">
        <v>1013.12092406605</v>
      </c>
      <c r="P608" s="6">
        <v>2675.0053772367701</v>
      </c>
      <c r="Q608" s="6">
        <v>1569.2136517553299</v>
      </c>
      <c r="R608" s="6">
        <v>798.16551075505004</v>
      </c>
      <c r="S608" s="6">
        <v>812.94115795578</v>
      </c>
      <c r="T608" s="6">
        <v>0</v>
      </c>
      <c r="U608" s="6">
        <v>8356.0037485781395</v>
      </c>
      <c r="V608" s="6">
        <v>7553.5732964749996</v>
      </c>
      <c r="W608" s="6">
        <v>802.43045210313699</v>
      </c>
      <c r="X608" s="6">
        <v>0</v>
      </c>
      <c r="Y608" s="6">
        <v>0</v>
      </c>
      <c r="Z608" s="6">
        <v>0</v>
      </c>
      <c r="AA608" s="6">
        <v>0</v>
      </c>
      <c r="AB608" s="6">
        <v>0</v>
      </c>
      <c r="AC608" s="6">
        <v>812.94115795578</v>
      </c>
      <c r="AD608" s="6">
        <v>0</v>
      </c>
      <c r="AE608" s="6">
        <v>0</v>
      </c>
      <c r="AF608" s="6">
        <v>0</v>
      </c>
      <c r="AG608" s="6">
        <v>0</v>
      </c>
      <c r="AH608" s="6">
        <v>0</v>
      </c>
      <c r="AI608" s="6">
        <v>0</v>
      </c>
      <c r="AJ608" s="6">
        <v>9168.9449065339104</v>
      </c>
      <c r="AK608" s="6">
        <v>4624.33743112298</v>
      </c>
      <c r="AL608" s="6">
        <v>330.98244656580999</v>
      </c>
      <c r="AM608" s="6">
        <v>93035.839999999997</v>
      </c>
      <c r="AN608" s="6">
        <v>4624.33743112298</v>
      </c>
      <c r="AO608" s="6">
        <v>15789.2906399205</v>
      </c>
      <c r="AP608" s="6">
        <v>634.54287297753501</v>
      </c>
      <c r="AQ608" s="6">
        <v>40331.279999999999</v>
      </c>
      <c r="AR608" s="6">
        <v>4624.33743112298</v>
      </c>
      <c r="AS608" s="6">
        <v>4624.33743112298</v>
      </c>
      <c r="AT608" s="6">
        <v>0</v>
      </c>
      <c r="AU608" t="s">
        <v>2973</v>
      </c>
      <c r="AV608" t="s">
        <v>2977</v>
      </c>
    </row>
    <row r="609" spans="1:48" x14ac:dyDescent="0.45">
      <c r="A609" s="5" t="s">
        <v>1244</v>
      </c>
      <c r="B609">
        <v>2212</v>
      </c>
      <c r="C609" t="s">
        <v>1245</v>
      </c>
      <c r="D609">
        <v>1066</v>
      </c>
      <c r="E609" t="s">
        <v>887</v>
      </c>
      <c r="F609" t="s">
        <v>2739</v>
      </c>
      <c r="G609" t="s">
        <v>2740</v>
      </c>
      <c r="H609" t="s">
        <v>2741</v>
      </c>
      <c r="I609" t="s">
        <v>2742</v>
      </c>
      <c r="J609">
        <v>498.37811428559399</v>
      </c>
      <c r="K609">
        <v>1</v>
      </c>
      <c r="L609">
        <v>1</v>
      </c>
      <c r="M609">
        <v>2</v>
      </c>
      <c r="N609" s="6">
        <v>3181559.0259013502</v>
      </c>
      <c r="O609" s="6">
        <v>882986.26765755599</v>
      </c>
      <c r="P609" s="6">
        <v>944661.40053233004</v>
      </c>
      <c r="Q609" s="6">
        <v>224104.92203899301</v>
      </c>
      <c r="R609" s="6">
        <v>545328.52914986899</v>
      </c>
      <c r="S609" s="6">
        <v>249999.38666699899</v>
      </c>
      <c r="T609" s="6">
        <v>3583248.94</v>
      </c>
      <c r="U609" s="6">
        <v>2195391.2052801</v>
      </c>
      <c r="V609" s="6">
        <v>5157253.7755353004</v>
      </c>
      <c r="W609" s="6">
        <v>620547.96974480303</v>
      </c>
      <c r="X609" s="6">
        <v>0</v>
      </c>
      <c r="Y609" s="6">
        <v>0</v>
      </c>
      <c r="Z609" s="6">
        <v>0</v>
      </c>
      <c r="AA609" s="6">
        <v>0</v>
      </c>
      <c r="AB609" s="6">
        <v>838.4</v>
      </c>
      <c r="AC609" s="6">
        <v>249859.60356916601</v>
      </c>
      <c r="AD609" s="6">
        <v>139.78309783325301</v>
      </c>
      <c r="AE609" s="6">
        <v>0</v>
      </c>
      <c r="AF609" s="6">
        <v>0</v>
      </c>
      <c r="AG609" s="6">
        <v>0</v>
      </c>
      <c r="AH609" s="6">
        <v>0</v>
      </c>
      <c r="AI609" s="6">
        <v>0</v>
      </c>
      <c r="AJ609" s="6">
        <v>6028639.5319470996</v>
      </c>
      <c r="AK609" s="6">
        <v>12096.517401429101</v>
      </c>
      <c r="AL609" s="6">
        <v>330.98244656580999</v>
      </c>
      <c r="AM609" s="6">
        <v>93035.839999999997</v>
      </c>
      <c r="AN609" s="6">
        <v>4906.6973886934702</v>
      </c>
      <c r="AO609" s="6">
        <v>13734.6720678373</v>
      </c>
      <c r="AP609" s="6">
        <v>330.98244656580999</v>
      </c>
      <c r="AQ609" s="6">
        <v>93035.839999999997</v>
      </c>
      <c r="AR609" s="6">
        <v>12096.517401429101</v>
      </c>
      <c r="AS609" s="6">
        <v>13146.146154368</v>
      </c>
      <c r="AT609" s="6">
        <v>0</v>
      </c>
      <c r="AU609" t="s">
        <v>2973</v>
      </c>
      <c r="AV609" t="s">
        <v>2973</v>
      </c>
    </row>
    <row r="610" spans="1:48" x14ac:dyDescent="0.45">
      <c r="A610" s="5" t="s">
        <v>1246</v>
      </c>
      <c r="B610">
        <v>2212</v>
      </c>
      <c r="C610" t="s">
        <v>1245</v>
      </c>
      <c r="D610">
        <v>1068</v>
      </c>
      <c r="E610" t="s">
        <v>1247</v>
      </c>
      <c r="F610" t="s">
        <v>2739</v>
      </c>
      <c r="G610" t="s">
        <v>2740</v>
      </c>
      <c r="H610" t="s">
        <v>2741</v>
      </c>
      <c r="I610" t="s">
        <v>2742</v>
      </c>
      <c r="J610">
        <v>306.23999999998</v>
      </c>
      <c r="K610">
        <v>1</v>
      </c>
      <c r="L610">
        <v>1</v>
      </c>
      <c r="M610">
        <v>2</v>
      </c>
      <c r="N610" s="6">
        <v>2208876.8744965298</v>
      </c>
      <c r="O610" s="6">
        <v>614501.57011564297</v>
      </c>
      <c r="P610" s="6">
        <v>575667.36715444701</v>
      </c>
      <c r="Q610" s="6">
        <v>138307.46293945101</v>
      </c>
      <c r="R610" s="6">
        <v>334904.59782291501</v>
      </c>
      <c r="S610" s="6">
        <v>153617.92578440701</v>
      </c>
      <c r="T610" s="6">
        <v>2523248.79</v>
      </c>
      <c r="U610" s="6">
        <v>1349009.08252898</v>
      </c>
      <c r="V610" s="6">
        <v>3229882.6923794602</v>
      </c>
      <c r="W610" s="6">
        <v>642045.18014951597</v>
      </c>
      <c r="X610" s="6">
        <v>0</v>
      </c>
      <c r="Y610" s="6">
        <v>0</v>
      </c>
      <c r="Z610" s="6">
        <v>0</v>
      </c>
      <c r="AA610" s="6">
        <v>0</v>
      </c>
      <c r="AB610" s="6">
        <v>330</v>
      </c>
      <c r="AC610" s="6">
        <v>153532.03281548701</v>
      </c>
      <c r="AD610" s="6">
        <v>85.892968919422202</v>
      </c>
      <c r="AE610" s="6">
        <v>0</v>
      </c>
      <c r="AF610" s="6">
        <v>0</v>
      </c>
      <c r="AG610" s="6">
        <v>0</v>
      </c>
      <c r="AH610" s="6">
        <v>0</v>
      </c>
      <c r="AI610" s="6">
        <v>0</v>
      </c>
      <c r="AJ610" s="6">
        <v>4025875.79831339</v>
      </c>
      <c r="AK610" s="6">
        <v>13146.146154368</v>
      </c>
      <c r="AL610" s="6">
        <v>330.98244656580999</v>
      </c>
      <c r="AM610" s="6">
        <v>93035.839999999997</v>
      </c>
      <c r="AN610" s="6">
        <v>4906.6973886934702</v>
      </c>
      <c r="AO610" s="6">
        <v>13734.6720678373</v>
      </c>
      <c r="AP610" s="6">
        <v>330.98244656580999</v>
      </c>
      <c r="AQ610" s="6">
        <v>93035.839999999997</v>
      </c>
      <c r="AR610" s="6">
        <v>12096.517401429101</v>
      </c>
      <c r="AS610" s="6">
        <v>13146.146154368</v>
      </c>
      <c r="AT610" s="6">
        <v>0</v>
      </c>
      <c r="AU610" t="s">
        <v>2973</v>
      </c>
      <c r="AV610" t="s">
        <v>2973</v>
      </c>
    </row>
    <row r="611" spans="1:48" x14ac:dyDescent="0.45">
      <c r="A611" s="5" t="s">
        <v>1248</v>
      </c>
      <c r="B611">
        <v>2212</v>
      </c>
      <c r="C611" t="s">
        <v>1245</v>
      </c>
      <c r="D611">
        <v>1069</v>
      </c>
      <c r="E611" t="s">
        <v>1249</v>
      </c>
      <c r="F611" t="s">
        <v>2739</v>
      </c>
      <c r="G611" t="s">
        <v>2740</v>
      </c>
      <c r="H611" t="s">
        <v>2741</v>
      </c>
      <c r="I611" t="s">
        <v>2742</v>
      </c>
      <c r="J611">
        <v>310.68571428568799</v>
      </c>
      <c r="K611">
        <v>1</v>
      </c>
      <c r="L611">
        <v>1</v>
      </c>
      <c r="M611">
        <v>2</v>
      </c>
      <c r="N611" s="6">
        <v>2060563.13844522</v>
      </c>
      <c r="O611" s="6">
        <v>649066.08438922395</v>
      </c>
      <c r="P611" s="6">
        <v>575151.76978554099</v>
      </c>
      <c r="Q611" s="6">
        <v>139907.58093330701</v>
      </c>
      <c r="R611" s="6">
        <v>339453.64807492797</v>
      </c>
      <c r="S611" s="6">
        <v>155848.01136173401</v>
      </c>
      <c r="T611" s="6">
        <v>2395549.4500000002</v>
      </c>
      <c r="U611" s="6">
        <v>1368592.7716282201</v>
      </c>
      <c r="V611" s="6">
        <v>3362035.1623382298</v>
      </c>
      <c r="W611" s="6">
        <v>402085.05928998702</v>
      </c>
      <c r="X611" s="6">
        <v>0</v>
      </c>
      <c r="Y611" s="6">
        <v>0</v>
      </c>
      <c r="Z611" s="6">
        <v>0</v>
      </c>
      <c r="AA611" s="6">
        <v>0</v>
      </c>
      <c r="AB611" s="6">
        <v>22</v>
      </c>
      <c r="AC611" s="6">
        <v>155760.871476673</v>
      </c>
      <c r="AD611" s="6">
        <v>87.139885060249597</v>
      </c>
      <c r="AE611" s="6">
        <v>0</v>
      </c>
      <c r="AF611" s="6">
        <v>0</v>
      </c>
      <c r="AG611" s="6">
        <v>0</v>
      </c>
      <c r="AH611" s="6">
        <v>0</v>
      </c>
      <c r="AI611" s="6">
        <v>0</v>
      </c>
      <c r="AJ611" s="6">
        <v>3919990.2329899501</v>
      </c>
      <c r="AK611" s="6">
        <v>12617.220724173199</v>
      </c>
      <c r="AL611" s="6">
        <v>330.98244656580999</v>
      </c>
      <c r="AM611" s="6">
        <v>93035.839999999997</v>
      </c>
      <c r="AN611" s="6">
        <v>4906.6973886934702</v>
      </c>
      <c r="AO611" s="6">
        <v>13734.6720678373</v>
      </c>
      <c r="AP611" s="6">
        <v>330.98244656580999</v>
      </c>
      <c r="AQ611" s="6">
        <v>93035.839999999997</v>
      </c>
      <c r="AR611" s="6">
        <v>12096.517401429101</v>
      </c>
      <c r="AS611" s="6">
        <v>13146.146154368</v>
      </c>
      <c r="AT611" s="6">
        <v>0</v>
      </c>
      <c r="AU611" t="s">
        <v>2973</v>
      </c>
      <c r="AV611" t="s">
        <v>2973</v>
      </c>
    </row>
    <row r="612" spans="1:48" x14ac:dyDescent="0.45">
      <c r="A612" s="5" t="s">
        <v>1250</v>
      </c>
      <c r="B612">
        <v>2212</v>
      </c>
      <c r="C612" t="s">
        <v>1245</v>
      </c>
      <c r="D612">
        <v>1073</v>
      </c>
      <c r="E612" t="s">
        <v>1251</v>
      </c>
      <c r="F612" t="s">
        <v>2739</v>
      </c>
      <c r="G612" t="s">
        <v>2744</v>
      </c>
      <c r="H612" t="s">
        <v>2745</v>
      </c>
      <c r="I612" t="s">
        <v>2742</v>
      </c>
      <c r="J612">
        <v>636.19404270252403</v>
      </c>
      <c r="K612">
        <v>1</v>
      </c>
      <c r="L612">
        <v>1</v>
      </c>
      <c r="M612">
        <v>2</v>
      </c>
      <c r="N612" s="6">
        <v>3678944.4352885601</v>
      </c>
      <c r="O612" s="6">
        <v>2297323.6818445302</v>
      </c>
      <c r="P612" s="6">
        <v>1227329.5710698499</v>
      </c>
      <c r="Q612" s="6">
        <v>317625.93930113403</v>
      </c>
      <c r="R612" s="6">
        <v>897561.49015721295</v>
      </c>
      <c r="S612" s="6">
        <v>319131.43036952801</v>
      </c>
      <c r="T612" s="6">
        <v>5616304.9000000004</v>
      </c>
      <c r="U612" s="6">
        <v>2802480.21766129</v>
      </c>
      <c r="V612" s="6">
        <v>6496111.2279613204</v>
      </c>
      <c r="W612" s="6">
        <v>1915160.8896999699</v>
      </c>
      <c r="X612" s="6">
        <v>0</v>
      </c>
      <c r="Y612" s="6">
        <v>0</v>
      </c>
      <c r="Z612" s="6">
        <v>0</v>
      </c>
      <c r="AA612" s="6">
        <v>0</v>
      </c>
      <c r="AB612" s="6">
        <v>7513</v>
      </c>
      <c r="AC612" s="6">
        <v>318952.99321195099</v>
      </c>
      <c r="AD612" s="6">
        <v>178.43715757762899</v>
      </c>
      <c r="AE612" s="6">
        <v>0</v>
      </c>
      <c r="AF612" s="6">
        <v>0</v>
      </c>
      <c r="AG612" s="6">
        <v>0</v>
      </c>
      <c r="AH612" s="6">
        <v>0</v>
      </c>
      <c r="AI612" s="6">
        <v>0</v>
      </c>
      <c r="AJ612" s="6">
        <v>8737916.5480308197</v>
      </c>
      <c r="AK612" s="6">
        <v>13734.6720678373</v>
      </c>
      <c r="AL612" s="6">
        <v>330.98244656580999</v>
      </c>
      <c r="AM612" s="6">
        <v>93035.839999999997</v>
      </c>
      <c r="AN612" s="6">
        <v>4906.6973886934702</v>
      </c>
      <c r="AO612" s="6">
        <v>13734.6720678373</v>
      </c>
      <c r="AP612" s="6">
        <v>330.98244656580999</v>
      </c>
      <c r="AQ612" s="6">
        <v>40734.411818744898</v>
      </c>
      <c r="AR612" s="6">
        <v>13734.6720678373</v>
      </c>
      <c r="AS612" s="6">
        <v>13734.6720678373</v>
      </c>
      <c r="AT612" s="6">
        <v>0</v>
      </c>
      <c r="AU612" t="s">
        <v>2973</v>
      </c>
      <c r="AV612" t="s">
        <v>2973</v>
      </c>
    </row>
    <row r="613" spans="1:48" x14ac:dyDescent="0.45">
      <c r="A613" s="5" t="s">
        <v>1252</v>
      </c>
      <c r="B613">
        <v>2212</v>
      </c>
      <c r="C613" t="s">
        <v>1245</v>
      </c>
      <c r="D613">
        <v>1072</v>
      </c>
      <c r="E613" t="s">
        <v>1253</v>
      </c>
      <c r="F613" t="s">
        <v>2739</v>
      </c>
      <c r="G613" t="s">
        <v>2747</v>
      </c>
      <c r="H613" t="s">
        <v>2741</v>
      </c>
      <c r="I613" t="s">
        <v>2742</v>
      </c>
      <c r="J613">
        <v>537.39994857066802</v>
      </c>
      <c r="K613">
        <v>1</v>
      </c>
      <c r="L613">
        <v>1</v>
      </c>
      <c r="M613">
        <v>2</v>
      </c>
      <c r="N613" s="6">
        <v>3216611.4778815298</v>
      </c>
      <c r="O613" s="6">
        <v>1055545.0910081</v>
      </c>
      <c r="P613" s="6">
        <v>1006706.03354482</v>
      </c>
      <c r="Q613" s="6">
        <v>241196.78544103901</v>
      </c>
      <c r="R613" s="6">
        <v>587122.42575463001</v>
      </c>
      <c r="S613" s="6">
        <v>269573.75070558401</v>
      </c>
      <c r="T613" s="6">
        <v>3739896.64</v>
      </c>
      <c r="U613" s="6">
        <v>2367285.1736301202</v>
      </c>
      <c r="V613" s="6">
        <v>5174352.9497028897</v>
      </c>
      <c r="W613" s="6">
        <v>932828.86392724002</v>
      </c>
      <c r="X613" s="6">
        <v>0</v>
      </c>
      <c r="Y613" s="6">
        <v>0</v>
      </c>
      <c r="Z613" s="6">
        <v>0</v>
      </c>
      <c r="AA613" s="6">
        <v>0</v>
      </c>
      <c r="AB613" s="6">
        <v>0</v>
      </c>
      <c r="AC613" s="6">
        <v>269423.02291992703</v>
      </c>
      <c r="AD613" s="6">
        <v>150.72778565792299</v>
      </c>
      <c r="AE613" s="6">
        <v>0</v>
      </c>
      <c r="AF613" s="6">
        <v>0</v>
      </c>
      <c r="AG613" s="6">
        <v>0</v>
      </c>
      <c r="AH613" s="6">
        <v>0</v>
      </c>
      <c r="AI613" s="6">
        <v>0</v>
      </c>
      <c r="AJ613" s="6">
        <v>6376755.5643357001</v>
      </c>
      <c r="AK613" s="6">
        <v>11865.940034598199</v>
      </c>
      <c r="AL613" s="6">
        <v>330.98244656580999</v>
      </c>
      <c r="AM613" s="6">
        <v>93035.839999999997</v>
      </c>
      <c r="AN613" s="6">
        <v>4906.6973886934702</v>
      </c>
      <c r="AO613" s="6">
        <v>13734.6720678373</v>
      </c>
      <c r="AP613" s="6">
        <v>3753.1860850462999</v>
      </c>
      <c r="AQ613" s="6">
        <v>20687.885194392002</v>
      </c>
      <c r="AR613" s="6">
        <v>11865.940034598199</v>
      </c>
      <c r="AS613" s="6">
        <v>11865.940034598199</v>
      </c>
      <c r="AT613" s="6">
        <v>0</v>
      </c>
      <c r="AU613" t="s">
        <v>2973</v>
      </c>
      <c r="AV613" t="s">
        <v>2973</v>
      </c>
    </row>
    <row r="614" spans="1:48" x14ac:dyDescent="0.45">
      <c r="A614" s="5" t="s">
        <v>2946</v>
      </c>
      <c r="B614">
        <v>2212</v>
      </c>
      <c r="C614" t="s">
        <v>1245</v>
      </c>
      <c r="D614">
        <v>2212</v>
      </c>
      <c r="E614" t="s">
        <v>1245</v>
      </c>
      <c r="F614" t="s">
        <v>1</v>
      </c>
      <c r="G614" t="s">
        <v>1</v>
      </c>
      <c r="H614" t="s">
        <v>2743</v>
      </c>
      <c r="I614" t="s">
        <v>2742</v>
      </c>
      <c r="J614">
        <v>13.7591273793682</v>
      </c>
      <c r="K614">
        <v>1</v>
      </c>
      <c r="L614">
        <v>2</v>
      </c>
      <c r="M614">
        <v>2</v>
      </c>
      <c r="N614" s="6">
        <v>7851.66798680989</v>
      </c>
      <c r="O614" s="6">
        <v>8251.2849849553095</v>
      </c>
      <c r="P614" s="6">
        <v>23350.6179130079</v>
      </c>
      <c r="Q614" s="6">
        <v>6124.1893460767096</v>
      </c>
      <c r="R614" s="6">
        <v>15032.1790404476</v>
      </c>
      <c r="S614" s="6">
        <v>6901.9351117493297</v>
      </c>
      <c r="T614" s="6">
        <v>0</v>
      </c>
      <c r="U614" s="6">
        <v>60609.9392712974</v>
      </c>
      <c r="V614" s="6">
        <v>51734.3320828121</v>
      </c>
      <c r="W614" s="6">
        <v>8875.6071884852809</v>
      </c>
      <c r="X614" s="6">
        <v>0</v>
      </c>
      <c r="Y614" s="6">
        <v>0</v>
      </c>
      <c r="Z614" s="6">
        <v>0</v>
      </c>
      <c r="AA614" s="6">
        <v>0</v>
      </c>
      <c r="AB614" s="6">
        <v>0</v>
      </c>
      <c r="AC614" s="6">
        <v>6898.0760067978099</v>
      </c>
      <c r="AD614" s="6">
        <v>3.85910495152338</v>
      </c>
      <c r="AE614" s="6">
        <v>0</v>
      </c>
      <c r="AF614" s="6">
        <v>0</v>
      </c>
      <c r="AG614" s="6">
        <v>0</v>
      </c>
      <c r="AH614" s="6">
        <v>0</v>
      </c>
      <c r="AI614" s="6">
        <v>0</v>
      </c>
      <c r="AJ614" s="6">
        <v>67511.874383046801</v>
      </c>
      <c r="AK614" s="6">
        <v>4906.6973886934702</v>
      </c>
      <c r="AL614" s="6">
        <v>330.98244656580999</v>
      </c>
      <c r="AM614" s="6">
        <v>93035.839999999997</v>
      </c>
      <c r="AN614" s="6">
        <v>4906.6973886934702</v>
      </c>
      <c r="AO614" s="6">
        <v>13734.6720678373</v>
      </c>
      <c r="AP614" s="6">
        <v>634.54287297753501</v>
      </c>
      <c r="AQ614" s="6">
        <v>40331.279999999999</v>
      </c>
      <c r="AR614" s="6">
        <v>4906.6973886934702</v>
      </c>
      <c r="AS614" s="6">
        <v>4906.6973886934702</v>
      </c>
      <c r="AT614" s="6">
        <v>0</v>
      </c>
      <c r="AU614" t="s">
        <v>2973</v>
      </c>
      <c r="AV614" t="s">
        <v>2977</v>
      </c>
    </row>
    <row r="615" spans="1:48" x14ac:dyDescent="0.45">
      <c r="A615" s="5" t="s">
        <v>1254</v>
      </c>
      <c r="B615">
        <v>2059</v>
      </c>
      <c r="C615" t="s">
        <v>1255</v>
      </c>
      <c r="D615">
        <v>491</v>
      </c>
      <c r="E615" t="s">
        <v>1256</v>
      </c>
      <c r="F615" t="s">
        <v>2739</v>
      </c>
      <c r="G615" t="s">
        <v>2747</v>
      </c>
      <c r="H615" t="s">
        <v>2741</v>
      </c>
      <c r="I615" t="s">
        <v>2742</v>
      </c>
      <c r="J615">
        <v>112.279069767431</v>
      </c>
      <c r="K615">
        <v>1</v>
      </c>
      <c r="L615">
        <v>1</v>
      </c>
      <c r="M615">
        <v>3</v>
      </c>
      <c r="N615" s="6">
        <v>545358.97240291897</v>
      </c>
      <c r="O615" s="6">
        <v>110518.560676369</v>
      </c>
      <c r="P615" s="6">
        <v>203584.37017304701</v>
      </c>
      <c r="Q615" s="6">
        <v>88188.054188972703</v>
      </c>
      <c r="R615" s="6">
        <v>53828.8925380031</v>
      </c>
      <c r="S615" s="6">
        <v>103553.118483235</v>
      </c>
      <c r="T615" s="6">
        <v>630961.01</v>
      </c>
      <c r="U615" s="6">
        <v>370517.83997931099</v>
      </c>
      <c r="V615" s="6">
        <v>947484.52334162104</v>
      </c>
      <c r="W615" s="6">
        <v>42891.945633714597</v>
      </c>
      <c r="X615" s="6">
        <v>0</v>
      </c>
      <c r="Y615" s="6">
        <v>0</v>
      </c>
      <c r="Z615" s="6">
        <v>0</v>
      </c>
      <c r="AA615" s="6">
        <v>11102.381003975799</v>
      </c>
      <c r="AB615" s="6">
        <v>0</v>
      </c>
      <c r="AC615" s="6">
        <v>100101.37084429699</v>
      </c>
      <c r="AD615" s="6">
        <v>3451.7476389379299</v>
      </c>
      <c r="AE615" s="6">
        <v>0</v>
      </c>
      <c r="AF615" s="6">
        <v>0</v>
      </c>
      <c r="AG615" s="6">
        <v>0</v>
      </c>
      <c r="AH615" s="6">
        <v>0</v>
      </c>
      <c r="AI615" s="6">
        <v>0</v>
      </c>
      <c r="AJ615" s="6">
        <v>1105031.9684625501</v>
      </c>
      <c r="AK615" s="6">
        <v>9841.8340190335693</v>
      </c>
      <c r="AL615" s="6">
        <v>330.98244656580999</v>
      </c>
      <c r="AM615" s="6">
        <v>93035.839999999997</v>
      </c>
      <c r="AN615" s="6">
        <v>9841.8340190335693</v>
      </c>
      <c r="AO615" s="6">
        <v>22651.7545828804</v>
      </c>
      <c r="AP615" s="6">
        <v>3753.1860850462999</v>
      </c>
      <c r="AQ615" s="6">
        <v>20687.885194392002</v>
      </c>
      <c r="AR615" s="6">
        <v>9841.8340190335693</v>
      </c>
      <c r="AS615" s="6">
        <v>9841.8340190335693</v>
      </c>
      <c r="AT615" s="6">
        <v>0</v>
      </c>
      <c r="AU615" t="s">
        <v>2973</v>
      </c>
      <c r="AV615" t="s">
        <v>2973</v>
      </c>
    </row>
    <row r="616" spans="1:48" x14ac:dyDescent="0.45">
      <c r="A616" s="5" t="s">
        <v>1257</v>
      </c>
      <c r="B616">
        <v>2059</v>
      </c>
      <c r="C616" t="s">
        <v>1255</v>
      </c>
      <c r="D616">
        <v>490</v>
      </c>
      <c r="E616" t="s">
        <v>1258</v>
      </c>
      <c r="F616" t="s">
        <v>2739</v>
      </c>
      <c r="G616" t="s">
        <v>2740</v>
      </c>
      <c r="H616" t="s">
        <v>2741</v>
      </c>
      <c r="I616" t="s">
        <v>2742</v>
      </c>
      <c r="J616">
        <v>348.30882352938102</v>
      </c>
      <c r="K616">
        <v>1</v>
      </c>
      <c r="L616">
        <v>1</v>
      </c>
      <c r="M616">
        <v>3</v>
      </c>
      <c r="N616" s="6">
        <v>2491901.8015203401</v>
      </c>
      <c r="O616" s="6">
        <v>469104.33505178703</v>
      </c>
      <c r="P616" s="6">
        <v>993146.73495191301</v>
      </c>
      <c r="Q616" s="6">
        <v>273574.38450043602</v>
      </c>
      <c r="R616" s="6">
        <v>217607.605129979</v>
      </c>
      <c r="S616" s="6">
        <v>321239.434441383</v>
      </c>
      <c r="T616" s="6">
        <v>3295925.33</v>
      </c>
      <c r="U616" s="6">
        <v>1149409.53115446</v>
      </c>
      <c r="V616" s="6">
        <v>3811187.9191327398</v>
      </c>
      <c r="W616" s="6">
        <v>599705.46264466795</v>
      </c>
      <c r="X616" s="6">
        <v>0</v>
      </c>
      <c r="Y616" s="6">
        <v>0</v>
      </c>
      <c r="Z616" s="6">
        <v>0</v>
      </c>
      <c r="AA616" s="6">
        <v>34441.479377053904</v>
      </c>
      <c r="AB616" s="6">
        <v>0</v>
      </c>
      <c r="AC616" s="6">
        <v>310531.524572436</v>
      </c>
      <c r="AD616" s="6">
        <v>10707.909868946401</v>
      </c>
      <c r="AE616" s="6">
        <v>0</v>
      </c>
      <c r="AF616" s="6">
        <v>0</v>
      </c>
      <c r="AG616" s="6">
        <v>0</v>
      </c>
      <c r="AH616" s="6">
        <v>0</v>
      </c>
      <c r="AI616" s="6">
        <v>0</v>
      </c>
      <c r="AJ616" s="6">
        <v>4766574.2955958396</v>
      </c>
      <c r="AK616" s="6">
        <v>13684.9082584144</v>
      </c>
      <c r="AL616" s="6">
        <v>330.98244656580999</v>
      </c>
      <c r="AM616" s="6">
        <v>93035.839999999997</v>
      </c>
      <c r="AN616" s="6">
        <v>9841.8340190335693</v>
      </c>
      <c r="AO616" s="6">
        <v>22651.7545828804</v>
      </c>
      <c r="AP616" s="6">
        <v>330.98244656580999</v>
      </c>
      <c r="AQ616" s="6">
        <v>93035.839999999997</v>
      </c>
      <c r="AR616" s="6">
        <v>13684.9082584144</v>
      </c>
      <c r="AS616" s="6">
        <v>16531.885926987699</v>
      </c>
      <c r="AT616" s="6">
        <v>0</v>
      </c>
      <c r="AU616" t="s">
        <v>2973</v>
      </c>
      <c r="AV616" t="s">
        <v>2973</v>
      </c>
    </row>
    <row r="617" spans="1:48" x14ac:dyDescent="0.45">
      <c r="A617" s="5" t="s">
        <v>1259</v>
      </c>
      <c r="B617">
        <v>2059</v>
      </c>
      <c r="C617" t="s">
        <v>1255</v>
      </c>
      <c r="D617">
        <v>492</v>
      </c>
      <c r="E617" t="s">
        <v>1260</v>
      </c>
      <c r="F617" t="s">
        <v>2739</v>
      </c>
      <c r="G617" t="s">
        <v>2744</v>
      </c>
      <c r="H617" t="s">
        <v>2745</v>
      </c>
      <c r="I617" t="s">
        <v>2742</v>
      </c>
      <c r="J617">
        <v>228.49670029665199</v>
      </c>
      <c r="K617">
        <v>1</v>
      </c>
      <c r="L617">
        <v>1</v>
      </c>
      <c r="M617">
        <v>3</v>
      </c>
      <c r="N617" s="6">
        <v>2239043.2302550199</v>
      </c>
      <c r="O617" s="6">
        <v>1160897.4180970299</v>
      </c>
      <c r="P617" s="6">
        <v>1186077.95483956</v>
      </c>
      <c r="Q617" s="6">
        <v>180895.43686700001</v>
      </c>
      <c r="R617" s="6">
        <v>198198.43201304699</v>
      </c>
      <c r="S617" s="6">
        <v>210738.706046092</v>
      </c>
      <c r="T617" s="6">
        <v>4211079.6500000004</v>
      </c>
      <c r="U617" s="6">
        <v>754032.82207164797</v>
      </c>
      <c r="V617" s="6">
        <v>3483445.66498863</v>
      </c>
      <c r="W617" s="6">
        <v>1459072.59223871</v>
      </c>
      <c r="X617" s="6">
        <v>0</v>
      </c>
      <c r="Y617" s="6">
        <v>0</v>
      </c>
      <c r="Z617" s="6">
        <v>0</v>
      </c>
      <c r="AA617" s="6">
        <v>22594.2148443109</v>
      </c>
      <c r="AB617" s="6">
        <v>0</v>
      </c>
      <c r="AC617" s="6">
        <v>203714.129271563</v>
      </c>
      <c r="AD617" s="6">
        <v>7024.5767745295298</v>
      </c>
      <c r="AE617" s="6">
        <v>0</v>
      </c>
      <c r="AF617" s="6">
        <v>0</v>
      </c>
      <c r="AG617" s="6">
        <v>0</v>
      </c>
      <c r="AH617" s="6">
        <v>0</v>
      </c>
      <c r="AI617" s="6">
        <v>0</v>
      </c>
      <c r="AJ617" s="6">
        <v>5175851.17811774</v>
      </c>
      <c r="AK617" s="6">
        <v>22651.7545828804</v>
      </c>
      <c r="AL617" s="6">
        <v>330.98244656580999</v>
      </c>
      <c r="AM617" s="6">
        <v>93035.839999999997</v>
      </c>
      <c r="AN617" s="6">
        <v>9841.8340190335693</v>
      </c>
      <c r="AO617" s="6">
        <v>22651.7545828804</v>
      </c>
      <c r="AP617" s="6">
        <v>330.98244656580999</v>
      </c>
      <c r="AQ617" s="6">
        <v>40734.411818744898</v>
      </c>
      <c r="AR617" s="6">
        <v>22651.7545828804</v>
      </c>
      <c r="AS617" s="6">
        <v>22651.7545828804</v>
      </c>
      <c r="AT617" s="6">
        <v>0</v>
      </c>
      <c r="AU617" t="s">
        <v>2973</v>
      </c>
      <c r="AV617" t="s">
        <v>2973</v>
      </c>
    </row>
    <row r="618" spans="1:48" x14ac:dyDescent="0.45">
      <c r="A618" s="5" t="s">
        <v>1261</v>
      </c>
      <c r="B618">
        <v>2059</v>
      </c>
      <c r="C618" t="s">
        <v>1255</v>
      </c>
      <c r="D618">
        <v>489</v>
      </c>
      <c r="E618" t="s">
        <v>1262</v>
      </c>
      <c r="F618" t="s">
        <v>2739</v>
      </c>
      <c r="G618" t="s">
        <v>2740</v>
      </c>
      <c r="H618" t="s">
        <v>2741</v>
      </c>
      <c r="I618" t="s">
        <v>2742</v>
      </c>
      <c r="J618">
        <v>45.526627218931999</v>
      </c>
      <c r="K618">
        <v>1</v>
      </c>
      <c r="L618">
        <v>1</v>
      </c>
      <c r="M618">
        <v>3</v>
      </c>
      <c r="N618" s="6">
        <v>422266.73582171899</v>
      </c>
      <c r="O618" s="6">
        <v>13098.986174817899</v>
      </c>
      <c r="P618" s="6">
        <v>181727.760035485</v>
      </c>
      <c r="Q618" s="6">
        <v>42212.664443592199</v>
      </c>
      <c r="R618" s="6">
        <v>51346.410318971</v>
      </c>
      <c r="S618" s="6">
        <v>41988.451029290904</v>
      </c>
      <c r="T618" s="6">
        <v>560415.93999999994</v>
      </c>
      <c r="U618" s="6">
        <v>150236.61679458499</v>
      </c>
      <c r="V618" s="6">
        <v>585298.09253701603</v>
      </c>
      <c r="W618" s="6">
        <v>120652.69948291</v>
      </c>
      <c r="X618" s="6">
        <v>0</v>
      </c>
      <c r="Y618" s="6">
        <v>0</v>
      </c>
      <c r="Z618" s="6">
        <v>0</v>
      </c>
      <c r="AA618" s="6">
        <v>4701.7647746595103</v>
      </c>
      <c r="AB618" s="6">
        <v>0</v>
      </c>
      <c r="AC618" s="6">
        <v>40588.845311704703</v>
      </c>
      <c r="AD618" s="6">
        <v>1399.6057175861999</v>
      </c>
      <c r="AE618" s="6">
        <v>0</v>
      </c>
      <c r="AF618" s="6">
        <v>0</v>
      </c>
      <c r="AG618" s="6">
        <v>0</v>
      </c>
      <c r="AH618" s="6">
        <v>0</v>
      </c>
      <c r="AI618" s="6">
        <v>0</v>
      </c>
      <c r="AJ618" s="6">
        <v>752641.00782387599</v>
      </c>
      <c r="AK618" s="6">
        <v>16531.885926987699</v>
      </c>
      <c r="AL618" s="6">
        <v>330.98244656580999</v>
      </c>
      <c r="AM618" s="6">
        <v>93035.839999999997</v>
      </c>
      <c r="AN618" s="6">
        <v>9841.8340190335693</v>
      </c>
      <c r="AO618" s="6">
        <v>22651.7545828804</v>
      </c>
      <c r="AP618" s="6">
        <v>330.98244656580999</v>
      </c>
      <c r="AQ618" s="6">
        <v>93035.839999999997</v>
      </c>
      <c r="AR618" s="6">
        <v>13684.9082584144</v>
      </c>
      <c r="AS618" s="6">
        <v>16531.885926987699</v>
      </c>
      <c r="AT618" s="6">
        <v>0</v>
      </c>
      <c r="AU618" t="s">
        <v>2973</v>
      </c>
      <c r="AV618" t="s">
        <v>2973</v>
      </c>
    </row>
    <row r="619" spans="1:48" x14ac:dyDescent="0.45">
      <c r="A619" s="5" t="s">
        <v>1265</v>
      </c>
      <c r="B619">
        <v>1923</v>
      </c>
      <c r="C619" t="s">
        <v>1266</v>
      </c>
      <c r="D619">
        <v>53</v>
      </c>
      <c r="E619" t="s">
        <v>1267</v>
      </c>
      <c r="F619" t="s">
        <v>2739</v>
      </c>
      <c r="G619" t="s">
        <v>2740</v>
      </c>
      <c r="H619" t="s">
        <v>2741</v>
      </c>
      <c r="I619" t="s">
        <v>2742</v>
      </c>
      <c r="J619">
        <v>426.99429905112999</v>
      </c>
      <c r="K619">
        <v>1</v>
      </c>
      <c r="L619">
        <v>1</v>
      </c>
      <c r="M619">
        <v>1</v>
      </c>
      <c r="N619" s="6">
        <v>3344407.80616685</v>
      </c>
      <c r="O619" s="6">
        <v>760917.99577027303</v>
      </c>
      <c r="P619" s="6">
        <v>924708.63744273805</v>
      </c>
      <c r="Q619" s="6">
        <v>212938.429554934</v>
      </c>
      <c r="R619" s="6">
        <v>389910.86218455201</v>
      </c>
      <c r="S619" s="6">
        <v>129728.15228849799</v>
      </c>
      <c r="T619" s="6">
        <v>3247377.13</v>
      </c>
      <c r="U619" s="6">
        <v>2385506.6011193502</v>
      </c>
      <c r="V619" s="6">
        <v>5079734.6457495196</v>
      </c>
      <c r="W619" s="6">
        <v>553149.08536982897</v>
      </c>
      <c r="X619" s="6">
        <v>0</v>
      </c>
      <c r="Y619" s="6">
        <v>0</v>
      </c>
      <c r="Z619" s="6">
        <v>0</v>
      </c>
      <c r="AA619" s="6">
        <v>0</v>
      </c>
      <c r="AB619" s="6">
        <v>0</v>
      </c>
      <c r="AC619" s="6">
        <v>128140.598774567</v>
      </c>
      <c r="AD619" s="6">
        <v>1587.55351393059</v>
      </c>
      <c r="AE619" s="6">
        <v>0</v>
      </c>
      <c r="AF619" s="6">
        <v>0</v>
      </c>
      <c r="AG619" s="6">
        <v>0</v>
      </c>
      <c r="AH619" s="6">
        <v>0</v>
      </c>
      <c r="AI619" s="6">
        <v>0</v>
      </c>
      <c r="AJ619" s="6">
        <v>5762611.8834078498</v>
      </c>
      <c r="AK619" s="6">
        <v>13495.758365424501</v>
      </c>
      <c r="AL619" s="6">
        <v>330.98244656580999</v>
      </c>
      <c r="AM619" s="6">
        <v>93035.839999999997</v>
      </c>
      <c r="AN619" s="6">
        <v>5890.5581620111097</v>
      </c>
      <c r="AO619" s="6">
        <v>15992.4703047238</v>
      </c>
      <c r="AP619" s="6">
        <v>330.98244656580999</v>
      </c>
      <c r="AQ619" s="6">
        <v>93035.839999999997</v>
      </c>
      <c r="AR619" s="6">
        <v>12424.3700629738</v>
      </c>
      <c r="AS619" s="6">
        <v>13578.6628398435</v>
      </c>
      <c r="AT619" s="6">
        <v>0</v>
      </c>
      <c r="AU619" t="s">
        <v>2973</v>
      </c>
      <c r="AV619" t="s">
        <v>2973</v>
      </c>
    </row>
    <row r="620" spans="1:48" x14ac:dyDescent="0.45">
      <c r="A620" s="5" t="s">
        <v>1268</v>
      </c>
      <c r="B620">
        <v>1923</v>
      </c>
      <c r="C620" t="s">
        <v>1266</v>
      </c>
      <c r="D620">
        <v>54</v>
      </c>
      <c r="E620" t="s">
        <v>1269</v>
      </c>
      <c r="F620" t="s">
        <v>2739</v>
      </c>
      <c r="G620" t="s">
        <v>2740</v>
      </c>
      <c r="H620" t="s">
        <v>2741</v>
      </c>
      <c r="I620" t="s">
        <v>2742</v>
      </c>
      <c r="J620">
        <v>456.18325667986397</v>
      </c>
      <c r="K620">
        <v>1</v>
      </c>
      <c r="L620">
        <v>1</v>
      </c>
      <c r="M620">
        <v>1</v>
      </c>
      <c r="N620" s="6">
        <v>3402017.6106332899</v>
      </c>
      <c r="O620" s="6">
        <v>760196.64409694204</v>
      </c>
      <c r="P620" s="6">
        <v>1007647.58252502</v>
      </c>
      <c r="Q620" s="6">
        <v>227494.714759725</v>
      </c>
      <c r="R620" s="6">
        <v>416564.82843323197</v>
      </c>
      <c r="S620" s="6">
        <v>138596.25556017499</v>
      </c>
      <c r="T620" s="6">
        <v>3265343.63</v>
      </c>
      <c r="U620" s="6">
        <v>2548577.7504482102</v>
      </c>
      <c r="V620" s="6">
        <v>5235358.9339834703</v>
      </c>
      <c r="W620" s="6">
        <v>578562.44646473404</v>
      </c>
      <c r="X620" s="6">
        <v>0</v>
      </c>
      <c r="Y620" s="6">
        <v>0</v>
      </c>
      <c r="Z620" s="6">
        <v>0</v>
      </c>
      <c r="AA620" s="6">
        <v>0</v>
      </c>
      <c r="AB620" s="6">
        <v>0</v>
      </c>
      <c r="AC620" s="6">
        <v>136900.17827355099</v>
      </c>
      <c r="AD620" s="6">
        <v>1696.07728662367</v>
      </c>
      <c r="AE620" s="6">
        <v>0</v>
      </c>
      <c r="AF620" s="6">
        <v>0</v>
      </c>
      <c r="AG620" s="6">
        <v>0</v>
      </c>
      <c r="AH620" s="6">
        <v>0</v>
      </c>
      <c r="AI620" s="6">
        <v>0</v>
      </c>
      <c r="AJ620" s="6">
        <v>5952517.6360083902</v>
      </c>
      <c r="AK620" s="6">
        <v>13048.5228224535</v>
      </c>
      <c r="AL620" s="6">
        <v>330.98244656580999</v>
      </c>
      <c r="AM620" s="6">
        <v>93035.839999999997</v>
      </c>
      <c r="AN620" s="6">
        <v>5890.5581620111097</v>
      </c>
      <c r="AO620" s="6">
        <v>15992.4703047238</v>
      </c>
      <c r="AP620" s="6">
        <v>330.98244656580999</v>
      </c>
      <c r="AQ620" s="6">
        <v>93035.839999999997</v>
      </c>
      <c r="AR620" s="6">
        <v>12424.3700629738</v>
      </c>
      <c r="AS620" s="6">
        <v>13578.6628398435</v>
      </c>
      <c r="AT620" s="6">
        <v>0</v>
      </c>
      <c r="AU620" t="s">
        <v>2973</v>
      </c>
      <c r="AV620" t="s">
        <v>2973</v>
      </c>
    </row>
    <row r="621" spans="1:48" x14ac:dyDescent="0.45">
      <c r="A621" s="5" t="s">
        <v>1270</v>
      </c>
      <c r="B621">
        <v>1923</v>
      </c>
      <c r="C621" t="s">
        <v>1266</v>
      </c>
      <c r="D621">
        <v>55</v>
      </c>
      <c r="E621" t="s">
        <v>1271</v>
      </c>
      <c r="F621" t="s">
        <v>2739</v>
      </c>
      <c r="G621" t="s">
        <v>2740</v>
      </c>
      <c r="H621" t="s">
        <v>2741</v>
      </c>
      <c r="I621" t="s">
        <v>2742</v>
      </c>
      <c r="J621">
        <v>388.22013032755899</v>
      </c>
      <c r="K621">
        <v>1</v>
      </c>
      <c r="L621">
        <v>1</v>
      </c>
      <c r="M621">
        <v>1</v>
      </c>
      <c r="N621" s="6">
        <v>2972586.0981216501</v>
      </c>
      <c r="O621" s="6">
        <v>734889.03605641099</v>
      </c>
      <c r="P621" s="6">
        <v>897981.00623373699</v>
      </c>
      <c r="Q621" s="6">
        <v>193602.081004982</v>
      </c>
      <c r="R621" s="6">
        <v>354504.13757231802</v>
      </c>
      <c r="S621" s="6">
        <v>117947.898368927</v>
      </c>
      <c r="T621" s="6">
        <v>2984677</v>
      </c>
      <c r="U621" s="6">
        <v>2168885.3589890902</v>
      </c>
      <c r="V621" s="6">
        <v>4629164.2457270203</v>
      </c>
      <c r="W621" s="6">
        <v>524398.11326208198</v>
      </c>
      <c r="X621" s="6">
        <v>0</v>
      </c>
      <c r="Y621" s="6">
        <v>0</v>
      </c>
      <c r="Z621" s="6">
        <v>0</v>
      </c>
      <c r="AA621" s="6">
        <v>0</v>
      </c>
      <c r="AB621" s="6">
        <v>0</v>
      </c>
      <c r="AC621" s="6">
        <v>116504.506189102</v>
      </c>
      <c r="AD621" s="6">
        <v>1443.3921798246399</v>
      </c>
      <c r="AE621" s="6">
        <v>0</v>
      </c>
      <c r="AF621" s="6">
        <v>0</v>
      </c>
      <c r="AG621" s="6">
        <v>0</v>
      </c>
      <c r="AH621" s="6">
        <v>0</v>
      </c>
      <c r="AI621" s="6">
        <v>0</v>
      </c>
      <c r="AJ621" s="6">
        <v>5271510.2573580202</v>
      </c>
      <c r="AK621" s="6">
        <v>13578.6628398435</v>
      </c>
      <c r="AL621" s="6">
        <v>330.98244656580999</v>
      </c>
      <c r="AM621" s="6">
        <v>93035.839999999997</v>
      </c>
      <c r="AN621" s="6">
        <v>5890.5581620111097</v>
      </c>
      <c r="AO621" s="6">
        <v>15992.4703047238</v>
      </c>
      <c r="AP621" s="6">
        <v>330.98244656580999</v>
      </c>
      <c r="AQ621" s="6">
        <v>93035.839999999997</v>
      </c>
      <c r="AR621" s="6">
        <v>12424.3700629738</v>
      </c>
      <c r="AS621" s="6">
        <v>13578.6628398435</v>
      </c>
      <c r="AT621" s="6">
        <v>0</v>
      </c>
      <c r="AU621" t="s">
        <v>2973</v>
      </c>
      <c r="AV621" t="s">
        <v>2973</v>
      </c>
    </row>
    <row r="622" spans="1:48" x14ac:dyDescent="0.45">
      <c r="A622" s="5" t="s">
        <v>1272</v>
      </c>
      <c r="B622">
        <v>1923</v>
      </c>
      <c r="C622" t="s">
        <v>1266</v>
      </c>
      <c r="D622">
        <v>59</v>
      </c>
      <c r="E622" t="s">
        <v>1273</v>
      </c>
      <c r="F622" t="s">
        <v>2739</v>
      </c>
      <c r="G622" t="s">
        <v>2747</v>
      </c>
      <c r="H622" t="s">
        <v>2741</v>
      </c>
      <c r="I622" t="s">
        <v>2742</v>
      </c>
      <c r="J622">
        <v>865.59364982209195</v>
      </c>
      <c r="K622">
        <v>1</v>
      </c>
      <c r="L622">
        <v>1</v>
      </c>
      <c r="M622">
        <v>1</v>
      </c>
      <c r="N622" s="6">
        <v>5292563.00996699</v>
      </c>
      <c r="O622" s="6">
        <v>2072025.7015283201</v>
      </c>
      <c r="P622" s="6">
        <v>1959407.09535454</v>
      </c>
      <c r="Q622" s="6">
        <v>431664.19981586002</v>
      </c>
      <c r="R622" s="6">
        <v>790708.70501491299</v>
      </c>
      <c r="S622" s="6">
        <v>262982.11726388999</v>
      </c>
      <c r="T622" s="6">
        <v>5710521.0899999999</v>
      </c>
      <c r="U622" s="6">
        <v>4835847.6216806201</v>
      </c>
      <c r="V622" s="6">
        <v>9290456.6017801799</v>
      </c>
      <c r="W622" s="6">
        <v>1255912.1099004501</v>
      </c>
      <c r="X622" s="6">
        <v>0</v>
      </c>
      <c r="Y622" s="6">
        <v>0</v>
      </c>
      <c r="Z622" s="6">
        <v>0</v>
      </c>
      <c r="AA622" s="6">
        <v>0</v>
      </c>
      <c r="AB622" s="6">
        <v>0</v>
      </c>
      <c r="AC622" s="6">
        <v>259763.862960578</v>
      </c>
      <c r="AD622" s="6">
        <v>3218.2543033121701</v>
      </c>
      <c r="AE622" s="6">
        <v>0</v>
      </c>
      <c r="AF622" s="6">
        <v>0</v>
      </c>
      <c r="AG622" s="6">
        <v>0</v>
      </c>
      <c r="AH622" s="6">
        <v>0</v>
      </c>
      <c r="AI622" s="6">
        <v>0</v>
      </c>
      <c r="AJ622" s="6">
        <v>10809350.828944501</v>
      </c>
      <c r="AK622" s="6">
        <v>12487.7889656032</v>
      </c>
      <c r="AL622" s="6">
        <v>330.98244656580999</v>
      </c>
      <c r="AM622" s="6">
        <v>93035.839999999997</v>
      </c>
      <c r="AN622" s="6">
        <v>5890.5581620111097</v>
      </c>
      <c r="AO622" s="6">
        <v>15992.4703047238</v>
      </c>
      <c r="AP622" s="6">
        <v>3753.1860850462999</v>
      </c>
      <c r="AQ622" s="6">
        <v>20687.885194392002</v>
      </c>
      <c r="AR622" s="6">
        <v>12001.0847736368</v>
      </c>
      <c r="AS622" s="6">
        <v>12487.7889656032</v>
      </c>
      <c r="AT622" s="6">
        <v>0</v>
      </c>
      <c r="AU622" t="s">
        <v>2973</v>
      </c>
      <c r="AV622" t="s">
        <v>2973</v>
      </c>
    </row>
    <row r="623" spans="1:48" x14ac:dyDescent="0.45">
      <c r="A623" s="5" t="s">
        <v>1274</v>
      </c>
      <c r="B623">
        <v>1923</v>
      </c>
      <c r="C623" t="s">
        <v>1266</v>
      </c>
      <c r="D623">
        <v>1923</v>
      </c>
      <c r="E623" t="s">
        <v>1266</v>
      </c>
      <c r="F623" t="s">
        <v>1</v>
      </c>
      <c r="G623" t="s">
        <v>1</v>
      </c>
      <c r="H623" t="s">
        <v>2743</v>
      </c>
      <c r="I623" t="s">
        <v>2742</v>
      </c>
      <c r="J623">
        <v>45.334616983250697</v>
      </c>
      <c r="K623">
        <v>1</v>
      </c>
      <c r="L623">
        <v>4</v>
      </c>
      <c r="M623">
        <v>1</v>
      </c>
      <c r="N623" s="6">
        <v>74729.779435812001</v>
      </c>
      <c r="O623" s="6">
        <v>41934.431435002603</v>
      </c>
      <c r="P623" s="6">
        <v>72603.155257301303</v>
      </c>
      <c r="Q623" s="6">
        <v>22607.9883650435</v>
      </c>
      <c r="R623" s="6">
        <v>41397.413581460998</v>
      </c>
      <c r="S623" s="6">
        <v>13773.4300177146</v>
      </c>
      <c r="T623" s="6">
        <v>0</v>
      </c>
      <c r="U623" s="6">
        <v>253272.76807462101</v>
      </c>
      <c r="V623" s="6">
        <v>217759.53687291799</v>
      </c>
      <c r="W623" s="6">
        <v>35513.2312017027</v>
      </c>
      <c r="X623" s="6">
        <v>0</v>
      </c>
      <c r="Y623" s="6">
        <v>0</v>
      </c>
      <c r="Z623" s="6">
        <v>0</v>
      </c>
      <c r="AA623" s="6">
        <v>0</v>
      </c>
      <c r="AB623" s="6">
        <v>0</v>
      </c>
      <c r="AC623" s="6">
        <v>13604.877110440701</v>
      </c>
      <c r="AD623" s="6">
        <v>168.55290727391801</v>
      </c>
      <c r="AE623" s="6">
        <v>0</v>
      </c>
      <c r="AF623" s="6">
        <v>0</v>
      </c>
      <c r="AG623" s="6">
        <v>0</v>
      </c>
      <c r="AH623" s="6">
        <v>0</v>
      </c>
      <c r="AI623" s="6">
        <v>0</v>
      </c>
      <c r="AJ623" s="6">
        <v>267046.19809233502</v>
      </c>
      <c r="AK623" s="6">
        <v>5890.5581620111097</v>
      </c>
      <c r="AL623" s="6">
        <v>330.98244656580999</v>
      </c>
      <c r="AM623" s="6">
        <v>93035.839999999997</v>
      </c>
      <c r="AN623" s="6">
        <v>5890.5581620111097</v>
      </c>
      <c r="AO623" s="6">
        <v>15992.4703047238</v>
      </c>
      <c r="AP623" s="6">
        <v>634.54287297753501</v>
      </c>
      <c r="AQ623" s="6">
        <v>40331.279999999999</v>
      </c>
      <c r="AR623" s="6">
        <v>5890.5581620111097</v>
      </c>
      <c r="AS623" s="6">
        <v>5890.5581620111097</v>
      </c>
      <c r="AT623" s="6">
        <v>0</v>
      </c>
      <c r="AU623" t="s">
        <v>2973</v>
      </c>
      <c r="AV623" t="s">
        <v>2977</v>
      </c>
    </row>
    <row r="624" spans="1:48" x14ac:dyDescent="0.45">
      <c r="A624" s="5" t="s">
        <v>1275</v>
      </c>
      <c r="B624">
        <v>1923</v>
      </c>
      <c r="C624" t="s">
        <v>1266</v>
      </c>
      <c r="D624">
        <v>61</v>
      </c>
      <c r="E624" t="s">
        <v>1276</v>
      </c>
      <c r="F624" t="s">
        <v>2739</v>
      </c>
      <c r="G624" t="s">
        <v>2744</v>
      </c>
      <c r="H624" t="s">
        <v>2741</v>
      </c>
      <c r="I624" t="s">
        <v>2742</v>
      </c>
      <c r="J624">
        <v>1268.98494155361</v>
      </c>
      <c r="K624">
        <v>1</v>
      </c>
      <c r="L624">
        <v>1</v>
      </c>
      <c r="M624">
        <v>1</v>
      </c>
      <c r="N624" s="6">
        <v>8617442.8264059592</v>
      </c>
      <c r="O624" s="6">
        <v>4914397.9920078097</v>
      </c>
      <c r="P624" s="6">
        <v>3457580.8283220599</v>
      </c>
      <c r="Q624" s="6">
        <v>632832.01013166097</v>
      </c>
      <c r="R624" s="6">
        <v>2286411.0647931402</v>
      </c>
      <c r="S624" s="6">
        <v>385539.27327719401</v>
      </c>
      <c r="T624" s="6">
        <v>12819174.390000001</v>
      </c>
      <c r="U624" s="6">
        <v>7089490.3316606404</v>
      </c>
      <c r="V624" s="6">
        <v>17050205.919077601</v>
      </c>
      <c r="W624" s="6">
        <v>2858458.8025830798</v>
      </c>
      <c r="X624" s="6">
        <v>0</v>
      </c>
      <c r="Y624" s="6">
        <v>0</v>
      </c>
      <c r="Z624" s="6">
        <v>0</v>
      </c>
      <c r="AA624" s="6">
        <v>0</v>
      </c>
      <c r="AB624" s="6">
        <v>0</v>
      </c>
      <c r="AC624" s="6">
        <v>380821.22081709001</v>
      </c>
      <c r="AD624" s="6">
        <v>4718.0524601036996</v>
      </c>
      <c r="AE624" s="6">
        <v>0</v>
      </c>
      <c r="AF624" s="6">
        <v>0</v>
      </c>
      <c r="AG624" s="6">
        <v>0</v>
      </c>
      <c r="AH624" s="6">
        <v>0</v>
      </c>
      <c r="AI624" s="6">
        <v>0</v>
      </c>
      <c r="AJ624" s="6">
        <v>20294203.9949378</v>
      </c>
      <c r="AK624" s="6">
        <v>15992.4703047238</v>
      </c>
      <c r="AL624" s="6">
        <v>330.98244656580999</v>
      </c>
      <c r="AM624" s="6">
        <v>93035.839999999997</v>
      </c>
      <c r="AN624" s="6">
        <v>5890.5581620111097</v>
      </c>
      <c r="AO624" s="6">
        <v>15992.4703047238</v>
      </c>
      <c r="AP624" s="6">
        <v>330.98244656580999</v>
      </c>
      <c r="AQ624" s="6">
        <v>40734.411818744898</v>
      </c>
      <c r="AR624" s="6">
        <v>15604.6767003556</v>
      </c>
      <c r="AS624" s="6">
        <v>15992.4703047238</v>
      </c>
      <c r="AT624" s="6">
        <v>0</v>
      </c>
      <c r="AU624" t="s">
        <v>2973</v>
      </c>
      <c r="AV624" t="s">
        <v>2973</v>
      </c>
    </row>
    <row r="625" spans="1:48" x14ac:dyDescent="0.45">
      <c r="A625" s="5" t="s">
        <v>1277</v>
      </c>
      <c r="B625">
        <v>1923</v>
      </c>
      <c r="C625" t="s">
        <v>1266</v>
      </c>
      <c r="D625">
        <v>62</v>
      </c>
      <c r="E625" t="s">
        <v>1278</v>
      </c>
      <c r="F625" t="s">
        <v>2739</v>
      </c>
      <c r="G625" t="s">
        <v>2744</v>
      </c>
      <c r="H625" t="s">
        <v>2741</v>
      </c>
      <c r="I625" t="s">
        <v>2742</v>
      </c>
      <c r="J625">
        <v>1148.8223554148501</v>
      </c>
      <c r="K625">
        <v>1</v>
      </c>
      <c r="L625">
        <v>1</v>
      </c>
      <c r="M625">
        <v>1</v>
      </c>
      <c r="N625" s="6">
        <v>7926832.8577809604</v>
      </c>
      <c r="O625" s="6">
        <v>4721781.7164578</v>
      </c>
      <c r="P625" s="6">
        <v>2871329.35643382</v>
      </c>
      <c r="Q625" s="6">
        <v>572907.94922380499</v>
      </c>
      <c r="R625" s="6">
        <v>1485117.7327783999</v>
      </c>
      <c r="S625" s="6">
        <v>349031.82971499697</v>
      </c>
      <c r="T625" s="6">
        <v>11159796.539999999</v>
      </c>
      <c r="U625" s="6">
        <v>6418173.0726747904</v>
      </c>
      <c r="V625" s="6">
        <v>14635712.0634661</v>
      </c>
      <c r="W625" s="6">
        <v>2942257.54920871</v>
      </c>
      <c r="X625" s="6">
        <v>0</v>
      </c>
      <c r="Y625" s="6">
        <v>0</v>
      </c>
      <c r="Z625" s="6">
        <v>0</v>
      </c>
      <c r="AA625" s="6">
        <v>0</v>
      </c>
      <c r="AB625" s="6">
        <v>0</v>
      </c>
      <c r="AC625" s="6">
        <v>344760.53857299802</v>
      </c>
      <c r="AD625" s="6">
        <v>4271.2911419982902</v>
      </c>
      <c r="AE625" s="6">
        <v>0</v>
      </c>
      <c r="AF625" s="6">
        <v>0</v>
      </c>
      <c r="AG625" s="6">
        <v>0</v>
      </c>
      <c r="AH625" s="6">
        <v>0</v>
      </c>
      <c r="AI625" s="6">
        <v>0</v>
      </c>
      <c r="AJ625" s="6">
        <v>17927001.442389801</v>
      </c>
      <c r="AK625" s="6">
        <v>15604.6767003556</v>
      </c>
      <c r="AL625" s="6">
        <v>330.98244656580999</v>
      </c>
      <c r="AM625" s="6">
        <v>93035.839999999997</v>
      </c>
      <c r="AN625" s="6">
        <v>5890.5581620111097</v>
      </c>
      <c r="AO625" s="6">
        <v>15992.4703047238</v>
      </c>
      <c r="AP625" s="6">
        <v>330.98244656580999</v>
      </c>
      <c r="AQ625" s="6">
        <v>40734.411818744898</v>
      </c>
      <c r="AR625" s="6">
        <v>15604.6767003556</v>
      </c>
      <c r="AS625" s="6">
        <v>15992.4703047238</v>
      </c>
      <c r="AT625" s="6">
        <v>0</v>
      </c>
      <c r="AU625" t="s">
        <v>2973</v>
      </c>
      <c r="AV625" t="s">
        <v>2973</v>
      </c>
    </row>
    <row r="626" spans="1:48" x14ac:dyDescent="0.45">
      <c r="A626" s="5" t="s">
        <v>1279</v>
      </c>
      <c r="B626">
        <v>1923</v>
      </c>
      <c r="C626" t="s">
        <v>1266</v>
      </c>
      <c r="D626">
        <v>60</v>
      </c>
      <c r="E626" t="s">
        <v>1280</v>
      </c>
      <c r="F626" t="s">
        <v>2739</v>
      </c>
      <c r="G626" t="s">
        <v>2747</v>
      </c>
      <c r="H626" t="s">
        <v>2741</v>
      </c>
      <c r="I626" t="s">
        <v>2742</v>
      </c>
      <c r="J626">
        <v>841.10528873592898</v>
      </c>
      <c r="K626">
        <v>1</v>
      </c>
      <c r="L626">
        <v>1</v>
      </c>
      <c r="M626">
        <v>1</v>
      </c>
      <c r="N626" s="6">
        <v>4882592.0192469396</v>
      </c>
      <c r="O626" s="6">
        <v>1941307.7257469499</v>
      </c>
      <c r="P626" s="6">
        <v>1827224.6313889499</v>
      </c>
      <c r="Q626" s="6">
        <v>419452.06217456202</v>
      </c>
      <c r="R626" s="6">
        <v>768057.29970587103</v>
      </c>
      <c r="S626" s="6">
        <v>255542.13541087499</v>
      </c>
      <c r="T626" s="6">
        <v>5139596.25</v>
      </c>
      <c r="U626" s="6">
        <v>4699037.4882632596</v>
      </c>
      <c r="V626" s="6">
        <v>8657958.4999338295</v>
      </c>
      <c r="W626" s="6">
        <v>1180675.2383294301</v>
      </c>
      <c r="X626" s="6">
        <v>0</v>
      </c>
      <c r="Y626" s="6">
        <v>0</v>
      </c>
      <c r="Z626" s="6">
        <v>0</v>
      </c>
      <c r="AA626" s="6">
        <v>0</v>
      </c>
      <c r="AB626" s="6">
        <v>0</v>
      </c>
      <c r="AC626" s="6">
        <v>252414.92818659599</v>
      </c>
      <c r="AD626" s="6">
        <v>3127.2072242782601</v>
      </c>
      <c r="AE626" s="6">
        <v>0</v>
      </c>
      <c r="AF626" s="6">
        <v>0</v>
      </c>
      <c r="AG626" s="6">
        <v>0</v>
      </c>
      <c r="AH626" s="6">
        <v>0</v>
      </c>
      <c r="AI626" s="6">
        <v>0</v>
      </c>
      <c r="AJ626" s="6">
        <v>10094175.8736741</v>
      </c>
      <c r="AK626" s="6">
        <v>12001.0847736368</v>
      </c>
      <c r="AL626" s="6">
        <v>330.98244656580999</v>
      </c>
      <c r="AM626" s="6">
        <v>93035.839999999997</v>
      </c>
      <c r="AN626" s="6">
        <v>5890.5581620111097</v>
      </c>
      <c r="AO626" s="6">
        <v>15992.4703047238</v>
      </c>
      <c r="AP626" s="6">
        <v>3753.1860850462999</v>
      </c>
      <c r="AQ626" s="6">
        <v>20687.885194392002</v>
      </c>
      <c r="AR626" s="6">
        <v>12001.0847736368</v>
      </c>
      <c r="AS626" s="6">
        <v>12487.7889656032</v>
      </c>
      <c r="AT626" s="6">
        <v>0</v>
      </c>
      <c r="AU626" t="s">
        <v>2973</v>
      </c>
      <c r="AV626" t="s">
        <v>2973</v>
      </c>
    </row>
    <row r="627" spans="1:48" x14ac:dyDescent="0.45">
      <c r="A627" s="5" t="s">
        <v>1281</v>
      </c>
      <c r="B627">
        <v>1923</v>
      </c>
      <c r="C627" t="s">
        <v>1266</v>
      </c>
      <c r="D627">
        <v>1288</v>
      </c>
      <c r="E627" t="s">
        <v>1282</v>
      </c>
      <c r="F627" t="s">
        <v>2739</v>
      </c>
      <c r="G627" t="s">
        <v>2740</v>
      </c>
      <c r="H627" t="s">
        <v>2741</v>
      </c>
      <c r="I627" t="s">
        <v>2742</v>
      </c>
      <c r="J627">
        <v>580.88541740044195</v>
      </c>
      <c r="K627">
        <v>1</v>
      </c>
      <c r="L627">
        <v>1</v>
      </c>
      <c r="M627">
        <v>1</v>
      </c>
      <c r="N627" s="6">
        <v>4112486.7137055499</v>
      </c>
      <c r="O627" s="6">
        <v>968395.01719564502</v>
      </c>
      <c r="P627" s="6">
        <v>1199211.10969037</v>
      </c>
      <c r="Q627" s="6">
        <v>289682.622947153</v>
      </c>
      <c r="R627" s="6">
        <v>530436.90380025003</v>
      </c>
      <c r="S627" s="6">
        <v>176482.89932242999</v>
      </c>
      <c r="T627" s="6">
        <v>3854955.93</v>
      </c>
      <c r="U627" s="6">
        <v>3245256.4373389799</v>
      </c>
      <c r="V627" s="6">
        <v>6143182.9058040204</v>
      </c>
      <c r="W627" s="6">
        <v>957029.46153496206</v>
      </c>
      <c r="X627" s="6">
        <v>0</v>
      </c>
      <c r="Y627" s="6">
        <v>0</v>
      </c>
      <c r="Z627" s="6">
        <v>0</v>
      </c>
      <c r="AA627" s="6">
        <v>0</v>
      </c>
      <c r="AB627" s="6">
        <v>0</v>
      </c>
      <c r="AC627" s="6">
        <v>174323.18269943399</v>
      </c>
      <c r="AD627" s="6">
        <v>2159.7166229956601</v>
      </c>
      <c r="AE627" s="6">
        <v>0</v>
      </c>
      <c r="AF627" s="6">
        <v>0</v>
      </c>
      <c r="AG627" s="6">
        <v>0</v>
      </c>
      <c r="AH627" s="6">
        <v>0</v>
      </c>
      <c r="AI627" s="6">
        <v>0</v>
      </c>
      <c r="AJ627" s="6">
        <v>7276695.2666614102</v>
      </c>
      <c r="AK627" s="6">
        <v>12526.9029806701</v>
      </c>
      <c r="AL627" s="6">
        <v>330.98244656580999</v>
      </c>
      <c r="AM627" s="6">
        <v>93035.839999999997</v>
      </c>
      <c r="AN627" s="6">
        <v>5890.5581620111097</v>
      </c>
      <c r="AO627" s="6">
        <v>15992.4703047238</v>
      </c>
      <c r="AP627" s="6">
        <v>330.98244656580999</v>
      </c>
      <c r="AQ627" s="6">
        <v>93035.839999999997</v>
      </c>
      <c r="AR627" s="6">
        <v>12424.3700629738</v>
      </c>
      <c r="AS627" s="6">
        <v>13578.6628398435</v>
      </c>
      <c r="AT627" s="6">
        <v>0</v>
      </c>
      <c r="AU627" t="s">
        <v>2973</v>
      </c>
      <c r="AV627" t="s">
        <v>2973</v>
      </c>
    </row>
    <row r="628" spans="1:48" x14ac:dyDescent="0.45">
      <c r="A628" s="5" t="s">
        <v>1283</v>
      </c>
      <c r="B628">
        <v>1923</v>
      </c>
      <c r="C628" t="s">
        <v>1266</v>
      </c>
      <c r="D628">
        <v>56</v>
      </c>
      <c r="E628" t="s">
        <v>1284</v>
      </c>
      <c r="F628" t="s">
        <v>2739</v>
      </c>
      <c r="G628" t="s">
        <v>2740</v>
      </c>
      <c r="H628" t="s">
        <v>2741</v>
      </c>
      <c r="I628" t="s">
        <v>2742</v>
      </c>
      <c r="J628">
        <v>554.533814723467</v>
      </c>
      <c r="K628">
        <v>1</v>
      </c>
      <c r="L628">
        <v>1</v>
      </c>
      <c r="M628">
        <v>1</v>
      </c>
      <c r="N628" s="6">
        <v>4126897.11745875</v>
      </c>
      <c r="O628" s="6">
        <v>890573.476611936</v>
      </c>
      <c r="P628" s="6">
        <v>1346000.3939279099</v>
      </c>
      <c r="Q628" s="6">
        <v>276541.30255303998</v>
      </c>
      <c r="R628" s="6">
        <v>506373.874990365</v>
      </c>
      <c r="S628" s="6">
        <v>168476.83288847201</v>
      </c>
      <c r="T628" s="6">
        <v>4048349.31</v>
      </c>
      <c r="U628" s="6">
        <v>3098036.8555420102</v>
      </c>
      <c r="V628" s="6">
        <v>6227390.0906325299</v>
      </c>
      <c r="W628" s="6">
        <v>918996.074909469</v>
      </c>
      <c r="X628" s="6">
        <v>0</v>
      </c>
      <c r="Y628" s="6">
        <v>0</v>
      </c>
      <c r="Z628" s="6">
        <v>0</v>
      </c>
      <c r="AA628" s="6">
        <v>0</v>
      </c>
      <c r="AB628" s="6">
        <v>0</v>
      </c>
      <c r="AC628" s="6">
        <v>166415.09082747999</v>
      </c>
      <c r="AD628" s="6">
        <v>2061.7420609921401</v>
      </c>
      <c r="AE628" s="6">
        <v>0</v>
      </c>
      <c r="AF628" s="6">
        <v>0</v>
      </c>
      <c r="AG628" s="6">
        <v>0</v>
      </c>
      <c r="AH628" s="6">
        <v>0</v>
      </c>
      <c r="AI628" s="6">
        <v>0</v>
      </c>
      <c r="AJ628" s="6">
        <v>7314862.9984304802</v>
      </c>
      <c r="AK628" s="6">
        <v>13191.013431846801</v>
      </c>
      <c r="AL628" s="6">
        <v>330.98244656580999</v>
      </c>
      <c r="AM628" s="6">
        <v>93035.839999999997</v>
      </c>
      <c r="AN628" s="6">
        <v>5890.5581620111097</v>
      </c>
      <c r="AO628" s="6">
        <v>15992.4703047238</v>
      </c>
      <c r="AP628" s="6">
        <v>330.98244656580999</v>
      </c>
      <c r="AQ628" s="6">
        <v>93035.839999999997</v>
      </c>
      <c r="AR628" s="6">
        <v>12424.3700629738</v>
      </c>
      <c r="AS628" s="6">
        <v>13578.6628398435</v>
      </c>
      <c r="AT628" s="6">
        <v>0</v>
      </c>
      <c r="AU628" t="s">
        <v>2973</v>
      </c>
      <c r="AV628" t="s">
        <v>2973</v>
      </c>
    </row>
    <row r="629" spans="1:48" x14ac:dyDescent="0.45">
      <c r="A629" s="5" t="s">
        <v>1285</v>
      </c>
      <c r="B629">
        <v>1923</v>
      </c>
      <c r="C629" t="s">
        <v>1266</v>
      </c>
      <c r="D629">
        <v>58</v>
      </c>
      <c r="E629" t="s">
        <v>1286</v>
      </c>
      <c r="F629" t="s">
        <v>2739</v>
      </c>
      <c r="G629" t="s">
        <v>2740</v>
      </c>
      <c r="H629" t="s">
        <v>2741</v>
      </c>
      <c r="I629" t="s">
        <v>2742</v>
      </c>
      <c r="J629">
        <v>455.12972902722203</v>
      </c>
      <c r="K629">
        <v>1</v>
      </c>
      <c r="L629">
        <v>1</v>
      </c>
      <c r="M629">
        <v>1</v>
      </c>
      <c r="N629" s="6">
        <v>3116004.5610772399</v>
      </c>
      <c r="O629" s="6">
        <v>815403.89309289202</v>
      </c>
      <c r="P629" s="6">
        <v>942443.42342353903</v>
      </c>
      <c r="Q629" s="6">
        <v>226969.32946923201</v>
      </c>
      <c r="R629" s="6">
        <v>415602.79714548599</v>
      </c>
      <c r="S629" s="6">
        <v>138276.17588682601</v>
      </c>
      <c r="T629" s="6">
        <v>2973732.04</v>
      </c>
      <c r="U629" s="6">
        <v>2542691.9642083901</v>
      </c>
      <c r="V629" s="6">
        <v>4970411.5069728401</v>
      </c>
      <c r="W629" s="6">
        <v>546012.497235546</v>
      </c>
      <c r="X629" s="6">
        <v>0</v>
      </c>
      <c r="Y629" s="6">
        <v>0</v>
      </c>
      <c r="Z629" s="6">
        <v>0</v>
      </c>
      <c r="AA629" s="6">
        <v>0</v>
      </c>
      <c r="AB629" s="6">
        <v>0</v>
      </c>
      <c r="AC629" s="6">
        <v>136584.015588159</v>
      </c>
      <c r="AD629" s="6">
        <v>1692.16029866694</v>
      </c>
      <c r="AE629" s="6">
        <v>0</v>
      </c>
      <c r="AF629" s="6">
        <v>0</v>
      </c>
      <c r="AG629" s="6">
        <v>0</v>
      </c>
      <c r="AH629" s="6">
        <v>0</v>
      </c>
      <c r="AI629" s="6">
        <v>0</v>
      </c>
      <c r="AJ629" s="6">
        <v>5654700.18009522</v>
      </c>
      <c r="AK629" s="6">
        <v>12424.3700629738</v>
      </c>
      <c r="AL629" s="6">
        <v>330.98244656580999</v>
      </c>
      <c r="AM629" s="6">
        <v>93035.839999999997</v>
      </c>
      <c r="AN629" s="6">
        <v>5890.5581620111097</v>
      </c>
      <c r="AO629" s="6">
        <v>15992.4703047238</v>
      </c>
      <c r="AP629" s="6">
        <v>330.98244656580999</v>
      </c>
      <c r="AQ629" s="6">
        <v>93035.839999999997</v>
      </c>
      <c r="AR629" s="6">
        <v>12424.3700629738</v>
      </c>
      <c r="AS629" s="6">
        <v>13578.6628398435</v>
      </c>
      <c r="AT629" s="6">
        <v>0</v>
      </c>
      <c r="AU629" t="s">
        <v>2973</v>
      </c>
      <c r="AV629" t="s">
        <v>2973</v>
      </c>
    </row>
    <row r="630" spans="1:48" x14ac:dyDescent="0.45">
      <c r="A630" s="5" t="s">
        <v>1289</v>
      </c>
      <c r="B630">
        <v>2101</v>
      </c>
      <c r="C630" t="s">
        <v>1290</v>
      </c>
      <c r="D630">
        <v>652</v>
      </c>
      <c r="E630" t="s">
        <v>1291</v>
      </c>
      <c r="F630" t="s">
        <v>2739</v>
      </c>
      <c r="G630" t="s">
        <v>2740</v>
      </c>
      <c r="H630" t="s">
        <v>2741</v>
      </c>
      <c r="I630" t="s">
        <v>2742</v>
      </c>
      <c r="J630">
        <v>319.38899318623902</v>
      </c>
      <c r="K630">
        <v>1</v>
      </c>
      <c r="L630">
        <v>2</v>
      </c>
      <c r="M630">
        <v>2</v>
      </c>
      <c r="N630" s="6">
        <v>2553464.1381003601</v>
      </c>
      <c r="O630" s="6">
        <v>695711.82933737105</v>
      </c>
      <c r="P630" s="6">
        <v>742110.70920359902</v>
      </c>
      <c r="Q630" s="6">
        <v>132894.388026592</v>
      </c>
      <c r="R630" s="6">
        <v>233708.27117176901</v>
      </c>
      <c r="S630" s="6">
        <v>136232.79330021999</v>
      </c>
      <c r="T630" s="6">
        <v>3392268.48</v>
      </c>
      <c r="U630" s="6">
        <v>965620.85583968903</v>
      </c>
      <c r="V630" s="6">
        <v>3767916.9141276102</v>
      </c>
      <c r="W630" s="6">
        <v>585715.53092090006</v>
      </c>
      <c r="X630" s="6">
        <v>0</v>
      </c>
      <c r="Y630" s="6">
        <v>0</v>
      </c>
      <c r="Z630" s="6">
        <v>0</v>
      </c>
      <c r="AA630" s="6">
        <v>4237.5667263877403</v>
      </c>
      <c r="AB630" s="6">
        <v>19.324064791393202</v>
      </c>
      <c r="AC630" s="6">
        <v>135754.52879640099</v>
      </c>
      <c r="AD630" s="6">
        <v>478.26450381905499</v>
      </c>
      <c r="AE630" s="6">
        <v>0</v>
      </c>
      <c r="AF630" s="6">
        <v>0</v>
      </c>
      <c r="AG630" s="6">
        <v>0</v>
      </c>
      <c r="AH630" s="6">
        <v>0</v>
      </c>
      <c r="AI630" s="6">
        <v>0</v>
      </c>
      <c r="AJ630" s="6">
        <v>4494122.1291399105</v>
      </c>
      <c r="AK630" s="6">
        <v>14070.9987664457</v>
      </c>
      <c r="AL630" s="6">
        <v>330.98244656580999</v>
      </c>
      <c r="AM630" s="6">
        <v>93035.839999999997</v>
      </c>
      <c r="AN630" s="6">
        <v>3449.8798413425902</v>
      </c>
      <c r="AO630" s="6">
        <v>14852.938640336401</v>
      </c>
      <c r="AP630" s="6">
        <v>330.98244656580999</v>
      </c>
      <c r="AQ630" s="6">
        <v>93035.839999999997</v>
      </c>
      <c r="AR630" s="6">
        <v>3957.63905924447</v>
      </c>
      <c r="AS630" s="6">
        <v>14852.938640336401</v>
      </c>
      <c r="AT630" s="6">
        <v>0</v>
      </c>
      <c r="AU630" t="s">
        <v>2973</v>
      </c>
      <c r="AV630" t="s">
        <v>2973</v>
      </c>
    </row>
    <row r="631" spans="1:48" x14ac:dyDescent="0.45">
      <c r="A631" s="5" t="s">
        <v>1292</v>
      </c>
      <c r="B631">
        <v>2101</v>
      </c>
      <c r="C631" t="s">
        <v>1290</v>
      </c>
      <c r="D631">
        <v>653</v>
      </c>
      <c r="E631" t="s">
        <v>1293</v>
      </c>
      <c r="F631" t="s">
        <v>2739</v>
      </c>
      <c r="G631" t="s">
        <v>2740</v>
      </c>
      <c r="H631" t="s">
        <v>2741</v>
      </c>
      <c r="I631" t="s">
        <v>2742</v>
      </c>
      <c r="J631">
        <v>325.55443722938202</v>
      </c>
      <c r="K631">
        <v>2</v>
      </c>
      <c r="L631">
        <v>1</v>
      </c>
      <c r="M631">
        <v>2</v>
      </c>
      <c r="N631" s="6">
        <v>2654843.0975437602</v>
      </c>
      <c r="O631" s="6">
        <v>850215.82505815104</v>
      </c>
      <c r="P631" s="6">
        <v>759720.42425883003</v>
      </c>
      <c r="Q631" s="6">
        <v>135459.764199553</v>
      </c>
      <c r="R631" s="6">
        <v>296338.35557780502</v>
      </c>
      <c r="S631" s="6">
        <v>138862.61361918101</v>
      </c>
      <c r="T631" s="6">
        <v>3712316.39</v>
      </c>
      <c r="U631" s="6">
        <v>984261.07663809403</v>
      </c>
      <c r="V631" s="6">
        <v>3951872.7844439899</v>
      </c>
      <c r="W631" s="6">
        <v>740365.61693063495</v>
      </c>
      <c r="X631" s="6">
        <v>0</v>
      </c>
      <c r="Y631" s="6">
        <v>0</v>
      </c>
      <c r="Z631" s="6">
        <v>0</v>
      </c>
      <c r="AA631" s="6">
        <v>4319.3681694180405</v>
      </c>
      <c r="AB631" s="6">
        <v>19.6970940525736</v>
      </c>
      <c r="AC631" s="6">
        <v>138375.116758897</v>
      </c>
      <c r="AD631" s="6">
        <v>487.49686028413402</v>
      </c>
      <c r="AE631" s="6">
        <v>0</v>
      </c>
      <c r="AF631" s="6">
        <v>0</v>
      </c>
      <c r="AG631" s="6">
        <v>0</v>
      </c>
      <c r="AH631" s="6">
        <v>0</v>
      </c>
      <c r="AI631" s="6">
        <v>0</v>
      </c>
      <c r="AJ631" s="6">
        <v>4835440.0802572696</v>
      </c>
      <c r="AK631" s="6">
        <v>14852.938640336401</v>
      </c>
      <c r="AL631" s="6">
        <v>330.98244656580999</v>
      </c>
      <c r="AM631" s="6">
        <v>93035.839999999997</v>
      </c>
      <c r="AN631" s="6">
        <v>3449.8798413425902</v>
      </c>
      <c r="AO631" s="6">
        <v>14852.938640336401</v>
      </c>
      <c r="AP631" s="6">
        <v>330.98244656580999</v>
      </c>
      <c r="AQ631" s="6">
        <v>93035.839999999997</v>
      </c>
      <c r="AR631" s="6">
        <v>3957.63905924447</v>
      </c>
      <c r="AS631" s="6">
        <v>14852.938640336401</v>
      </c>
      <c r="AT631" s="6">
        <v>0</v>
      </c>
      <c r="AU631" t="s">
        <v>2973</v>
      </c>
      <c r="AV631" t="s">
        <v>2973</v>
      </c>
    </row>
    <row r="632" spans="1:48" x14ac:dyDescent="0.45">
      <c r="A632" s="5" t="s">
        <v>1294</v>
      </c>
      <c r="B632">
        <v>2101</v>
      </c>
      <c r="C632" t="s">
        <v>1290</v>
      </c>
      <c r="D632">
        <v>658</v>
      </c>
      <c r="E632" t="s">
        <v>1295</v>
      </c>
      <c r="F632" t="s">
        <v>2739</v>
      </c>
      <c r="G632" t="s">
        <v>2740</v>
      </c>
      <c r="H632" t="s">
        <v>2741</v>
      </c>
      <c r="I632" t="s">
        <v>2742</v>
      </c>
      <c r="J632">
        <v>323.45121894775701</v>
      </c>
      <c r="K632">
        <v>1</v>
      </c>
      <c r="L632">
        <v>1</v>
      </c>
      <c r="M632">
        <v>2</v>
      </c>
      <c r="N632" s="6">
        <v>1950743.18433073</v>
      </c>
      <c r="O632" s="6">
        <v>709956.35000337497</v>
      </c>
      <c r="P632" s="6">
        <v>754768.79937752499</v>
      </c>
      <c r="Q632" s="6">
        <v>134584.637277881</v>
      </c>
      <c r="R632" s="6">
        <v>236680.74605377001</v>
      </c>
      <c r="S632" s="6">
        <v>137965.502862272</v>
      </c>
      <c r="T632" s="6">
        <v>2808831.38</v>
      </c>
      <c r="U632" s="6">
        <v>977902.33704328001</v>
      </c>
      <c r="V632" s="6">
        <v>3280051.15904237</v>
      </c>
      <c r="W632" s="6">
        <v>502371.52491991298</v>
      </c>
      <c r="X632" s="6">
        <v>0</v>
      </c>
      <c r="Y632" s="6">
        <v>0</v>
      </c>
      <c r="Z632" s="6">
        <v>0</v>
      </c>
      <c r="AA632" s="6">
        <v>4291.4632384445804</v>
      </c>
      <c r="AB632" s="6">
        <v>19.569842559217101</v>
      </c>
      <c r="AC632" s="6">
        <v>137481.15543628001</v>
      </c>
      <c r="AD632" s="6">
        <v>484.34742599133</v>
      </c>
      <c r="AE632" s="6">
        <v>0</v>
      </c>
      <c r="AF632" s="6">
        <v>0</v>
      </c>
      <c r="AG632" s="6">
        <v>0</v>
      </c>
      <c r="AH632" s="6">
        <v>0</v>
      </c>
      <c r="AI632" s="6">
        <v>0</v>
      </c>
      <c r="AJ632" s="6">
        <v>3924699.2199055599</v>
      </c>
      <c r="AK632" s="6">
        <v>12133.821083356201</v>
      </c>
      <c r="AL632" s="6">
        <v>330.98244656580999</v>
      </c>
      <c r="AM632" s="6">
        <v>93035.839999999997</v>
      </c>
      <c r="AN632" s="6">
        <v>3449.8798413425902</v>
      </c>
      <c r="AO632" s="6">
        <v>14852.938640336401</v>
      </c>
      <c r="AP632" s="6">
        <v>330.98244656580999</v>
      </c>
      <c r="AQ632" s="6">
        <v>93035.839999999997</v>
      </c>
      <c r="AR632" s="6">
        <v>3957.63905924447</v>
      </c>
      <c r="AS632" s="6">
        <v>14852.938640336401</v>
      </c>
      <c r="AT632" s="6">
        <v>0</v>
      </c>
      <c r="AU632" t="s">
        <v>2973</v>
      </c>
      <c r="AV632" t="s">
        <v>2973</v>
      </c>
    </row>
    <row r="633" spans="1:48" x14ac:dyDescent="0.45">
      <c r="A633" s="5" t="s">
        <v>1296</v>
      </c>
      <c r="B633">
        <v>2101</v>
      </c>
      <c r="C633" t="s">
        <v>1290</v>
      </c>
      <c r="D633">
        <v>671</v>
      </c>
      <c r="E633" t="s">
        <v>1297</v>
      </c>
      <c r="F633" t="s">
        <v>2739</v>
      </c>
      <c r="G633" t="s">
        <v>2740</v>
      </c>
      <c r="H633" t="s">
        <v>2741</v>
      </c>
      <c r="I633" t="s">
        <v>2742</v>
      </c>
      <c r="J633">
        <v>227.78932535122601</v>
      </c>
      <c r="K633">
        <v>1</v>
      </c>
      <c r="L633">
        <v>1</v>
      </c>
      <c r="M633">
        <v>2</v>
      </c>
      <c r="N633" s="6">
        <v>1615036.32052589</v>
      </c>
      <c r="O633" s="6">
        <v>622015.59199498303</v>
      </c>
      <c r="P633" s="6">
        <v>547971.27978087403</v>
      </c>
      <c r="Q633" s="6">
        <v>94780.733329434501</v>
      </c>
      <c r="R633" s="6">
        <v>166681.54055069701</v>
      </c>
      <c r="S633" s="6">
        <v>97161.695420339398</v>
      </c>
      <c r="T633" s="6">
        <v>2357801.36</v>
      </c>
      <c r="U633" s="6">
        <v>688684.10618188197</v>
      </c>
      <c r="V633" s="6">
        <v>2723420.0171126099</v>
      </c>
      <c r="W633" s="6">
        <v>320029.41995711299</v>
      </c>
      <c r="X633" s="6">
        <v>0</v>
      </c>
      <c r="Y633" s="6">
        <v>0</v>
      </c>
      <c r="Z633" s="6">
        <v>0</v>
      </c>
      <c r="AA633" s="6">
        <v>3022.24712287379</v>
      </c>
      <c r="AB633" s="6">
        <v>13.781989285110001</v>
      </c>
      <c r="AC633" s="6">
        <v>96820.595535908302</v>
      </c>
      <c r="AD633" s="6">
        <v>341.09988443106801</v>
      </c>
      <c r="AE633" s="6">
        <v>0</v>
      </c>
      <c r="AF633" s="6">
        <v>0</v>
      </c>
      <c r="AG633" s="6">
        <v>0</v>
      </c>
      <c r="AH633" s="6">
        <v>0</v>
      </c>
      <c r="AI633" s="6">
        <v>0</v>
      </c>
      <c r="AJ633" s="6">
        <v>3143647.16160222</v>
      </c>
      <c r="AK633" s="6">
        <v>13800.6781343027</v>
      </c>
      <c r="AL633" s="6">
        <v>330.98244656580999</v>
      </c>
      <c r="AM633" s="6">
        <v>93035.839999999997</v>
      </c>
      <c r="AN633" s="6">
        <v>3449.8798413425902</v>
      </c>
      <c r="AO633" s="6">
        <v>14852.938640336401</v>
      </c>
      <c r="AP633" s="6">
        <v>330.98244656580999</v>
      </c>
      <c r="AQ633" s="6">
        <v>93035.839999999997</v>
      </c>
      <c r="AR633" s="6">
        <v>3957.63905924447</v>
      </c>
      <c r="AS633" s="6">
        <v>14852.938640336401</v>
      </c>
      <c r="AT633" s="6">
        <v>0</v>
      </c>
      <c r="AU633" t="s">
        <v>2973</v>
      </c>
      <c r="AV633" t="s">
        <v>2973</v>
      </c>
    </row>
    <row r="634" spans="1:48" x14ac:dyDescent="0.45">
      <c r="A634" s="5" t="s">
        <v>1298</v>
      </c>
      <c r="B634">
        <v>2101</v>
      </c>
      <c r="C634" t="s">
        <v>1290</v>
      </c>
      <c r="D634">
        <v>2101</v>
      </c>
      <c r="E634" t="s">
        <v>1290</v>
      </c>
      <c r="F634" t="s">
        <v>1</v>
      </c>
      <c r="G634" t="s">
        <v>1</v>
      </c>
      <c r="H634" t="s">
        <v>2743</v>
      </c>
      <c r="I634" t="s">
        <v>2742</v>
      </c>
      <c r="J634">
        <v>107.82581482753901</v>
      </c>
      <c r="K634">
        <v>1</v>
      </c>
      <c r="L634">
        <v>1</v>
      </c>
      <c r="M634">
        <v>2</v>
      </c>
      <c r="N634" s="6">
        <v>9622.9916157536409</v>
      </c>
      <c r="O634" s="6">
        <v>59119.893073542204</v>
      </c>
      <c r="P634" s="6">
        <v>133485.82865810301</v>
      </c>
      <c r="Q634" s="6">
        <v>44865.183148684198</v>
      </c>
      <c r="R634" s="6">
        <v>78899.978736390505</v>
      </c>
      <c r="S634" s="6">
        <v>45992.229717391703</v>
      </c>
      <c r="T634" s="6">
        <v>0</v>
      </c>
      <c r="U634" s="6">
        <v>325993.87523247302</v>
      </c>
      <c r="V634" s="6">
        <v>268419.72814586601</v>
      </c>
      <c r="W634" s="6">
        <v>56137.019546262498</v>
      </c>
      <c r="X634" s="6">
        <v>0</v>
      </c>
      <c r="Y634" s="6">
        <v>0</v>
      </c>
      <c r="Z634" s="6">
        <v>0</v>
      </c>
      <c r="AA634" s="6">
        <v>1430.6037305812599</v>
      </c>
      <c r="AB634" s="6">
        <v>6.5238097629029497</v>
      </c>
      <c r="AC634" s="6">
        <v>45830.767485043303</v>
      </c>
      <c r="AD634" s="6">
        <v>161.462232348463</v>
      </c>
      <c r="AE634" s="6">
        <v>0</v>
      </c>
      <c r="AF634" s="6">
        <v>0</v>
      </c>
      <c r="AG634" s="6">
        <v>0</v>
      </c>
      <c r="AH634" s="6">
        <v>0</v>
      </c>
      <c r="AI634" s="6">
        <v>0</v>
      </c>
      <c r="AJ634" s="6">
        <v>371986.10494986502</v>
      </c>
      <c r="AK634" s="6">
        <v>3449.8798413425902</v>
      </c>
      <c r="AL634" s="6">
        <v>330.98244656580999</v>
      </c>
      <c r="AM634" s="6">
        <v>93035.839999999997</v>
      </c>
      <c r="AN634" s="6">
        <v>3449.8798413425902</v>
      </c>
      <c r="AO634" s="6">
        <v>14852.938640336401</v>
      </c>
      <c r="AP634" s="6">
        <v>634.54287297753501</v>
      </c>
      <c r="AQ634" s="6">
        <v>40331.279999999999</v>
      </c>
      <c r="AR634" s="6">
        <v>3449.8798413425902</v>
      </c>
      <c r="AS634" s="6">
        <v>3449.8798413425902</v>
      </c>
      <c r="AT634" s="6">
        <v>0</v>
      </c>
      <c r="AU634" t="s">
        <v>2973</v>
      </c>
      <c r="AV634" t="s">
        <v>2977</v>
      </c>
    </row>
    <row r="635" spans="1:48" x14ac:dyDescent="0.45">
      <c r="A635" s="5" t="s">
        <v>1299</v>
      </c>
      <c r="B635">
        <v>2101</v>
      </c>
      <c r="C635" t="s">
        <v>1290</v>
      </c>
      <c r="D635">
        <v>688</v>
      </c>
      <c r="E635" t="s">
        <v>1300</v>
      </c>
      <c r="F635" t="s">
        <v>2739</v>
      </c>
      <c r="G635" t="s">
        <v>2744</v>
      </c>
      <c r="H635" t="s">
        <v>2745</v>
      </c>
      <c r="I635" t="s">
        <v>2742</v>
      </c>
      <c r="J635">
        <v>1171.0613834278199</v>
      </c>
      <c r="K635">
        <v>1</v>
      </c>
      <c r="L635">
        <v>1</v>
      </c>
      <c r="M635">
        <v>2</v>
      </c>
      <c r="N635" s="6">
        <v>8070574.1569541804</v>
      </c>
      <c r="O635" s="6">
        <v>3985317.8828624501</v>
      </c>
      <c r="P635" s="6">
        <v>2739929.4741014</v>
      </c>
      <c r="Q635" s="6">
        <v>568595.17783778196</v>
      </c>
      <c r="R635" s="6">
        <v>1104426.3109424501</v>
      </c>
      <c r="S635" s="6">
        <v>499506.76696415001</v>
      </c>
      <c r="T635" s="6">
        <v>12928328.710000001</v>
      </c>
      <c r="U635" s="6">
        <v>3540514.2926982702</v>
      </c>
      <c r="V635" s="6">
        <v>13029292.3582447</v>
      </c>
      <c r="W635" s="6">
        <v>3316671.7759459601</v>
      </c>
      <c r="X635" s="6">
        <v>0</v>
      </c>
      <c r="Y635" s="6">
        <v>0</v>
      </c>
      <c r="Z635" s="6">
        <v>107270.69</v>
      </c>
      <c r="AA635" s="6">
        <v>15537.325514776599</v>
      </c>
      <c r="AB635" s="6">
        <v>70.852992842061596</v>
      </c>
      <c r="AC635" s="6">
        <v>497753.17775652098</v>
      </c>
      <c r="AD635" s="6">
        <v>1753.58920762864</v>
      </c>
      <c r="AE635" s="6">
        <v>0</v>
      </c>
      <c r="AF635" s="6">
        <v>0</v>
      </c>
      <c r="AG635" s="6">
        <v>0</v>
      </c>
      <c r="AH635" s="6">
        <v>0</v>
      </c>
      <c r="AI635" s="6">
        <v>0</v>
      </c>
      <c r="AJ635" s="6">
        <v>16968349.769662399</v>
      </c>
      <c r="AK635" s="6">
        <v>14489.7184808487</v>
      </c>
      <c r="AL635" s="6">
        <v>330.98244656580999</v>
      </c>
      <c r="AM635" s="6">
        <v>93035.839999999997</v>
      </c>
      <c r="AN635" s="6">
        <v>3449.8798413425902</v>
      </c>
      <c r="AO635" s="6">
        <v>14852.938640336401</v>
      </c>
      <c r="AP635" s="6">
        <v>330.98244656580999</v>
      </c>
      <c r="AQ635" s="6">
        <v>40734.411818744898</v>
      </c>
      <c r="AR635" s="6">
        <v>14489.7184808487</v>
      </c>
      <c r="AS635" s="6">
        <v>14489.7184808487</v>
      </c>
      <c r="AT635" s="6">
        <v>0</v>
      </c>
      <c r="AU635" t="s">
        <v>2973</v>
      </c>
      <c r="AV635" t="s">
        <v>2973</v>
      </c>
    </row>
    <row r="636" spans="1:48" x14ac:dyDescent="0.45">
      <c r="A636" s="5" t="s">
        <v>1301</v>
      </c>
      <c r="B636">
        <v>2101</v>
      </c>
      <c r="C636" t="s">
        <v>1290</v>
      </c>
      <c r="D636">
        <v>3504</v>
      </c>
      <c r="E636" t="s">
        <v>1302</v>
      </c>
      <c r="F636" t="s">
        <v>2739</v>
      </c>
      <c r="G636" t="s">
        <v>2740</v>
      </c>
      <c r="H636" t="s">
        <v>2741</v>
      </c>
      <c r="I636" t="s">
        <v>2742</v>
      </c>
      <c r="J636">
        <v>372.40334527615801</v>
      </c>
      <c r="K636">
        <v>1</v>
      </c>
      <c r="L636">
        <v>1</v>
      </c>
      <c r="M636">
        <v>2</v>
      </c>
      <c r="N636" s="6">
        <v>2121134.0116985901</v>
      </c>
      <c r="O636" s="6">
        <v>739472.326333442</v>
      </c>
      <c r="P636" s="6">
        <v>891111.443126039</v>
      </c>
      <c r="Q636" s="6">
        <v>154953.100217428</v>
      </c>
      <c r="R636" s="6">
        <v>272500.75569236698</v>
      </c>
      <c r="S636" s="6">
        <v>158845.636648894</v>
      </c>
      <c r="T636" s="6">
        <v>3053270.48</v>
      </c>
      <c r="U636" s="6">
        <v>1125901.15706787</v>
      </c>
      <c r="V636" s="6">
        <v>3588216.8100381801</v>
      </c>
      <c r="W636" s="6">
        <v>585991.348622691</v>
      </c>
      <c r="X636" s="6">
        <v>0</v>
      </c>
      <c r="Y636" s="6">
        <v>0</v>
      </c>
      <c r="Z636" s="6">
        <v>0</v>
      </c>
      <c r="AA636" s="6">
        <v>4940.9468028146403</v>
      </c>
      <c r="AB636" s="6">
        <v>22.531604176014302</v>
      </c>
      <c r="AC636" s="6">
        <v>158287.98655778699</v>
      </c>
      <c r="AD636" s="6">
        <v>557.65009110756</v>
      </c>
      <c r="AE636" s="6">
        <v>0</v>
      </c>
      <c r="AF636" s="6">
        <v>0</v>
      </c>
      <c r="AG636" s="6">
        <v>0</v>
      </c>
      <c r="AH636" s="6">
        <v>0</v>
      </c>
      <c r="AI636" s="6">
        <v>0</v>
      </c>
      <c r="AJ636" s="6">
        <v>4338017.2737167599</v>
      </c>
      <c r="AK636" s="6">
        <v>11648.706513363501</v>
      </c>
      <c r="AL636" s="6">
        <v>330.98244656580999</v>
      </c>
      <c r="AM636" s="6">
        <v>93035.839999999997</v>
      </c>
      <c r="AN636" s="6">
        <v>3449.8798413425902</v>
      </c>
      <c r="AO636" s="6">
        <v>14852.938640336401</v>
      </c>
      <c r="AP636" s="6">
        <v>330.98244656580999</v>
      </c>
      <c r="AQ636" s="6">
        <v>93035.839999999997</v>
      </c>
      <c r="AR636" s="6">
        <v>3957.63905924447</v>
      </c>
      <c r="AS636" s="6">
        <v>14852.938640336401</v>
      </c>
      <c r="AT636" s="6">
        <v>0</v>
      </c>
      <c r="AU636" t="s">
        <v>2973</v>
      </c>
      <c r="AV636" t="s">
        <v>2973</v>
      </c>
    </row>
    <row r="637" spans="1:48" x14ac:dyDescent="0.45">
      <c r="A637" s="5" t="s">
        <v>1303</v>
      </c>
      <c r="B637">
        <v>2101</v>
      </c>
      <c r="C637" t="s">
        <v>1290</v>
      </c>
      <c r="D637">
        <v>3503</v>
      </c>
      <c r="E637" t="s">
        <v>1304</v>
      </c>
      <c r="F637" t="s">
        <v>2739</v>
      </c>
      <c r="G637" t="s">
        <v>2740</v>
      </c>
      <c r="H637" t="s">
        <v>2741</v>
      </c>
      <c r="I637" t="s">
        <v>2742</v>
      </c>
      <c r="J637">
        <v>421.46147186142201</v>
      </c>
      <c r="K637">
        <v>1</v>
      </c>
      <c r="L637">
        <v>1</v>
      </c>
      <c r="M637">
        <v>2</v>
      </c>
      <c r="N637" s="6">
        <v>2613249.1991348499</v>
      </c>
      <c r="O637" s="6">
        <v>731140.68162010098</v>
      </c>
      <c r="P637" s="6">
        <v>883312.80270528502</v>
      </c>
      <c r="Q637" s="6">
        <v>175365.66874472899</v>
      </c>
      <c r="R637" s="6">
        <v>308398.32948409201</v>
      </c>
      <c r="S637" s="6">
        <v>179770.983988241</v>
      </c>
      <c r="T637" s="6">
        <v>3437246.23</v>
      </c>
      <c r="U637" s="6">
        <v>1274220.4516890501</v>
      </c>
      <c r="V637" s="6">
        <v>4035535.5462495699</v>
      </c>
      <c r="W637" s="6">
        <v>670313.79891043401</v>
      </c>
      <c r="X637" s="6">
        <v>0</v>
      </c>
      <c r="Y637" s="6">
        <v>0</v>
      </c>
      <c r="Z637" s="6">
        <v>0</v>
      </c>
      <c r="AA637" s="6">
        <v>5591.8367499062497</v>
      </c>
      <c r="AB637" s="6">
        <v>25.4997791504262</v>
      </c>
      <c r="AC637" s="6">
        <v>179139.872503441</v>
      </c>
      <c r="AD637" s="6">
        <v>631.11148480033603</v>
      </c>
      <c r="AE637" s="6">
        <v>0</v>
      </c>
      <c r="AF637" s="6">
        <v>0</v>
      </c>
      <c r="AG637" s="6">
        <v>0</v>
      </c>
      <c r="AH637" s="6">
        <v>0</v>
      </c>
      <c r="AI637" s="6">
        <v>0</v>
      </c>
      <c r="AJ637" s="6">
        <v>4891237.6656772904</v>
      </c>
      <c r="AK637" s="6">
        <v>11605.4206427807</v>
      </c>
      <c r="AL637" s="6">
        <v>330.98244656580999</v>
      </c>
      <c r="AM637" s="6">
        <v>93035.839999999997</v>
      </c>
      <c r="AN637" s="6">
        <v>3449.8798413425902</v>
      </c>
      <c r="AO637" s="6">
        <v>14852.938640336401</v>
      </c>
      <c r="AP637" s="6">
        <v>330.98244656580999</v>
      </c>
      <c r="AQ637" s="6">
        <v>93035.839999999997</v>
      </c>
      <c r="AR637" s="6">
        <v>3957.63905924447</v>
      </c>
      <c r="AS637" s="6">
        <v>14852.938640336401</v>
      </c>
      <c r="AT637" s="6">
        <v>0</v>
      </c>
      <c r="AU637" t="s">
        <v>2973</v>
      </c>
      <c r="AV637" t="s">
        <v>2973</v>
      </c>
    </row>
    <row r="638" spans="1:48" x14ac:dyDescent="0.45">
      <c r="A638" s="5" t="s">
        <v>1305</v>
      </c>
      <c r="B638">
        <v>2101</v>
      </c>
      <c r="C638" t="s">
        <v>1290</v>
      </c>
      <c r="D638">
        <v>3505</v>
      </c>
      <c r="E638" t="s">
        <v>1306</v>
      </c>
      <c r="F638" t="s">
        <v>3</v>
      </c>
      <c r="G638" t="s">
        <v>2740</v>
      </c>
      <c r="H638" t="s">
        <v>2741</v>
      </c>
      <c r="I638" t="s">
        <v>2742</v>
      </c>
      <c r="J638">
        <v>326.963399475063</v>
      </c>
      <c r="K638">
        <v>1</v>
      </c>
      <c r="L638">
        <v>1</v>
      </c>
      <c r="M638">
        <v>2</v>
      </c>
      <c r="N638" s="6">
        <v>182070.761382545</v>
      </c>
      <c r="O638" s="6">
        <v>192398.99597480299</v>
      </c>
      <c r="P638" s="6">
        <v>404773.016458133</v>
      </c>
      <c r="Q638" s="6">
        <v>136046.018514469</v>
      </c>
      <c r="R638" s="6">
        <v>239250.733300016</v>
      </c>
      <c r="S638" s="6">
        <v>139463.59507589601</v>
      </c>
      <c r="T638" s="6">
        <v>166018.68</v>
      </c>
      <c r="U638" s="6">
        <v>988520.84562996798</v>
      </c>
      <c r="V638" s="6">
        <v>938470.42081532802</v>
      </c>
      <c r="W638" s="6">
        <v>211711.26057463299</v>
      </c>
      <c r="X638" s="6">
        <v>0</v>
      </c>
      <c r="Y638" s="6">
        <v>0</v>
      </c>
      <c r="Z638" s="6">
        <v>0</v>
      </c>
      <c r="AA638" s="6">
        <v>4338.0618991908595</v>
      </c>
      <c r="AB638" s="6">
        <v>19.782340815314399</v>
      </c>
      <c r="AC638" s="6">
        <v>138973.98838514299</v>
      </c>
      <c r="AD638" s="6">
        <v>489.60669075326803</v>
      </c>
      <c r="AE638" s="6">
        <v>0</v>
      </c>
      <c r="AF638" s="6">
        <v>0</v>
      </c>
      <c r="AG638" s="6">
        <v>0</v>
      </c>
      <c r="AH638" s="6">
        <v>0</v>
      </c>
      <c r="AI638" s="6">
        <v>0</v>
      </c>
      <c r="AJ638" s="6">
        <v>1294003.12070586</v>
      </c>
      <c r="AK638" s="6">
        <v>3957.63905924447</v>
      </c>
      <c r="AL638" s="6">
        <v>330.98244656580999</v>
      </c>
      <c r="AM638" s="6">
        <v>93035.839999999997</v>
      </c>
      <c r="AN638" s="6">
        <v>3449.8798413425902</v>
      </c>
      <c r="AO638" s="6">
        <v>14852.938640336401</v>
      </c>
      <c r="AP638" s="6">
        <v>330.98244656580999</v>
      </c>
      <c r="AQ638" s="6">
        <v>93035.839999999997</v>
      </c>
      <c r="AR638" s="6">
        <v>3957.63905924447</v>
      </c>
      <c r="AS638" s="6">
        <v>14852.938640336401</v>
      </c>
      <c r="AT638" s="6">
        <v>0</v>
      </c>
      <c r="AU638" t="s">
        <v>2973</v>
      </c>
      <c r="AV638" t="s">
        <v>2973</v>
      </c>
    </row>
    <row r="639" spans="1:48" x14ac:dyDescent="0.45">
      <c r="A639" s="5" t="s">
        <v>1307</v>
      </c>
      <c r="B639">
        <v>2101</v>
      </c>
      <c r="C639" t="s">
        <v>1290</v>
      </c>
      <c r="D639">
        <v>674</v>
      </c>
      <c r="E639" t="s">
        <v>1308</v>
      </c>
      <c r="F639" t="s">
        <v>2739</v>
      </c>
      <c r="G639" t="s">
        <v>2747</v>
      </c>
      <c r="H639" t="s">
        <v>2741</v>
      </c>
      <c r="I639" t="s">
        <v>2742</v>
      </c>
      <c r="J639">
        <v>592.96808250188803</v>
      </c>
      <c r="K639">
        <v>1</v>
      </c>
      <c r="L639">
        <v>1</v>
      </c>
      <c r="M639">
        <v>2</v>
      </c>
      <c r="N639" s="6">
        <v>3927872.4787133499</v>
      </c>
      <c r="O639" s="6">
        <v>1395209.69374177</v>
      </c>
      <c r="P639" s="6">
        <v>1224135.46233021</v>
      </c>
      <c r="Q639" s="6">
        <v>246727.75870344401</v>
      </c>
      <c r="R639" s="6">
        <v>433895.80849064101</v>
      </c>
      <c r="S639" s="6">
        <v>252925.742403412</v>
      </c>
      <c r="T639" s="6">
        <v>5435098.3099999996</v>
      </c>
      <c r="U639" s="6">
        <v>1792742.8919794201</v>
      </c>
      <c r="V639" s="6">
        <v>6198946.6217797697</v>
      </c>
      <c r="W639" s="6">
        <v>1020991.36367146</v>
      </c>
      <c r="X639" s="6">
        <v>0</v>
      </c>
      <c r="Y639" s="6">
        <v>0</v>
      </c>
      <c r="Z639" s="6">
        <v>0</v>
      </c>
      <c r="AA639" s="6">
        <v>7867.3400456062</v>
      </c>
      <c r="AB639" s="6">
        <v>35.876482564986397</v>
      </c>
      <c r="AC639" s="6">
        <v>252037.810784576</v>
      </c>
      <c r="AD639" s="6">
        <v>887.93161883613902</v>
      </c>
      <c r="AE639" s="6">
        <v>0</v>
      </c>
      <c r="AF639" s="6">
        <v>0</v>
      </c>
      <c r="AG639" s="6">
        <v>0</v>
      </c>
      <c r="AH639" s="6">
        <v>0</v>
      </c>
      <c r="AI639" s="6">
        <v>0</v>
      </c>
      <c r="AJ639" s="6">
        <v>7480766.9443828203</v>
      </c>
      <c r="AK639" s="6">
        <v>12615.800352726401</v>
      </c>
      <c r="AL639" s="6">
        <v>330.98244656580999</v>
      </c>
      <c r="AM639" s="6">
        <v>93035.839999999997</v>
      </c>
      <c r="AN639" s="6">
        <v>3449.8798413425902</v>
      </c>
      <c r="AO639" s="6">
        <v>14852.938640336401</v>
      </c>
      <c r="AP639" s="6">
        <v>3753.1860850462999</v>
      </c>
      <c r="AQ639" s="6">
        <v>20687.885194392002</v>
      </c>
      <c r="AR639" s="6">
        <v>12615.800352726401</v>
      </c>
      <c r="AS639" s="6">
        <v>12615.800352726401</v>
      </c>
      <c r="AT639" s="6">
        <v>0</v>
      </c>
      <c r="AU639" t="s">
        <v>2973</v>
      </c>
      <c r="AV639" t="s">
        <v>2973</v>
      </c>
    </row>
    <row r="640" spans="1:48" x14ac:dyDescent="0.45">
      <c r="A640" s="5" t="s">
        <v>1309</v>
      </c>
      <c r="B640">
        <v>2097</v>
      </c>
      <c r="C640" t="s">
        <v>1310</v>
      </c>
      <c r="D640">
        <v>623</v>
      </c>
      <c r="E640" t="s">
        <v>1311</v>
      </c>
      <c r="F640" t="s">
        <v>2739</v>
      </c>
      <c r="G640" t="s">
        <v>2740</v>
      </c>
      <c r="H640" t="s">
        <v>2741</v>
      </c>
      <c r="I640" t="s">
        <v>2742</v>
      </c>
      <c r="J640">
        <v>342.02465693074498</v>
      </c>
      <c r="K640">
        <v>1</v>
      </c>
      <c r="L640">
        <v>2</v>
      </c>
      <c r="M640">
        <v>3</v>
      </c>
      <c r="N640" s="6">
        <v>2335515.8203192898</v>
      </c>
      <c r="O640" s="6">
        <v>866638.71437822899</v>
      </c>
      <c r="P640" s="6">
        <v>932724.03204661701</v>
      </c>
      <c r="Q640" s="6">
        <v>151124.510960143</v>
      </c>
      <c r="R640" s="6">
        <v>201257.06081731501</v>
      </c>
      <c r="S640" s="6">
        <v>156166.35589099399</v>
      </c>
      <c r="T640" s="6">
        <v>2431453.09</v>
      </c>
      <c r="U640" s="6">
        <v>2055807.04852159</v>
      </c>
      <c r="V640" s="6">
        <v>3581798.9811768299</v>
      </c>
      <c r="W640" s="6">
        <v>842165.62661366398</v>
      </c>
      <c r="X640" s="6">
        <v>0</v>
      </c>
      <c r="Y640" s="6">
        <v>0</v>
      </c>
      <c r="Z640" s="6">
        <v>0</v>
      </c>
      <c r="AA640" s="6">
        <v>62106.860381692502</v>
      </c>
      <c r="AB640" s="6">
        <v>1188.6703494051001</v>
      </c>
      <c r="AC640" s="6">
        <v>153100.10160696</v>
      </c>
      <c r="AD640" s="6">
        <v>3066.2542840334499</v>
      </c>
      <c r="AE640" s="6">
        <v>0</v>
      </c>
      <c r="AF640" s="6">
        <v>0</v>
      </c>
      <c r="AG640" s="6">
        <v>0</v>
      </c>
      <c r="AH640" s="6">
        <v>0</v>
      </c>
      <c r="AI640" s="6">
        <v>0</v>
      </c>
      <c r="AJ640" s="6">
        <v>4643426.4944125796</v>
      </c>
      <c r="AK640" s="6">
        <v>13576.291651256</v>
      </c>
      <c r="AL640" s="6">
        <v>330.98244656580999</v>
      </c>
      <c r="AM640" s="6">
        <v>93035.839999999997</v>
      </c>
      <c r="AN640" s="6">
        <v>6467.2922246669395</v>
      </c>
      <c r="AO640" s="6">
        <v>20296.719423381099</v>
      </c>
      <c r="AP640" s="6">
        <v>330.98244656580999</v>
      </c>
      <c r="AQ640" s="6">
        <v>93035.839999999997</v>
      </c>
      <c r="AR640" s="6">
        <v>7326.30209637198</v>
      </c>
      <c r="AS640" s="6">
        <v>14908.401500574601</v>
      </c>
      <c r="AT640" s="6">
        <v>0</v>
      </c>
      <c r="AU640" t="s">
        <v>2973</v>
      </c>
      <c r="AV640" t="s">
        <v>2973</v>
      </c>
    </row>
    <row r="641" spans="1:48" x14ac:dyDescent="0.45">
      <c r="A641" s="5" t="s">
        <v>1312</v>
      </c>
      <c r="B641">
        <v>2097</v>
      </c>
      <c r="C641" t="s">
        <v>1310</v>
      </c>
      <c r="D641">
        <v>3361</v>
      </c>
      <c r="E641" t="s">
        <v>1313</v>
      </c>
      <c r="F641" t="s">
        <v>3</v>
      </c>
      <c r="G641" t="s">
        <v>2748</v>
      </c>
      <c r="H641" t="s">
        <v>2745</v>
      </c>
      <c r="I641" t="s">
        <v>2742</v>
      </c>
      <c r="J641">
        <v>195.40139706699901</v>
      </c>
      <c r="K641">
        <v>1</v>
      </c>
      <c r="L641">
        <v>1</v>
      </c>
      <c r="M641">
        <v>3</v>
      </c>
      <c r="N641" s="6">
        <v>309977.53020280902</v>
      </c>
      <c r="O641" s="6">
        <v>249463.90463220401</v>
      </c>
      <c r="P641" s="6">
        <v>635079.971685344</v>
      </c>
      <c r="Q641" s="6">
        <v>86323.782487844495</v>
      </c>
      <c r="R641" s="6">
        <v>114367.820185576</v>
      </c>
      <c r="S641" s="6">
        <v>89219.076746683801</v>
      </c>
      <c r="T641" s="6">
        <v>220714.15</v>
      </c>
      <c r="U641" s="6">
        <v>1174498.85919378</v>
      </c>
      <c r="V641" s="6">
        <v>1051148.89609321</v>
      </c>
      <c r="W641" s="6">
        <v>308514.80840525101</v>
      </c>
      <c r="X641" s="6">
        <v>0</v>
      </c>
      <c r="Y641" s="6">
        <v>0</v>
      </c>
      <c r="Z641" s="6">
        <v>0</v>
      </c>
      <c r="AA641" s="6">
        <v>35482.141536026997</v>
      </c>
      <c r="AB641" s="6">
        <v>67.163159286766103</v>
      </c>
      <c r="AC641" s="6">
        <v>87467.301373997398</v>
      </c>
      <c r="AD641" s="6">
        <v>1751.7753726864401</v>
      </c>
      <c r="AE641" s="6">
        <v>0</v>
      </c>
      <c r="AF641" s="6">
        <v>0</v>
      </c>
      <c r="AG641" s="6">
        <v>0</v>
      </c>
      <c r="AH641" s="6">
        <v>0</v>
      </c>
      <c r="AI641" s="6">
        <v>0</v>
      </c>
      <c r="AJ641" s="6">
        <v>1484432.08594046</v>
      </c>
      <c r="AK641" s="6">
        <v>7596.8345581044096</v>
      </c>
      <c r="AL641" s="6">
        <v>330.98244656580999</v>
      </c>
      <c r="AM641" s="6">
        <v>93035.839999999997</v>
      </c>
      <c r="AN641" s="6">
        <v>6467.2922246669395</v>
      </c>
      <c r="AO641" s="6">
        <v>20296.719423381099</v>
      </c>
      <c r="AP641" s="6">
        <v>330.98244656580999</v>
      </c>
      <c r="AQ641" s="6">
        <v>56162.493707719797</v>
      </c>
      <c r="AR641" s="6">
        <v>7596.8345581044096</v>
      </c>
      <c r="AS641" s="6">
        <v>7596.8345581044096</v>
      </c>
      <c r="AT641" s="6">
        <v>0</v>
      </c>
      <c r="AU641" t="s">
        <v>2973</v>
      </c>
      <c r="AV641" t="s">
        <v>2973</v>
      </c>
    </row>
    <row r="642" spans="1:48" x14ac:dyDescent="0.45">
      <c r="A642" s="5" t="s">
        <v>1314</v>
      </c>
      <c r="B642">
        <v>2097</v>
      </c>
      <c r="C642" t="s">
        <v>1310</v>
      </c>
      <c r="D642">
        <v>3240</v>
      </c>
      <c r="E642" t="s">
        <v>1315</v>
      </c>
      <c r="F642" t="s">
        <v>3</v>
      </c>
      <c r="G642" t="s">
        <v>2744</v>
      </c>
      <c r="H642" t="s">
        <v>2745</v>
      </c>
      <c r="I642" t="s">
        <v>2742</v>
      </c>
      <c r="J642">
        <v>51.2924927965894</v>
      </c>
      <c r="K642">
        <v>1</v>
      </c>
      <c r="L642">
        <v>1</v>
      </c>
      <c r="M642">
        <v>3</v>
      </c>
      <c r="N642" s="6">
        <v>80782.809628875795</v>
      </c>
      <c r="O642" s="6">
        <v>65483.797574737902</v>
      </c>
      <c r="P642" s="6">
        <v>109805.934088711</v>
      </c>
      <c r="Q642" s="6">
        <v>22659.827707955999</v>
      </c>
      <c r="R642" s="6">
        <v>30021.333936619201</v>
      </c>
      <c r="S642" s="6">
        <v>23419.836910268001</v>
      </c>
      <c r="T642" s="6">
        <v>450</v>
      </c>
      <c r="U642" s="6">
        <v>308303.70293689898</v>
      </c>
      <c r="V642" s="6">
        <v>219023.23052778299</v>
      </c>
      <c r="W642" s="6">
        <v>80398.847956181402</v>
      </c>
      <c r="X642" s="6">
        <v>0</v>
      </c>
      <c r="Y642" s="6">
        <v>0</v>
      </c>
      <c r="Z642" s="6">
        <v>0</v>
      </c>
      <c r="AA642" s="6">
        <v>9313.9942521506</v>
      </c>
      <c r="AB642" s="6">
        <v>17.630200784753999</v>
      </c>
      <c r="AC642" s="6">
        <v>22959.999227255099</v>
      </c>
      <c r="AD642" s="6">
        <v>459.83768301284499</v>
      </c>
      <c r="AE642" s="6">
        <v>0</v>
      </c>
      <c r="AF642" s="6">
        <v>0</v>
      </c>
      <c r="AG642" s="6">
        <v>0</v>
      </c>
      <c r="AH642" s="6">
        <v>0</v>
      </c>
      <c r="AI642" s="6">
        <v>0</v>
      </c>
      <c r="AJ642" s="6">
        <v>332173.53984716698</v>
      </c>
      <c r="AK642" s="6">
        <v>6476.0654383569799</v>
      </c>
      <c r="AL642" s="6">
        <v>330.98244656580999</v>
      </c>
      <c r="AM642" s="6">
        <v>93035.839999999997</v>
      </c>
      <c r="AN642" s="6">
        <v>6467.2922246669395</v>
      </c>
      <c r="AO642" s="6">
        <v>20296.719423381099</v>
      </c>
      <c r="AP642" s="6">
        <v>330.98244656580999</v>
      </c>
      <c r="AQ642" s="6">
        <v>40734.411818744898</v>
      </c>
      <c r="AR642" s="6">
        <v>6476.0654383569799</v>
      </c>
      <c r="AS642" s="6">
        <v>20296.719423381099</v>
      </c>
      <c r="AT642" s="6">
        <v>0</v>
      </c>
      <c r="AU642" t="s">
        <v>2973</v>
      </c>
      <c r="AV642" t="s">
        <v>2973</v>
      </c>
    </row>
    <row r="643" spans="1:48" x14ac:dyDescent="0.45">
      <c r="A643" s="5" t="s">
        <v>1316</v>
      </c>
      <c r="B643">
        <v>2097</v>
      </c>
      <c r="C643" t="s">
        <v>1310</v>
      </c>
      <c r="D643">
        <v>2097</v>
      </c>
      <c r="E643" t="s">
        <v>1310</v>
      </c>
      <c r="F643" t="s">
        <v>1</v>
      </c>
      <c r="G643" t="s">
        <v>1</v>
      </c>
      <c r="H643" t="s">
        <v>2743</v>
      </c>
      <c r="I643" t="s">
        <v>2742</v>
      </c>
      <c r="J643">
        <v>1.2957891485639099</v>
      </c>
      <c r="K643">
        <v>0</v>
      </c>
      <c r="L643">
        <v>0</v>
      </c>
      <c r="M643">
        <v>3</v>
      </c>
      <c r="N643" s="6">
        <v>2040.7954926800001</v>
      </c>
      <c r="O643" s="6">
        <v>1654.30045758554</v>
      </c>
      <c r="P643" s="6">
        <v>2762.63104008552</v>
      </c>
      <c r="Q643" s="6">
        <v>572.44944145607099</v>
      </c>
      <c r="R643" s="6">
        <v>758.42129363365905</v>
      </c>
      <c r="S643" s="6">
        <v>591.64935987434706</v>
      </c>
      <c r="T643" s="6">
        <v>0</v>
      </c>
      <c r="U643" s="6">
        <v>7788.5977254407899</v>
      </c>
      <c r="V643" s="6">
        <v>5521.7597126277797</v>
      </c>
      <c r="W643" s="6">
        <v>2031.09556698298</v>
      </c>
      <c r="X643" s="6">
        <v>0</v>
      </c>
      <c r="Y643" s="6">
        <v>0</v>
      </c>
      <c r="Z643" s="6">
        <v>0</v>
      </c>
      <c r="AA643" s="6">
        <v>235.297058569277</v>
      </c>
      <c r="AB643" s="6">
        <v>0.44538726075341201</v>
      </c>
      <c r="AC643" s="6">
        <v>580.03259790273</v>
      </c>
      <c r="AD643" s="6">
        <v>11.6167619716161</v>
      </c>
      <c r="AE643" s="6">
        <v>0</v>
      </c>
      <c r="AF643" s="6">
        <v>0</v>
      </c>
      <c r="AG643" s="6">
        <v>0</v>
      </c>
      <c r="AH643" s="6">
        <v>0</v>
      </c>
      <c r="AI643" s="6">
        <v>0</v>
      </c>
      <c r="AJ643" s="6">
        <v>8380.2470853151408</v>
      </c>
      <c r="AK643" s="6">
        <v>6467.2922246669395</v>
      </c>
      <c r="AL643" s="6">
        <v>330.98244656580999</v>
      </c>
      <c r="AM643" s="6">
        <v>93035.839999999997</v>
      </c>
      <c r="AN643" s="6">
        <v>6467.2922246669395</v>
      </c>
      <c r="AO643" s="6">
        <v>20296.719423381099</v>
      </c>
      <c r="AP643" s="6">
        <v>634.54287297753501</v>
      </c>
      <c r="AQ643" s="6">
        <v>40331.279999999999</v>
      </c>
      <c r="AR643" s="6">
        <v>6467.2922246669395</v>
      </c>
      <c r="AS643" s="6">
        <v>6467.2922246669395</v>
      </c>
      <c r="AT643" s="6">
        <v>0</v>
      </c>
      <c r="AU643" t="s">
        <v>2973</v>
      </c>
      <c r="AV643" t="s">
        <v>2977</v>
      </c>
    </row>
    <row r="644" spans="1:48" x14ac:dyDescent="0.45">
      <c r="A644" s="5" t="s">
        <v>1317</v>
      </c>
      <c r="B644">
        <v>2097</v>
      </c>
      <c r="C644" t="s">
        <v>1310</v>
      </c>
      <c r="D644">
        <v>627</v>
      </c>
      <c r="E644" t="s">
        <v>1318</v>
      </c>
      <c r="F644" t="s">
        <v>2739</v>
      </c>
      <c r="G644" t="s">
        <v>2744</v>
      </c>
      <c r="H644" t="s">
        <v>2745</v>
      </c>
      <c r="I644" t="s">
        <v>2742</v>
      </c>
      <c r="J644">
        <v>643.30048157889303</v>
      </c>
      <c r="K644">
        <v>1</v>
      </c>
      <c r="L644">
        <v>1</v>
      </c>
      <c r="M644">
        <v>3</v>
      </c>
      <c r="N644" s="6">
        <v>4054592.9870775598</v>
      </c>
      <c r="O644" s="6">
        <v>2414425.59958127</v>
      </c>
      <c r="P644" s="6">
        <v>1655892.87399679</v>
      </c>
      <c r="Q644" s="6">
        <v>285293.29765847401</v>
      </c>
      <c r="R644" s="6">
        <v>988769.75887622102</v>
      </c>
      <c r="S644" s="6">
        <v>293727.04544935498</v>
      </c>
      <c r="T644" s="6">
        <v>5532289.3600000003</v>
      </c>
      <c r="U644" s="6">
        <v>3866685.1571903201</v>
      </c>
      <c r="V644" s="6">
        <v>6785428.9115208397</v>
      </c>
      <c r="W644" s="6">
        <v>2492653.6043595099</v>
      </c>
      <c r="X644" s="6">
        <v>0</v>
      </c>
      <c r="Y644" s="6">
        <v>0</v>
      </c>
      <c r="Z644" s="6">
        <v>0</v>
      </c>
      <c r="AA644" s="6">
        <v>116814.30675621099</v>
      </c>
      <c r="AB644" s="6">
        <v>4077.6945537445799</v>
      </c>
      <c r="AC644" s="6">
        <v>287959.85054807801</v>
      </c>
      <c r="AD644" s="6">
        <v>5767.1949012771602</v>
      </c>
      <c r="AE644" s="6">
        <v>0</v>
      </c>
      <c r="AF644" s="6">
        <v>0</v>
      </c>
      <c r="AG644" s="6">
        <v>0</v>
      </c>
      <c r="AH644" s="6">
        <v>0</v>
      </c>
      <c r="AI644" s="6">
        <v>0</v>
      </c>
      <c r="AJ644" s="6">
        <v>9692701.5626396704</v>
      </c>
      <c r="AK644" s="6">
        <v>15067.1448882648</v>
      </c>
      <c r="AL644" s="6">
        <v>330.98244656580999</v>
      </c>
      <c r="AM644" s="6">
        <v>93035.839999999997</v>
      </c>
      <c r="AN644" s="6">
        <v>6467.2922246669395</v>
      </c>
      <c r="AO644" s="6">
        <v>20296.719423381099</v>
      </c>
      <c r="AP644" s="6">
        <v>330.98244656580999</v>
      </c>
      <c r="AQ644" s="6">
        <v>40734.411818744898</v>
      </c>
      <c r="AR644" s="6">
        <v>6476.0654383569799</v>
      </c>
      <c r="AS644" s="6">
        <v>20296.719423381099</v>
      </c>
      <c r="AT644" s="6">
        <v>0</v>
      </c>
      <c r="AU644" t="s">
        <v>2973</v>
      </c>
      <c r="AV644" t="s">
        <v>2973</v>
      </c>
    </row>
    <row r="645" spans="1:48" x14ac:dyDescent="0.45">
      <c r="A645" s="5" t="s">
        <v>1319</v>
      </c>
      <c r="B645">
        <v>2097</v>
      </c>
      <c r="C645" t="s">
        <v>1310</v>
      </c>
      <c r="D645">
        <v>615</v>
      </c>
      <c r="E645" t="s">
        <v>1320</v>
      </c>
      <c r="F645" t="s">
        <v>2739</v>
      </c>
      <c r="G645" t="s">
        <v>2747</v>
      </c>
      <c r="H645" t="s">
        <v>2745</v>
      </c>
      <c r="I645" t="s">
        <v>2742</v>
      </c>
      <c r="J645">
        <v>479.91738495771199</v>
      </c>
      <c r="K645">
        <v>1</v>
      </c>
      <c r="L645">
        <v>1</v>
      </c>
      <c r="M645">
        <v>3</v>
      </c>
      <c r="N645" s="6">
        <v>2709234.2807062301</v>
      </c>
      <c r="O645" s="6">
        <v>1393149.2101644301</v>
      </c>
      <c r="P645" s="6">
        <v>1151535.1507544599</v>
      </c>
      <c r="Q645" s="6">
        <v>212180.11397251301</v>
      </c>
      <c r="R645" s="6">
        <v>281997.17875566997</v>
      </c>
      <c r="S645" s="6">
        <v>219127.327866179</v>
      </c>
      <c r="T645" s="6">
        <v>2863457.29</v>
      </c>
      <c r="U645" s="6">
        <v>2884638.6443533199</v>
      </c>
      <c r="V645" s="6">
        <v>4805030.3405669704</v>
      </c>
      <c r="W645" s="6">
        <v>854696.34948311502</v>
      </c>
      <c r="X645" s="6">
        <v>0</v>
      </c>
      <c r="Y645" s="6">
        <v>0</v>
      </c>
      <c r="Z645" s="6">
        <v>0</v>
      </c>
      <c r="AA645" s="6">
        <v>87146.237612777797</v>
      </c>
      <c r="AB645" s="6">
        <v>1223.00669045473</v>
      </c>
      <c r="AC645" s="6">
        <v>214824.86397128401</v>
      </c>
      <c r="AD645" s="6">
        <v>4302.46389489598</v>
      </c>
      <c r="AE645" s="6">
        <v>0</v>
      </c>
      <c r="AF645" s="6">
        <v>0</v>
      </c>
      <c r="AG645" s="6">
        <v>0</v>
      </c>
      <c r="AH645" s="6">
        <v>0</v>
      </c>
      <c r="AI645" s="6">
        <v>0</v>
      </c>
      <c r="AJ645" s="6">
        <v>5967223.26221951</v>
      </c>
      <c r="AK645" s="6">
        <v>12433.855178522699</v>
      </c>
      <c r="AL645" s="6">
        <v>330.98244656580999</v>
      </c>
      <c r="AM645" s="6">
        <v>93035.839999999997</v>
      </c>
      <c r="AN645" s="6">
        <v>6467.2922246669395</v>
      </c>
      <c r="AO645" s="6">
        <v>20296.719423381099</v>
      </c>
      <c r="AP645" s="6">
        <v>3753.1860850462999</v>
      </c>
      <c r="AQ645" s="6">
        <v>20687.885194392002</v>
      </c>
      <c r="AR645" s="6">
        <v>6467.2922246669395</v>
      </c>
      <c r="AS645" s="6">
        <v>12433.855178522699</v>
      </c>
      <c r="AT645" s="6">
        <v>0</v>
      </c>
      <c r="AU645" t="s">
        <v>2973</v>
      </c>
      <c r="AV645" t="s">
        <v>2973</v>
      </c>
    </row>
    <row r="646" spans="1:48" x14ac:dyDescent="0.45">
      <c r="A646" s="5" t="s">
        <v>1321</v>
      </c>
      <c r="B646">
        <v>2097</v>
      </c>
      <c r="C646" t="s">
        <v>1310</v>
      </c>
      <c r="D646">
        <v>617</v>
      </c>
      <c r="E646" t="s">
        <v>1322</v>
      </c>
      <c r="F646" t="s">
        <v>2739</v>
      </c>
      <c r="G646" t="s">
        <v>2740</v>
      </c>
      <c r="H646" t="s">
        <v>2741</v>
      </c>
      <c r="I646" t="s">
        <v>2742</v>
      </c>
      <c r="J646">
        <v>388.61246287343698</v>
      </c>
      <c r="K646">
        <v>1</v>
      </c>
      <c r="L646">
        <v>1</v>
      </c>
      <c r="M646">
        <v>3</v>
      </c>
      <c r="N646" s="6">
        <v>2535625.17107881</v>
      </c>
      <c r="O646" s="6">
        <v>1110233.79005241</v>
      </c>
      <c r="P646" s="6">
        <v>945752.64262787299</v>
      </c>
      <c r="Q646" s="6">
        <v>171714.927680608</v>
      </c>
      <c r="R646" s="6">
        <v>228372.086406346</v>
      </c>
      <c r="S646" s="6">
        <v>177438.061704005</v>
      </c>
      <c r="T646" s="6">
        <v>2655866.3199999998</v>
      </c>
      <c r="U646" s="6">
        <v>2335832.2978460402</v>
      </c>
      <c r="V646" s="6">
        <v>4121518.3609117498</v>
      </c>
      <c r="W646" s="6">
        <v>799480.13370872894</v>
      </c>
      <c r="X646" s="6">
        <v>0</v>
      </c>
      <c r="Y646" s="6">
        <v>0</v>
      </c>
      <c r="Z646" s="6">
        <v>0</v>
      </c>
      <c r="AA646" s="6">
        <v>70566.549765309101</v>
      </c>
      <c r="AB646" s="6">
        <v>133.57346025444099</v>
      </c>
      <c r="AC646" s="6">
        <v>173954.147299098</v>
      </c>
      <c r="AD646" s="6">
        <v>3483.9144049072102</v>
      </c>
      <c r="AE646" s="6">
        <v>0</v>
      </c>
      <c r="AF646" s="6">
        <v>0</v>
      </c>
      <c r="AG646" s="6">
        <v>0</v>
      </c>
      <c r="AH646" s="6">
        <v>0</v>
      </c>
      <c r="AI646" s="6">
        <v>0</v>
      </c>
      <c r="AJ646" s="6">
        <v>5169136.6795500498</v>
      </c>
      <c r="AK646" s="6">
        <v>13301.5205979988</v>
      </c>
      <c r="AL646" s="6">
        <v>330.98244656580999</v>
      </c>
      <c r="AM646" s="6">
        <v>93035.839999999997</v>
      </c>
      <c r="AN646" s="6">
        <v>6467.2922246669395</v>
      </c>
      <c r="AO646" s="6">
        <v>20296.719423381099</v>
      </c>
      <c r="AP646" s="6">
        <v>330.98244656580999</v>
      </c>
      <c r="AQ646" s="6">
        <v>93035.839999999997</v>
      </c>
      <c r="AR646" s="6">
        <v>7326.30209637198</v>
      </c>
      <c r="AS646" s="6">
        <v>14908.401500574601</v>
      </c>
      <c r="AT646" s="6">
        <v>0</v>
      </c>
      <c r="AU646" t="s">
        <v>2973</v>
      </c>
      <c r="AV646" t="s">
        <v>2973</v>
      </c>
    </row>
    <row r="647" spans="1:48" x14ac:dyDescent="0.45">
      <c r="A647" s="5" t="s">
        <v>1323</v>
      </c>
      <c r="B647">
        <v>2097</v>
      </c>
      <c r="C647" t="s">
        <v>1310</v>
      </c>
      <c r="D647">
        <v>625</v>
      </c>
      <c r="E647" t="s">
        <v>1324</v>
      </c>
      <c r="F647" t="s">
        <v>2739</v>
      </c>
      <c r="G647" t="s">
        <v>2740</v>
      </c>
      <c r="H647" t="s">
        <v>2741</v>
      </c>
      <c r="I647" t="s">
        <v>2742</v>
      </c>
      <c r="J647">
        <v>475.49501005226801</v>
      </c>
      <c r="K647">
        <v>2</v>
      </c>
      <c r="L647">
        <v>1</v>
      </c>
      <c r="M647">
        <v>3</v>
      </c>
      <c r="N647" s="6">
        <v>3169583.6073784502</v>
      </c>
      <c r="O647" s="6">
        <v>1077901.9586193201</v>
      </c>
      <c r="P647" s="6">
        <v>1173994.77818941</v>
      </c>
      <c r="Q647" s="6">
        <v>210077.61182325799</v>
      </c>
      <c r="R647" s="6">
        <v>1240204.4666993399</v>
      </c>
      <c r="S647" s="6">
        <v>217108.09866918399</v>
      </c>
      <c r="T647" s="6">
        <v>4013705.34</v>
      </c>
      <c r="U647" s="6">
        <v>2858057.08270978</v>
      </c>
      <c r="V647" s="6">
        <v>4719094.3886025203</v>
      </c>
      <c r="W647" s="6">
        <v>2065453.02085298</v>
      </c>
      <c r="X647" s="6">
        <v>0</v>
      </c>
      <c r="Y647" s="6">
        <v>0</v>
      </c>
      <c r="Z647" s="6">
        <v>0</v>
      </c>
      <c r="AA647" s="6">
        <v>86343.196617802198</v>
      </c>
      <c r="AB647" s="6">
        <v>871.81663648040796</v>
      </c>
      <c r="AC647" s="6">
        <v>212845.28140713999</v>
      </c>
      <c r="AD647" s="6">
        <v>4262.8172620447003</v>
      </c>
      <c r="AE647" s="6">
        <v>0</v>
      </c>
      <c r="AF647" s="6">
        <v>0</v>
      </c>
      <c r="AG647" s="6">
        <v>0</v>
      </c>
      <c r="AH647" s="6">
        <v>0</v>
      </c>
      <c r="AI647" s="6">
        <v>0</v>
      </c>
      <c r="AJ647" s="6">
        <v>7088870.5213789605</v>
      </c>
      <c r="AK647" s="6">
        <v>14908.401500574601</v>
      </c>
      <c r="AL647" s="6">
        <v>330.98244656580999</v>
      </c>
      <c r="AM647" s="6">
        <v>93035.839999999997</v>
      </c>
      <c r="AN647" s="6">
        <v>6467.2922246669395</v>
      </c>
      <c r="AO647" s="6">
        <v>20296.719423381099</v>
      </c>
      <c r="AP647" s="6">
        <v>330.98244656580999</v>
      </c>
      <c r="AQ647" s="6">
        <v>93035.839999999997</v>
      </c>
      <c r="AR647" s="6">
        <v>7326.30209637198</v>
      </c>
      <c r="AS647" s="6">
        <v>14908.401500574601</v>
      </c>
      <c r="AT647" s="6">
        <v>0</v>
      </c>
      <c r="AU647" t="s">
        <v>2973</v>
      </c>
      <c r="AV647" t="s">
        <v>2973</v>
      </c>
    </row>
    <row r="648" spans="1:48" x14ac:dyDescent="0.45">
      <c r="A648" s="5" t="s">
        <v>1325</v>
      </c>
      <c r="B648">
        <v>2097</v>
      </c>
      <c r="C648" t="s">
        <v>1310</v>
      </c>
      <c r="D648">
        <v>4468</v>
      </c>
      <c r="E648" t="s">
        <v>1326</v>
      </c>
      <c r="F648" t="s">
        <v>3</v>
      </c>
      <c r="G648" t="s">
        <v>2744</v>
      </c>
      <c r="H648" t="s">
        <v>2745</v>
      </c>
      <c r="I648" t="s">
        <v>2742</v>
      </c>
      <c r="J648">
        <v>74.8006457772468</v>
      </c>
      <c r="K648">
        <v>1</v>
      </c>
      <c r="L648">
        <v>2</v>
      </c>
      <c r="M648">
        <v>3</v>
      </c>
      <c r="N648" s="6">
        <v>117806.836799753</v>
      </c>
      <c r="O648" s="6">
        <v>95496.047851716197</v>
      </c>
      <c r="P648" s="6">
        <v>179691.431817067</v>
      </c>
      <c r="Q648" s="6">
        <v>33045.181728211202</v>
      </c>
      <c r="R648" s="6">
        <v>43780.5815845006</v>
      </c>
      <c r="S648" s="6">
        <v>34153.515054006697</v>
      </c>
      <c r="T648" s="6">
        <v>20215.96</v>
      </c>
      <c r="U648" s="6">
        <v>449604.11978124699</v>
      </c>
      <c r="V648" s="6">
        <v>338964.72617781197</v>
      </c>
      <c r="W648" s="6">
        <v>117246.89947744001</v>
      </c>
      <c r="X648" s="6">
        <v>0</v>
      </c>
      <c r="Y648" s="6">
        <v>0</v>
      </c>
      <c r="Z648" s="6">
        <v>0</v>
      </c>
      <c r="AA648" s="6">
        <v>13582.7437280014</v>
      </c>
      <c r="AB648" s="6">
        <v>25.710397993560001</v>
      </c>
      <c r="AC648" s="6">
        <v>33482.926557197199</v>
      </c>
      <c r="AD648" s="6">
        <v>670.58849680943695</v>
      </c>
      <c r="AE648" s="6">
        <v>0</v>
      </c>
      <c r="AF648" s="6">
        <v>0</v>
      </c>
      <c r="AG648" s="6">
        <v>0</v>
      </c>
      <c r="AH648" s="6">
        <v>0</v>
      </c>
      <c r="AI648" s="6">
        <v>0</v>
      </c>
      <c r="AJ648" s="6">
        <v>503973.59483525302</v>
      </c>
      <c r="AK648" s="6">
        <v>6737.5567362889797</v>
      </c>
      <c r="AL648" s="6">
        <v>330.98244656580999</v>
      </c>
      <c r="AM648" s="6">
        <v>93035.839999999997</v>
      </c>
      <c r="AN648" s="6">
        <v>6467.2922246669395</v>
      </c>
      <c r="AO648" s="6">
        <v>20296.719423381099</v>
      </c>
      <c r="AP648" s="6">
        <v>330.98244656580999</v>
      </c>
      <c r="AQ648" s="6">
        <v>40734.411818744898</v>
      </c>
      <c r="AR648" s="6">
        <v>6476.0654383569799</v>
      </c>
      <c r="AS648" s="6">
        <v>20296.719423381099</v>
      </c>
      <c r="AT648" s="6">
        <v>0</v>
      </c>
      <c r="AU648" t="s">
        <v>2973</v>
      </c>
      <c r="AV648" t="s">
        <v>2973</v>
      </c>
    </row>
    <row r="649" spans="1:48" x14ac:dyDescent="0.45">
      <c r="A649" s="5" t="s">
        <v>1327</v>
      </c>
      <c r="B649">
        <v>2097</v>
      </c>
      <c r="C649" t="s">
        <v>1310</v>
      </c>
      <c r="D649">
        <v>4038</v>
      </c>
      <c r="E649" t="s">
        <v>1328</v>
      </c>
      <c r="F649" t="s">
        <v>3</v>
      </c>
      <c r="G649" t="s">
        <v>2740</v>
      </c>
      <c r="H649" t="s">
        <v>2745</v>
      </c>
      <c r="I649" t="s">
        <v>2742</v>
      </c>
      <c r="J649">
        <v>125.785911849337</v>
      </c>
      <c r="K649">
        <v>1</v>
      </c>
      <c r="L649">
        <v>1</v>
      </c>
      <c r="M649">
        <v>3</v>
      </c>
      <c r="N649" s="6">
        <v>272301.74150717497</v>
      </c>
      <c r="O649" s="6">
        <v>161857.86702148101</v>
      </c>
      <c r="P649" s="6">
        <v>300761.526495962</v>
      </c>
      <c r="Q649" s="6">
        <v>55569.283830628003</v>
      </c>
      <c r="R649" s="6">
        <v>73622.096690184306</v>
      </c>
      <c r="S649" s="6">
        <v>57433.074130425099</v>
      </c>
      <c r="T649" s="6">
        <v>108051.34</v>
      </c>
      <c r="U649" s="6">
        <v>756061.17554543202</v>
      </c>
      <c r="V649" s="6">
        <v>568597.93828411202</v>
      </c>
      <c r="W649" s="6">
        <v>272630.39232800202</v>
      </c>
      <c r="X649" s="6">
        <v>0</v>
      </c>
      <c r="Y649" s="6">
        <v>0</v>
      </c>
      <c r="Z649" s="6">
        <v>0</v>
      </c>
      <c r="AA649" s="6">
        <v>22840.949934181201</v>
      </c>
      <c r="AB649" s="6">
        <v>43.234999137039999</v>
      </c>
      <c r="AC649" s="6">
        <v>56305.402241093499</v>
      </c>
      <c r="AD649" s="6">
        <v>1127.6718893315899</v>
      </c>
      <c r="AE649" s="6">
        <v>0</v>
      </c>
      <c r="AF649" s="6">
        <v>0</v>
      </c>
      <c r="AG649" s="6">
        <v>0</v>
      </c>
      <c r="AH649" s="6">
        <v>0</v>
      </c>
      <c r="AI649" s="6">
        <v>0</v>
      </c>
      <c r="AJ649" s="6">
        <v>921545.58967585699</v>
      </c>
      <c r="AK649" s="6">
        <v>7326.30209637198</v>
      </c>
      <c r="AL649" s="6">
        <v>330.98244656580999</v>
      </c>
      <c r="AM649" s="6">
        <v>93035.839999999997</v>
      </c>
      <c r="AN649" s="6">
        <v>6467.2922246669395</v>
      </c>
      <c r="AO649" s="6">
        <v>20296.719423381099</v>
      </c>
      <c r="AP649" s="6">
        <v>330.98244656580999</v>
      </c>
      <c r="AQ649" s="6">
        <v>93035.839999999997</v>
      </c>
      <c r="AR649" s="6">
        <v>7326.30209637198</v>
      </c>
      <c r="AS649" s="6">
        <v>14908.401500574601</v>
      </c>
      <c r="AT649" s="6">
        <v>0</v>
      </c>
      <c r="AU649" t="s">
        <v>2973</v>
      </c>
      <c r="AV649" t="s">
        <v>2973</v>
      </c>
    </row>
    <row r="650" spans="1:48" x14ac:dyDescent="0.45">
      <c r="A650" s="5" t="s">
        <v>1329</v>
      </c>
      <c r="B650">
        <v>2097</v>
      </c>
      <c r="C650" t="s">
        <v>1310</v>
      </c>
      <c r="D650">
        <v>620</v>
      </c>
      <c r="E650" t="s">
        <v>1330</v>
      </c>
      <c r="F650" t="s">
        <v>2739</v>
      </c>
      <c r="G650" t="s">
        <v>2740</v>
      </c>
      <c r="H650" t="s">
        <v>2741</v>
      </c>
      <c r="I650" t="s">
        <v>2742</v>
      </c>
      <c r="J650">
        <v>550.75739644965495</v>
      </c>
      <c r="K650">
        <v>1</v>
      </c>
      <c r="L650">
        <v>1</v>
      </c>
      <c r="M650">
        <v>3</v>
      </c>
      <c r="N650" s="6">
        <v>3605486.53985014</v>
      </c>
      <c r="O650" s="6">
        <v>1400431.8087661699</v>
      </c>
      <c r="P650" s="6">
        <v>1325196.4040643501</v>
      </c>
      <c r="Q650" s="6">
        <v>244112.779794439</v>
      </c>
      <c r="R650" s="6">
        <v>324018.45360958698</v>
      </c>
      <c r="S650" s="6">
        <v>251472.441651976</v>
      </c>
      <c r="T650" s="6">
        <v>3588809.4</v>
      </c>
      <c r="U650" s="6">
        <v>3310436.5860846802</v>
      </c>
      <c r="V650" s="6">
        <v>5461383.3148648096</v>
      </c>
      <c r="W650" s="6">
        <v>1336075.6095374699</v>
      </c>
      <c r="X650" s="6">
        <v>0</v>
      </c>
      <c r="Y650" s="6">
        <v>0</v>
      </c>
      <c r="Z650" s="6">
        <v>0</v>
      </c>
      <c r="AA650" s="6">
        <v>100009.78593894</v>
      </c>
      <c r="AB650" s="6">
        <v>1777.2757434662501</v>
      </c>
      <c r="AC650" s="6">
        <v>246534.89638409499</v>
      </c>
      <c r="AD650" s="6">
        <v>4937.5452678805405</v>
      </c>
      <c r="AE650" s="6">
        <v>0</v>
      </c>
      <c r="AF650" s="6">
        <v>0</v>
      </c>
      <c r="AG650" s="6">
        <v>0</v>
      </c>
      <c r="AH650" s="6">
        <v>0</v>
      </c>
      <c r="AI650" s="6">
        <v>0</v>
      </c>
      <c r="AJ650" s="6">
        <v>7150718.4277366502</v>
      </c>
      <c r="AK650" s="6">
        <v>12983.426956827599</v>
      </c>
      <c r="AL650" s="6">
        <v>330.98244656580999</v>
      </c>
      <c r="AM650" s="6">
        <v>93035.839999999997</v>
      </c>
      <c r="AN650" s="6">
        <v>6467.2922246669395</v>
      </c>
      <c r="AO650" s="6">
        <v>20296.719423381099</v>
      </c>
      <c r="AP650" s="6">
        <v>330.98244656580999</v>
      </c>
      <c r="AQ650" s="6">
        <v>93035.839999999997</v>
      </c>
      <c r="AR650" s="6">
        <v>7326.30209637198</v>
      </c>
      <c r="AS650" s="6">
        <v>14908.401500574601</v>
      </c>
      <c r="AT650" s="6">
        <v>0</v>
      </c>
      <c r="AU650" t="s">
        <v>2973</v>
      </c>
      <c r="AV650" t="s">
        <v>2973</v>
      </c>
    </row>
    <row r="651" spans="1:48" x14ac:dyDescent="0.45">
      <c r="A651" s="5" t="s">
        <v>1331</v>
      </c>
      <c r="B651">
        <v>2097</v>
      </c>
      <c r="C651" t="s">
        <v>1310</v>
      </c>
      <c r="D651">
        <v>628</v>
      </c>
      <c r="E651" t="s">
        <v>1332</v>
      </c>
      <c r="F651" t="s">
        <v>2739</v>
      </c>
      <c r="G651" t="s">
        <v>2744</v>
      </c>
      <c r="H651" t="s">
        <v>2745</v>
      </c>
      <c r="I651" t="s">
        <v>2742</v>
      </c>
      <c r="J651">
        <v>453.974127177691</v>
      </c>
      <c r="K651">
        <v>1</v>
      </c>
      <c r="L651">
        <v>1</v>
      </c>
      <c r="M651">
        <v>3</v>
      </c>
      <c r="N651" s="6">
        <v>3655415.67956432</v>
      </c>
      <c r="O651" s="6">
        <v>2144439.91463573</v>
      </c>
      <c r="P651" s="6">
        <v>1339453.8634786899</v>
      </c>
      <c r="Q651" s="6">
        <v>200555.18741331701</v>
      </c>
      <c r="R651" s="6">
        <v>274081.22196426702</v>
      </c>
      <c r="S651" s="6">
        <v>207281.79583991101</v>
      </c>
      <c r="T651" s="6">
        <v>4885244.32</v>
      </c>
      <c r="U651" s="6">
        <v>2728701.5470563299</v>
      </c>
      <c r="V651" s="6">
        <v>6184969.1276275003</v>
      </c>
      <c r="W651" s="6">
        <v>1343136.5525241001</v>
      </c>
      <c r="X651" s="6">
        <v>0</v>
      </c>
      <c r="Y651" s="6">
        <v>0</v>
      </c>
      <c r="Z651" s="6">
        <v>0</v>
      </c>
      <c r="AA651" s="6">
        <v>82435.307403099199</v>
      </c>
      <c r="AB651" s="6">
        <v>3404.87950162778</v>
      </c>
      <c r="AC651" s="6">
        <v>203211.91349636801</v>
      </c>
      <c r="AD651" s="6">
        <v>4069.8823435434401</v>
      </c>
      <c r="AE651" s="6">
        <v>0</v>
      </c>
      <c r="AF651" s="6">
        <v>0</v>
      </c>
      <c r="AG651" s="6">
        <v>0</v>
      </c>
      <c r="AH651" s="6">
        <v>0</v>
      </c>
      <c r="AI651" s="6">
        <v>0</v>
      </c>
      <c r="AJ651" s="6">
        <v>7821227.6628962401</v>
      </c>
      <c r="AK651" s="6">
        <v>17228.355526602401</v>
      </c>
      <c r="AL651" s="6">
        <v>330.98244656580999</v>
      </c>
      <c r="AM651" s="6">
        <v>93035.839999999997</v>
      </c>
      <c r="AN651" s="6">
        <v>6467.2922246669395</v>
      </c>
      <c r="AO651" s="6">
        <v>20296.719423381099</v>
      </c>
      <c r="AP651" s="6">
        <v>330.98244656580999</v>
      </c>
      <c r="AQ651" s="6">
        <v>40734.411818744898</v>
      </c>
      <c r="AR651" s="6">
        <v>6476.0654383569799</v>
      </c>
      <c r="AS651" s="6">
        <v>20296.719423381099</v>
      </c>
      <c r="AT651" s="6">
        <v>0</v>
      </c>
      <c r="AU651" t="s">
        <v>2973</v>
      </c>
      <c r="AV651" t="s">
        <v>2973</v>
      </c>
    </row>
    <row r="652" spans="1:48" x14ac:dyDescent="0.45">
      <c r="A652" s="5" t="s">
        <v>2764</v>
      </c>
      <c r="B652">
        <v>2097</v>
      </c>
      <c r="C652" t="s">
        <v>1310</v>
      </c>
      <c r="D652">
        <v>621</v>
      </c>
      <c r="E652" t="s">
        <v>2765</v>
      </c>
      <c r="F652" t="s">
        <v>2739</v>
      </c>
      <c r="G652" t="s">
        <v>2747</v>
      </c>
      <c r="H652" t="s">
        <v>2745</v>
      </c>
      <c r="I652" t="s">
        <v>2742</v>
      </c>
      <c r="J652">
        <v>255.94994838068499</v>
      </c>
      <c r="K652">
        <v>1</v>
      </c>
      <c r="L652">
        <v>1</v>
      </c>
      <c r="M652">
        <v>3</v>
      </c>
      <c r="N652" s="6">
        <v>403106.86471319798</v>
      </c>
      <c r="O652" s="6">
        <v>326764.67247347097</v>
      </c>
      <c r="P652" s="6">
        <v>545686.98378777597</v>
      </c>
      <c r="Q652" s="6">
        <v>113072.72109325499</v>
      </c>
      <c r="R652" s="6">
        <v>149806.69592077099</v>
      </c>
      <c r="S652" s="6">
        <v>116865.173077837</v>
      </c>
      <c r="T652" s="6">
        <v>0</v>
      </c>
      <c r="U652" s="6">
        <v>1538437.9379884701</v>
      </c>
      <c r="V652" s="6">
        <v>1090682.1645975001</v>
      </c>
      <c r="W652" s="6">
        <v>401190.89290235197</v>
      </c>
      <c r="X652" s="6">
        <v>0</v>
      </c>
      <c r="Y652" s="6">
        <v>0</v>
      </c>
      <c r="Z652" s="6">
        <v>0</v>
      </c>
      <c r="AA652" s="6">
        <v>46476.9056460141</v>
      </c>
      <c r="AB652" s="6">
        <v>87.974842608915793</v>
      </c>
      <c r="AC652" s="6">
        <v>114570.579369995</v>
      </c>
      <c r="AD652" s="6">
        <v>2294.5937078429101</v>
      </c>
      <c r="AE652" s="6">
        <v>0</v>
      </c>
      <c r="AF652" s="6">
        <v>0</v>
      </c>
      <c r="AG652" s="6">
        <v>0</v>
      </c>
      <c r="AH652" s="6">
        <v>0</v>
      </c>
      <c r="AI652" s="6">
        <v>0</v>
      </c>
      <c r="AJ652" s="6">
        <v>1655303.11106631</v>
      </c>
      <c r="AK652" s="6">
        <v>6467.2922246669496</v>
      </c>
      <c r="AL652" s="6">
        <v>330.98244656580999</v>
      </c>
      <c r="AM652" s="6">
        <v>93035.839999999997</v>
      </c>
      <c r="AN652" s="6">
        <v>6467.2922246669395</v>
      </c>
      <c r="AO652" s="6">
        <v>20296.719423381099</v>
      </c>
      <c r="AP652" s="6">
        <v>3753.1860850462999</v>
      </c>
      <c r="AQ652" s="6">
        <v>20687.885194392002</v>
      </c>
      <c r="AR652" s="6">
        <v>6467.2922246669395</v>
      </c>
      <c r="AS652" s="6">
        <v>12433.855178522699</v>
      </c>
      <c r="AT652" s="6">
        <v>0</v>
      </c>
      <c r="AU652" t="s">
        <v>2973</v>
      </c>
      <c r="AV652" t="s">
        <v>2976</v>
      </c>
    </row>
    <row r="653" spans="1:48" x14ac:dyDescent="0.45">
      <c r="A653" s="5" t="s">
        <v>1333</v>
      </c>
      <c r="B653">
        <v>2097</v>
      </c>
      <c r="C653" t="s">
        <v>1310</v>
      </c>
      <c r="D653">
        <v>611</v>
      </c>
      <c r="E653" t="s">
        <v>1334</v>
      </c>
      <c r="F653" t="s">
        <v>2739</v>
      </c>
      <c r="G653" t="s">
        <v>2740</v>
      </c>
      <c r="H653" t="s">
        <v>2741</v>
      </c>
      <c r="I653" t="s">
        <v>2742</v>
      </c>
      <c r="J653">
        <v>432.39398565346102</v>
      </c>
      <c r="K653">
        <v>1</v>
      </c>
      <c r="L653">
        <v>1</v>
      </c>
      <c r="M653">
        <v>3</v>
      </c>
      <c r="N653" s="6">
        <v>2814349.36268871</v>
      </c>
      <c r="O653" s="6">
        <v>1167478.55666836</v>
      </c>
      <c r="P653" s="6">
        <v>1100143.6189347401</v>
      </c>
      <c r="Q653" s="6">
        <v>191158.183913257</v>
      </c>
      <c r="R653" s="6">
        <v>284893.14332883002</v>
      </c>
      <c r="S653" s="6">
        <v>197428.43587547701</v>
      </c>
      <c r="T653" s="6">
        <v>2959033.04</v>
      </c>
      <c r="U653" s="6">
        <v>2598989.8255338999</v>
      </c>
      <c r="V653" s="6">
        <v>4457321.4871552903</v>
      </c>
      <c r="W653" s="6">
        <v>1021782.83872789</v>
      </c>
      <c r="X653" s="6">
        <v>0</v>
      </c>
      <c r="Y653" s="6">
        <v>0</v>
      </c>
      <c r="Z653" s="6">
        <v>0</v>
      </c>
      <c r="AA653" s="6">
        <v>78516.657652260095</v>
      </c>
      <c r="AB653" s="6">
        <v>401.88199845544301</v>
      </c>
      <c r="AC653" s="6">
        <v>193552.01970478901</v>
      </c>
      <c r="AD653" s="6">
        <v>3876.4161706876098</v>
      </c>
      <c r="AE653" s="6">
        <v>0</v>
      </c>
      <c r="AF653" s="6">
        <v>0</v>
      </c>
      <c r="AG653" s="6">
        <v>0</v>
      </c>
      <c r="AH653" s="6">
        <v>0</v>
      </c>
      <c r="AI653" s="6">
        <v>0</v>
      </c>
      <c r="AJ653" s="6">
        <v>5755451.3014093703</v>
      </c>
      <c r="AK653" s="6">
        <v>13310.6645614216</v>
      </c>
      <c r="AL653" s="6">
        <v>330.98244656580999</v>
      </c>
      <c r="AM653" s="6">
        <v>93035.839999999997</v>
      </c>
      <c r="AN653" s="6">
        <v>6467.2922246669395</v>
      </c>
      <c r="AO653" s="6">
        <v>20296.719423381099</v>
      </c>
      <c r="AP653" s="6">
        <v>330.98244656580999</v>
      </c>
      <c r="AQ653" s="6">
        <v>93035.839999999997</v>
      </c>
      <c r="AR653" s="6">
        <v>7326.30209637198</v>
      </c>
      <c r="AS653" s="6">
        <v>14908.401500574601</v>
      </c>
      <c r="AT653" s="6">
        <v>0</v>
      </c>
      <c r="AU653" t="s">
        <v>2973</v>
      </c>
      <c r="AV653" t="s">
        <v>2973</v>
      </c>
    </row>
    <row r="654" spans="1:48" x14ac:dyDescent="0.45">
      <c r="A654" s="5" t="s">
        <v>2766</v>
      </c>
      <c r="B654">
        <v>2097</v>
      </c>
      <c r="C654" t="s">
        <v>1310</v>
      </c>
      <c r="D654">
        <v>622</v>
      </c>
      <c r="E654" t="s">
        <v>2767</v>
      </c>
      <c r="F654" t="s">
        <v>2739</v>
      </c>
      <c r="G654" t="s">
        <v>2747</v>
      </c>
      <c r="H654" t="s">
        <v>2745</v>
      </c>
      <c r="I654" t="s">
        <v>2742</v>
      </c>
      <c r="J654">
        <v>113.423552594952</v>
      </c>
      <c r="K654">
        <v>1</v>
      </c>
      <c r="L654">
        <v>1</v>
      </c>
      <c r="M654">
        <v>3</v>
      </c>
      <c r="N654" s="6">
        <v>178635.75656276199</v>
      </c>
      <c r="O654" s="6">
        <v>144804.913026753</v>
      </c>
      <c r="P654" s="6">
        <v>241819.76475328801</v>
      </c>
      <c r="Q654" s="6">
        <v>50107.8816741931</v>
      </c>
      <c r="R654" s="6">
        <v>66386.446886768594</v>
      </c>
      <c r="S654" s="6">
        <v>51788.496887669397</v>
      </c>
      <c r="T654" s="6">
        <v>0</v>
      </c>
      <c r="U654" s="6">
        <v>681754.76290376496</v>
      </c>
      <c r="V654" s="6">
        <v>483332.958819755</v>
      </c>
      <c r="W654" s="6">
        <v>177786.698647991</v>
      </c>
      <c r="X654" s="6">
        <v>0</v>
      </c>
      <c r="Y654" s="6">
        <v>0</v>
      </c>
      <c r="Z654" s="6">
        <v>0</v>
      </c>
      <c r="AA654" s="6">
        <v>20596.119613787399</v>
      </c>
      <c r="AB654" s="6">
        <v>38.985822231320199</v>
      </c>
      <c r="AC654" s="6">
        <v>50771.653665968603</v>
      </c>
      <c r="AD654" s="6">
        <v>1016.84322170079</v>
      </c>
      <c r="AE654" s="6">
        <v>0</v>
      </c>
      <c r="AF654" s="6">
        <v>0</v>
      </c>
      <c r="AG654" s="6">
        <v>0</v>
      </c>
      <c r="AH654" s="6">
        <v>0</v>
      </c>
      <c r="AI654" s="6">
        <v>0</v>
      </c>
      <c r="AJ654" s="6">
        <v>733543.25979143404</v>
      </c>
      <c r="AK654" s="6">
        <v>6467.2922246669395</v>
      </c>
      <c r="AL654" s="6">
        <v>330.98244656580999</v>
      </c>
      <c r="AM654" s="6">
        <v>93035.839999999997</v>
      </c>
      <c r="AN654" s="6">
        <v>6467.2922246669395</v>
      </c>
      <c r="AO654" s="6">
        <v>20296.719423381099</v>
      </c>
      <c r="AP654" s="6">
        <v>3753.1860850462999</v>
      </c>
      <c r="AQ654" s="6">
        <v>20687.885194392002</v>
      </c>
      <c r="AR654" s="6">
        <v>6467.2922246669395</v>
      </c>
      <c r="AS654" s="6">
        <v>12433.855178522699</v>
      </c>
      <c r="AT654" s="6">
        <v>0</v>
      </c>
      <c r="AU654" t="s">
        <v>2973</v>
      </c>
      <c r="AV654" t="s">
        <v>2976</v>
      </c>
    </row>
    <row r="655" spans="1:48" x14ac:dyDescent="0.45">
      <c r="A655" s="5" t="s">
        <v>1335</v>
      </c>
      <c r="B655">
        <v>2097</v>
      </c>
      <c r="C655" t="s">
        <v>1310</v>
      </c>
      <c r="D655">
        <v>629</v>
      </c>
      <c r="E655" t="s">
        <v>1336</v>
      </c>
      <c r="F655" t="s">
        <v>2739</v>
      </c>
      <c r="G655" t="s">
        <v>2744</v>
      </c>
      <c r="H655" t="s">
        <v>2745</v>
      </c>
      <c r="I655" t="s">
        <v>2742</v>
      </c>
      <c r="J655">
        <v>190.834568392417</v>
      </c>
      <c r="K655">
        <v>1</v>
      </c>
      <c r="L655">
        <v>1</v>
      </c>
      <c r="M655">
        <v>3</v>
      </c>
      <c r="N655" s="6">
        <v>1818887.3302615499</v>
      </c>
      <c r="O655" s="6">
        <v>1053572.44269999</v>
      </c>
      <c r="P655" s="6">
        <v>608393.93272851699</v>
      </c>
      <c r="Q655" s="6">
        <v>84481.254030549593</v>
      </c>
      <c r="R655" s="6">
        <v>136637.399794675</v>
      </c>
      <c r="S655" s="6">
        <v>87133.890846673195</v>
      </c>
      <c r="T655" s="6">
        <v>2554923.33</v>
      </c>
      <c r="U655" s="6">
        <v>1147049.0295152799</v>
      </c>
      <c r="V655" s="6">
        <v>2945259.2317869598</v>
      </c>
      <c r="W655" s="6">
        <v>720803.35450333799</v>
      </c>
      <c r="X655" s="6">
        <v>0</v>
      </c>
      <c r="Y655" s="6">
        <v>0</v>
      </c>
      <c r="Z655" s="6">
        <v>0</v>
      </c>
      <c r="AA655" s="6">
        <v>34652.869771164696</v>
      </c>
      <c r="AB655" s="6">
        <v>1256.9034538173601</v>
      </c>
      <c r="AC655" s="6">
        <v>85423.057136244504</v>
      </c>
      <c r="AD655" s="6">
        <v>1710.83371042868</v>
      </c>
      <c r="AE655" s="6">
        <v>0</v>
      </c>
      <c r="AF655" s="6">
        <v>0</v>
      </c>
      <c r="AG655" s="6">
        <v>0</v>
      </c>
      <c r="AH655" s="6">
        <v>0</v>
      </c>
      <c r="AI655" s="6">
        <v>0</v>
      </c>
      <c r="AJ655" s="6">
        <v>3789106.2503619501</v>
      </c>
      <c r="AK655" s="6">
        <v>19855.450101526301</v>
      </c>
      <c r="AL655" s="6">
        <v>330.98244656580999</v>
      </c>
      <c r="AM655" s="6">
        <v>93035.839999999997</v>
      </c>
      <c r="AN655" s="6">
        <v>6467.2922246669395</v>
      </c>
      <c r="AO655" s="6">
        <v>20296.719423381099</v>
      </c>
      <c r="AP655" s="6">
        <v>330.98244656580999</v>
      </c>
      <c r="AQ655" s="6">
        <v>40734.411818744898</v>
      </c>
      <c r="AR655" s="6">
        <v>6476.0654383569799</v>
      </c>
      <c r="AS655" s="6">
        <v>20296.719423381099</v>
      </c>
      <c r="AT655" s="6">
        <v>0</v>
      </c>
      <c r="AU655" t="s">
        <v>2973</v>
      </c>
      <c r="AV655" t="s">
        <v>2973</v>
      </c>
    </row>
    <row r="656" spans="1:48" x14ac:dyDescent="0.45">
      <c r="A656" s="5" t="s">
        <v>1337</v>
      </c>
      <c r="B656">
        <v>2097</v>
      </c>
      <c r="C656" t="s">
        <v>1310</v>
      </c>
      <c r="D656">
        <v>630</v>
      </c>
      <c r="E656" t="s">
        <v>1338</v>
      </c>
      <c r="F656" t="s">
        <v>2739</v>
      </c>
      <c r="G656" t="s">
        <v>2744</v>
      </c>
      <c r="H656" t="s">
        <v>2745</v>
      </c>
      <c r="I656" t="s">
        <v>2742</v>
      </c>
      <c r="J656">
        <v>182.36129911689201</v>
      </c>
      <c r="K656">
        <v>1</v>
      </c>
      <c r="L656">
        <v>1</v>
      </c>
      <c r="M656">
        <v>3</v>
      </c>
      <c r="N656" s="6">
        <v>1898649.9946886499</v>
      </c>
      <c r="O656" s="6">
        <v>950083.90919151204</v>
      </c>
      <c r="P656" s="6">
        <v>558518.90655821096</v>
      </c>
      <c r="Q656" s="6">
        <v>80597.971173484693</v>
      </c>
      <c r="R656" s="6">
        <v>130220.29206537901</v>
      </c>
      <c r="S656" s="6">
        <v>83265.048181596299</v>
      </c>
      <c r="T656" s="6">
        <v>2521952.31</v>
      </c>
      <c r="U656" s="6">
        <v>1096118.7636772399</v>
      </c>
      <c r="V656" s="6">
        <v>2819139.8217088999</v>
      </c>
      <c r="W656" s="6">
        <v>762581.52752333297</v>
      </c>
      <c r="X656" s="6">
        <v>0</v>
      </c>
      <c r="Y656" s="6">
        <v>0</v>
      </c>
      <c r="Z656" s="6">
        <v>0</v>
      </c>
      <c r="AA656" s="6">
        <v>33114.243414240598</v>
      </c>
      <c r="AB656" s="6">
        <v>3235.4810307611601</v>
      </c>
      <c r="AC656" s="6">
        <v>81630.177410357399</v>
      </c>
      <c r="AD656" s="6">
        <v>1634.87077123886</v>
      </c>
      <c r="AE656" s="6">
        <v>0</v>
      </c>
      <c r="AF656" s="6">
        <v>0</v>
      </c>
      <c r="AG656" s="6">
        <v>0</v>
      </c>
      <c r="AH656" s="6">
        <v>0</v>
      </c>
      <c r="AI656" s="6">
        <v>0</v>
      </c>
      <c r="AJ656" s="6">
        <v>3701336.1218588399</v>
      </c>
      <c r="AK656" s="6">
        <v>20296.719423381099</v>
      </c>
      <c r="AL656" s="6">
        <v>330.98244656580999</v>
      </c>
      <c r="AM656" s="6">
        <v>93035.839999999997</v>
      </c>
      <c r="AN656" s="6">
        <v>6467.2922246669395</v>
      </c>
      <c r="AO656" s="6">
        <v>20296.719423381099</v>
      </c>
      <c r="AP656" s="6">
        <v>330.98244656580999</v>
      </c>
      <c r="AQ656" s="6">
        <v>40734.411818744898</v>
      </c>
      <c r="AR656" s="6">
        <v>6476.0654383569799</v>
      </c>
      <c r="AS656" s="6">
        <v>20296.719423381099</v>
      </c>
      <c r="AT656" s="6">
        <v>0</v>
      </c>
      <c r="AU656" t="s">
        <v>2973</v>
      </c>
      <c r="AV656" t="s">
        <v>2973</v>
      </c>
    </row>
    <row r="657" spans="1:48" x14ac:dyDescent="0.45">
      <c r="A657" s="5" t="s">
        <v>2768</v>
      </c>
      <c r="B657">
        <v>2097</v>
      </c>
      <c r="C657" t="s">
        <v>1310</v>
      </c>
      <c r="D657">
        <v>624</v>
      </c>
      <c r="E657" t="s">
        <v>2769</v>
      </c>
      <c r="F657" t="s">
        <v>2739</v>
      </c>
      <c r="G657" t="s">
        <v>2747</v>
      </c>
      <c r="H657" t="s">
        <v>2745</v>
      </c>
      <c r="I657" t="s">
        <v>2742</v>
      </c>
      <c r="J657">
        <v>78.706042213515602</v>
      </c>
      <c r="K657">
        <v>1</v>
      </c>
      <c r="L657">
        <v>1</v>
      </c>
      <c r="M657">
        <v>3</v>
      </c>
      <c r="N657" s="6">
        <v>123957.617930386</v>
      </c>
      <c r="O657" s="6">
        <v>100481.966369966</v>
      </c>
      <c r="P657" s="6">
        <v>167801.802864547</v>
      </c>
      <c r="Q657" s="6">
        <v>34770.494840367101</v>
      </c>
      <c r="R657" s="6">
        <v>46066.397776610102</v>
      </c>
      <c r="S657" s="6">
        <v>35936.695059901002</v>
      </c>
      <c r="T657" s="6">
        <v>0</v>
      </c>
      <c r="U657" s="6">
        <v>473078.27978187503</v>
      </c>
      <c r="V657" s="6">
        <v>335390.87243987498</v>
      </c>
      <c r="W657" s="6">
        <v>123368.44587085499</v>
      </c>
      <c r="X657" s="6">
        <v>0</v>
      </c>
      <c r="Y657" s="6">
        <v>0</v>
      </c>
      <c r="Z657" s="6">
        <v>0</v>
      </c>
      <c r="AA657" s="6">
        <v>14291.9087144649</v>
      </c>
      <c r="AB657" s="6">
        <v>27.052756681185699</v>
      </c>
      <c r="AC657" s="6">
        <v>35231.094647105703</v>
      </c>
      <c r="AD657" s="6">
        <v>705.60041279531504</v>
      </c>
      <c r="AE657" s="6">
        <v>0</v>
      </c>
      <c r="AF657" s="6">
        <v>0</v>
      </c>
      <c r="AG657" s="6">
        <v>0</v>
      </c>
      <c r="AH657" s="6">
        <v>0</v>
      </c>
      <c r="AI657" s="6">
        <v>0</v>
      </c>
      <c r="AJ657" s="6">
        <v>509014.97484177601</v>
      </c>
      <c r="AK657" s="6">
        <v>6467.2922246669395</v>
      </c>
      <c r="AL657" s="6">
        <v>330.98244656580999</v>
      </c>
      <c r="AM657" s="6">
        <v>93035.839999999997</v>
      </c>
      <c r="AN657" s="6">
        <v>6467.2922246669395</v>
      </c>
      <c r="AO657" s="6">
        <v>20296.719423381099</v>
      </c>
      <c r="AP657" s="6">
        <v>3753.1860850462999</v>
      </c>
      <c r="AQ657" s="6">
        <v>20687.885194392002</v>
      </c>
      <c r="AR657" s="6">
        <v>6467.2922246669395</v>
      </c>
      <c r="AS657" s="6">
        <v>12433.855178522699</v>
      </c>
      <c r="AT657" s="6">
        <v>0</v>
      </c>
      <c r="AU657" t="s">
        <v>2973</v>
      </c>
      <c r="AV657" t="s">
        <v>2976</v>
      </c>
    </row>
    <row r="658" spans="1:48" x14ac:dyDescent="0.45">
      <c r="A658" s="5" t="s">
        <v>1339</v>
      </c>
      <c r="B658">
        <v>2097</v>
      </c>
      <c r="C658" t="s">
        <v>1310</v>
      </c>
      <c r="D658">
        <v>618</v>
      </c>
      <c r="E658" t="s">
        <v>1340</v>
      </c>
      <c r="F658" t="s">
        <v>2739</v>
      </c>
      <c r="G658" t="s">
        <v>2740</v>
      </c>
      <c r="H658" t="s">
        <v>2741</v>
      </c>
      <c r="I658" t="s">
        <v>2742</v>
      </c>
      <c r="J658">
        <v>444.430032323251</v>
      </c>
      <c r="K658">
        <v>3</v>
      </c>
      <c r="L658">
        <v>1</v>
      </c>
      <c r="M658">
        <v>3</v>
      </c>
      <c r="N658" s="6">
        <v>3064106.4535486498</v>
      </c>
      <c r="O658" s="6">
        <v>1168328.69583467</v>
      </c>
      <c r="P658" s="6">
        <v>1045585.19008757</v>
      </c>
      <c r="Q658" s="6">
        <v>196478.82877604701</v>
      </c>
      <c r="R658" s="6">
        <v>261822.11340771301</v>
      </c>
      <c r="S658" s="6">
        <v>202924.02079798601</v>
      </c>
      <c r="T658" s="6">
        <v>3064986.41</v>
      </c>
      <c r="U658" s="6">
        <v>2671334.8716546502</v>
      </c>
      <c r="V658" s="6">
        <v>4728758.7074249703</v>
      </c>
      <c r="W658" s="6">
        <v>925817.02101082902</v>
      </c>
      <c r="X658" s="6">
        <v>0</v>
      </c>
      <c r="Y658" s="6">
        <v>0</v>
      </c>
      <c r="Z658" s="6">
        <v>0</v>
      </c>
      <c r="AA658" s="6">
        <v>80702.234203308399</v>
      </c>
      <c r="AB658" s="6">
        <v>1043.3190155484599</v>
      </c>
      <c r="AC658" s="6">
        <v>198939.701355075</v>
      </c>
      <c r="AD658" s="6">
        <v>3984.3194429114701</v>
      </c>
      <c r="AE658" s="6">
        <v>0</v>
      </c>
      <c r="AF658" s="6">
        <v>0</v>
      </c>
      <c r="AG658" s="6">
        <v>0</v>
      </c>
      <c r="AH658" s="6">
        <v>0</v>
      </c>
      <c r="AI658" s="6">
        <v>0</v>
      </c>
      <c r="AJ658" s="6">
        <v>5939245.3024526499</v>
      </c>
      <c r="AK658" s="6">
        <v>13363.7352800065</v>
      </c>
      <c r="AL658" s="6">
        <v>330.98244656580999</v>
      </c>
      <c r="AM658" s="6">
        <v>93035.839999999997</v>
      </c>
      <c r="AN658" s="6">
        <v>6467.2922246669395</v>
      </c>
      <c r="AO658" s="6">
        <v>20296.719423381099</v>
      </c>
      <c r="AP658" s="6">
        <v>330.98244656580999</v>
      </c>
      <c r="AQ658" s="6">
        <v>93035.839999999997</v>
      </c>
      <c r="AR658" s="6">
        <v>7326.30209637198</v>
      </c>
      <c r="AS658" s="6">
        <v>14908.401500574601</v>
      </c>
      <c r="AT658" s="6">
        <v>0</v>
      </c>
      <c r="AU658" t="s">
        <v>2973</v>
      </c>
      <c r="AV658" t="s">
        <v>2973</v>
      </c>
    </row>
    <row r="659" spans="1:48" x14ac:dyDescent="0.45">
      <c r="A659" s="5" t="s">
        <v>1343</v>
      </c>
      <c r="B659">
        <v>2012</v>
      </c>
      <c r="C659" t="s">
        <v>1344</v>
      </c>
      <c r="D659">
        <v>3366</v>
      </c>
      <c r="E659" t="s">
        <v>1345</v>
      </c>
      <c r="F659" t="s">
        <v>2739</v>
      </c>
      <c r="G659" t="s">
        <v>2748</v>
      </c>
      <c r="H659" t="s">
        <v>2745</v>
      </c>
      <c r="I659" t="s">
        <v>2742</v>
      </c>
      <c r="J659">
        <v>34.125874125868002</v>
      </c>
      <c r="K659">
        <v>1</v>
      </c>
      <c r="L659">
        <v>1</v>
      </c>
      <c r="M659">
        <v>4</v>
      </c>
      <c r="N659" s="6">
        <v>492169.12689229503</v>
      </c>
      <c r="O659" s="6">
        <v>110219.304632689</v>
      </c>
      <c r="P659" s="6">
        <v>398670.58284491103</v>
      </c>
      <c r="Q659" s="6">
        <v>141477.33036034199</v>
      </c>
      <c r="R659" s="6">
        <v>153959.52650806299</v>
      </c>
      <c r="S659" s="6">
        <v>148976.68469042299</v>
      </c>
      <c r="T659" s="6">
        <v>624627.41</v>
      </c>
      <c r="U659" s="6">
        <v>671868.46123829996</v>
      </c>
      <c r="V659" s="6">
        <v>1090481.5077722401</v>
      </c>
      <c r="W659" s="6">
        <v>206014.36346605601</v>
      </c>
      <c r="X659" s="6">
        <v>0</v>
      </c>
      <c r="Y659" s="6">
        <v>0</v>
      </c>
      <c r="Z659" s="6">
        <v>0</v>
      </c>
      <c r="AA659" s="6">
        <v>0</v>
      </c>
      <c r="AB659" s="6">
        <v>0</v>
      </c>
      <c r="AC659" s="6">
        <v>138500.170893887</v>
      </c>
      <c r="AD659" s="6">
        <v>10476.513796535901</v>
      </c>
      <c r="AE659" s="6">
        <v>0</v>
      </c>
      <c r="AF659" s="6">
        <v>0</v>
      </c>
      <c r="AG659" s="6">
        <v>0</v>
      </c>
      <c r="AH659" s="6">
        <v>0</v>
      </c>
      <c r="AI659" s="6">
        <v>0</v>
      </c>
      <c r="AJ659" s="6">
        <v>1445472.5559287199</v>
      </c>
      <c r="AK659" s="6">
        <v>42357.085143000899</v>
      </c>
      <c r="AL659" s="6">
        <v>330.98244656580999</v>
      </c>
      <c r="AM659" s="6">
        <v>93035.839999999997</v>
      </c>
      <c r="AN659" s="6">
        <v>24053.454071276399</v>
      </c>
      <c r="AO659" s="6">
        <v>42357.085143000899</v>
      </c>
      <c r="AP659" s="6">
        <v>330.98244656580999</v>
      </c>
      <c r="AQ659" s="6">
        <v>56162.493707719797</v>
      </c>
      <c r="AR659" s="6">
        <v>42357.085143000899</v>
      </c>
      <c r="AS659" s="6">
        <v>42357.085143000899</v>
      </c>
      <c r="AT659" s="6">
        <v>0</v>
      </c>
      <c r="AU659" t="s">
        <v>2973</v>
      </c>
      <c r="AV659" t="s">
        <v>2973</v>
      </c>
    </row>
    <row r="660" spans="1:48" x14ac:dyDescent="0.45">
      <c r="A660" s="5" t="s">
        <v>2947</v>
      </c>
      <c r="B660">
        <v>2012</v>
      </c>
      <c r="C660" t="s">
        <v>1344</v>
      </c>
      <c r="D660">
        <v>2012</v>
      </c>
      <c r="E660" t="s">
        <v>1344</v>
      </c>
      <c r="F660" t="s">
        <v>1</v>
      </c>
      <c r="G660" t="s">
        <v>1</v>
      </c>
      <c r="H660" t="s">
        <v>2743</v>
      </c>
      <c r="I660" t="s">
        <v>2742</v>
      </c>
      <c r="J660">
        <v>1</v>
      </c>
      <c r="K660">
        <v>0</v>
      </c>
      <c r="L660">
        <v>0</v>
      </c>
      <c r="M660">
        <v>4</v>
      </c>
      <c r="N660" s="6">
        <v>192.583107704593</v>
      </c>
      <c r="O660" s="6">
        <v>2354.0353673107802</v>
      </c>
      <c r="P660" s="6">
        <v>11018.0671550885</v>
      </c>
      <c r="Q660" s="6">
        <v>4145.7496396583001</v>
      </c>
      <c r="R660" s="6">
        <v>1977.51349193743</v>
      </c>
      <c r="S660" s="6">
        <v>4365.5053095767098</v>
      </c>
      <c r="T660" s="6">
        <v>0</v>
      </c>
      <c r="U660" s="6">
        <v>19687.948761699601</v>
      </c>
      <c r="V660" s="6">
        <v>17761.1722277554</v>
      </c>
      <c r="W660" s="6">
        <v>1926.7765339441901</v>
      </c>
      <c r="X660" s="6">
        <v>0</v>
      </c>
      <c r="Y660" s="6">
        <v>0</v>
      </c>
      <c r="Z660" s="6">
        <v>0</v>
      </c>
      <c r="AA660" s="6">
        <v>0</v>
      </c>
      <c r="AB660" s="6">
        <v>0</v>
      </c>
      <c r="AC660" s="6">
        <v>4058.50910611259</v>
      </c>
      <c r="AD660" s="6">
        <v>306.99620346411899</v>
      </c>
      <c r="AE660" s="6">
        <v>0</v>
      </c>
      <c r="AF660" s="6">
        <v>0</v>
      </c>
      <c r="AG660" s="6">
        <v>0</v>
      </c>
      <c r="AH660" s="6">
        <v>0</v>
      </c>
      <c r="AI660" s="6">
        <v>0</v>
      </c>
      <c r="AJ660" s="6">
        <v>24053.454071276301</v>
      </c>
      <c r="AK660" s="6">
        <v>24053.454071276399</v>
      </c>
      <c r="AL660" s="6">
        <v>330.98244656580999</v>
      </c>
      <c r="AM660" s="6">
        <v>93035.839999999997</v>
      </c>
      <c r="AN660" s="6">
        <v>24053.454071276399</v>
      </c>
      <c r="AO660" s="6">
        <v>42357.085143000899</v>
      </c>
      <c r="AP660" s="6">
        <v>634.54287297753501</v>
      </c>
      <c r="AQ660" s="6">
        <v>40331.279999999999</v>
      </c>
      <c r="AR660" s="6">
        <v>24053.454071276399</v>
      </c>
      <c r="AS660" s="6">
        <v>24053.454071276399</v>
      </c>
      <c r="AT660" s="6">
        <v>0</v>
      </c>
      <c r="AU660" t="s">
        <v>2973</v>
      </c>
      <c r="AV660" t="s">
        <v>2977</v>
      </c>
    </row>
    <row r="661" spans="1:48" x14ac:dyDescent="0.45">
      <c r="A661" s="5" t="s">
        <v>2770</v>
      </c>
      <c r="B661">
        <v>2092</v>
      </c>
      <c r="C661" t="s">
        <v>1347</v>
      </c>
      <c r="D661">
        <v>5349</v>
      </c>
      <c r="E661" t="s">
        <v>2771</v>
      </c>
      <c r="F661" t="s">
        <v>3</v>
      </c>
      <c r="G661" t="s">
        <v>2748</v>
      </c>
      <c r="H661" t="s">
        <v>2741</v>
      </c>
      <c r="I661" t="s">
        <v>2742</v>
      </c>
      <c r="J661">
        <v>364.051790819394</v>
      </c>
      <c r="K661">
        <v>1</v>
      </c>
      <c r="L661">
        <v>1</v>
      </c>
      <c r="M661">
        <v>1</v>
      </c>
      <c r="N661" s="6">
        <v>953085.69935918599</v>
      </c>
      <c r="O661" s="6">
        <v>457356.67608024302</v>
      </c>
      <c r="P661" s="6">
        <v>1031849.90412686</v>
      </c>
      <c r="Q661" s="6">
        <v>285636.33999599097</v>
      </c>
      <c r="R661" s="6">
        <v>686089.16929446498</v>
      </c>
      <c r="S661" s="6">
        <v>164017.85165543799</v>
      </c>
      <c r="T661" s="6">
        <v>0</v>
      </c>
      <c r="U661" s="6">
        <v>3414017.7888567499</v>
      </c>
      <c r="V661" s="6">
        <v>2676522.5422320198</v>
      </c>
      <c r="W661" s="6">
        <v>714198.93569760304</v>
      </c>
      <c r="X661" s="6">
        <v>0</v>
      </c>
      <c r="Y661" s="6">
        <v>0</v>
      </c>
      <c r="Z661" s="6">
        <v>23296.310927124199</v>
      </c>
      <c r="AA661" s="6">
        <v>0</v>
      </c>
      <c r="AB661" s="6">
        <v>0</v>
      </c>
      <c r="AC661" s="6">
        <v>116555.70701977301</v>
      </c>
      <c r="AD661" s="6">
        <v>47462.144635664103</v>
      </c>
      <c r="AE661" s="6">
        <v>0</v>
      </c>
      <c r="AF661" s="6">
        <v>0</v>
      </c>
      <c r="AG661" s="6">
        <v>0</v>
      </c>
      <c r="AH661" s="6">
        <v>0</v>
      </c>
      <c r="AI661" s="6">
        <v>0</v>
      </c>
      <c r="AJ661" s="6">
        <v>3578035.64051218</v>
      </c>
      <c r="AK661" s="6">
        <v>9828.3698384201907</v>
      </c>
      <c r="AL661" s="6">
        <v>330.98244656580999</v>
      </c>
      <c r="AM661" s="6">
        <v>93035.839999999997</v>
      </c>
      <c r="AN661" s="6">
        <v>9828.3698384201907</v>
      </c>
      <c r="AO661" s="6">
        <v>9828.3698384201907</v>
      </c>
      <c r="AP661" s="6">
        <v>330.98244656580999</v>
      </c>
      <c r="AQ661" s="6">
        <v>56162.493707719797</v>
      </c>
      <c r="AR661" s="6">
        <v>9828.3698384201907</v>
      </c>
      <c r="AS661" s="6">
        <v>9828.3698384201907</v>
      </c>
      <c r="AT661" s="6">
        <v>0</v>
      </c>
      <c r="AU661" t="s">
        <v>2973</v>
      </c>
      <c r="AV661" t="s">
        <v>2976</v>
      </c>
    </row>
    <row r="662" spans="1:48" x14ac:dyDescent="0.45">
      <c r="A662" s="5" t="s">
        <v>1346</v>
      </c>
      <c r="B662">
        <v>2092</v>
      </c>
      <c r="C662" t="s">
        <v>1347</v>
      </c>
      <c r="D662">
        <v>599</v>
      </c>
      <c r="E662" t="s">
        <v>1348</v>
      </c>
      <c r="F662" t="s">
        <v>2739</v>
      </c>
      <c r="G662" t="s">
        <v>2744</v>
      </c>
      <c r="H662" t="s">
        <v>2745</v>
      </c>
      <c r="I662" t="s">
        <v>2742</v>
      </c>
      <c r="J662">
        <v>188.14122019119301</v>
      </c>
      <c r="K662">
        <v>1</v>
      </c>
      <c r="L662">
        <v>1</v>
      </c>
      <c r="M662">
        <v>1</v>
      </c>
      <c r="N662" s="6">
        <v>492552.73822611797</v>
      </c>
      <c r="O662" s="6">
        <v>236360.993875769</v>
      </c>
      <c r="P662" s="6">
        <v>533257.91800019797</v>
      </c>
      <c r="Q662" s="6">
        <v>147616.275741527</v>
      </c>
      <c r="R662" s="6">
        <v>354569.478096759</v>
      </c>
      <c r="S662" s="6">
        <v>84764.089950325506</v>
      </c>
      <c r="T662" s="6">
        <v>0</v>
      </c>
      <c r="U662" s="6">
        <v>1764357.4039403701</v>
      </c>
      <c r="V662" s="6">
        <v>1383221.3703203199</v>
      </c>
      <c r="W662" s="6">
        <v>369096.54782624001</v>
      </c>
      <c r="X662" s="6">
        <v>0</v>
      </c>
      <c r="Y662" s="6">
        <v>0</v>
      </c>
      <c r="Z662" s="6">
        <v>12039.485793813899</v>
      </c>
      <c r="AA662" s="6">
        <v>0</v>
      </c>
      <c r="AB662" s="6">
        <v>0</v>
      </c>
      <c r="AC662" s="6">
        <v>60235.750769390899</v>
      </c>
      <c r="AD662" s="6">
        <v>24528.339180934599</v>
      </c>
      <c r="AE662" s="6">
        <v>0</v>
      </c>
      <c r="AF662" s="6">
        <v>0</v>
      </c>
      <c r="AG662" s="6">
        <v>0</v>
      </c>
      <c r="AH662" s="6">
        <v>0</v>
      </c>
      <c r="AI662" s="6">
        <v>0</v>
      </c>
      <c r="AJ662" s="6">
        <v>1849121.4938906999</v>
      </c>
      <c r="AK662" s="6">
        <v>9828.3698384201907</v>
      </c>
      <c r="AL662" s="6">
        <v>330.98244656580999</v>
      </c>
      <c r="AM662" s="6">
        <v>93035.839999999997</v>
      </c>
      <c r="AN662" s="6">
        <v>9828.3698384201907</v>
      </c>
      <c r="AO662" s="6">
        <v>9828.3698384201907</v>
      </c>
      <c r="AP662" s="6">
        <v>330.98244656580999</v>
      </c>
      <c r="AQ662" s="6">
        <v>40734.411818744898</v>
      </c>
      <c r="AR662" s="6">
        <v>9828.3698384201907</v>
      </c>
      <c r="AS662" s="6">
        <v>9828.3698384201907</v>
      </c>
      <c r="AT662" s="6">
        <v>0</v>
      </c>
      <c r="AU662" t="s">
        <v>2973</v>
      </c>
      <c r="AV662" t="s">
        <v>2976</v>
      </c>
    </row>
    <row r="663" spans="1:48" x14ac:dyDescent="0.45">
      <c r="A663" s="5" t="s">
        <v>1349</v>
      </c>
      <c r="B663">
        <v>2092</v>
      </c>
      <c r="C663" t="s">
        <v>1347</v>
      </c>
      <c r="D663">
        <v>2092</v>
      </c>
      <c r="E663" t="s">
        <v>1347</v>
      </c>
      <c r="F663" t="s">
        <v>1</v>
      </c>
      <c r="G663" t="s">
        <v>1</v>
      </c>
      <c r="H663" t="s">
        <v>2743</v>
      </c>
      <c r="I663" t="s">
        <v>2742</v>
      </c>
      <c r="J663">
        <v>10.315668139757999</v>
      </c>
      <c r="K663">
        <v>1</v>
      </c>
      <c r="L663">
        <v>5</v>
      </c>
      <c r="M663">
        <v>1</v>
      </c>
      <c r="N663" s="6">
        <v>27006.365663549401</v>
      </c>
      <c r="O663" s="6">
        <v>12959.5288662847</v>
      </c>
      <c r="P663" s="6">
        <v>29238.205797741601</v>
      </c>
      <c r="Q663" s="6">
        <v>8093.7101982709601</v>
      </c>
      <c r="R663" s="6">
        <v>19440.827825058201</v>
      </c>
      <c r="S663" s="6">
        <v>4647.5632570447397</v>
      </c>
      <c r="T663" s="6">
        <v>0</v>
      </c>
      <c r="U663" s="6">
        <v>96738.638350904803</v>
      </c>
      <c r="V663" s="6">
        <v>75841.182519946204</v>
      </c>
      <c r="W663" s="6">
        <v>20237.3381815881</v>
      </c>
      <c r="X663" s="6">
        <v>0</v>
      </c>
      <c r="Y663" s="6">
        <v>0</v>
      </c>
      <c r="Z663" s="6">
        <v>660.11764937053397</v>
      </c>
      <c r="AA663" s="6">
        <v>0</v>
      </c>
      <c r="AB663" s="6">
        <v>0</v>
      </c>
      <c r="AC663" s="6">
        <v>3302.6894077478401</v>
      </c>
      <c r="AD663" s="6">
        <v>1344.8738492969001</v>
      </c>
      <c r="AE663" s="6">
        <v>0</v>
      </c>
      <c r="AF663" s="6">
        <v>0</v>
      </c>
      <c r="AG663" s="6">
        <v>0</v>
      </c>
      <c r="AH663" s="6">
        <v>0</v>
      </c>
      <c r="AI663" s="6">
        <v>0</v>
      </c>
      <c r="AJ663" s="6">
        <v>101386.20160795</v>
      </c>
      <c r="AK663" s="6">
        <v>9828.3698384201907</v>
      </c>
      <c r="AL663" s="6">
        <v>330.98244656580999</v>
      </c>
      <c r="AM663" s="6">
        <v>93035.839999999997</v>
      </c>
      <c r="AN663" s="6">
        <v>9828.3698384201907</v>
      </c>
      <c r="AO663" s="6">
        <v>9828.3698384201907</v>
      </c>
      <c r="AP663" s="6">
        <v>634.54287297753501</v>
      </c>
      <c r="AQ663" s="6">
        <v>40331.279999999999</v>
      </c>
      <c r="AR663" s="6">
        <v>9828.3698384201907</v>
      </c>
      <c r="AS663" s="6">
        <v>9828.3698384201907</v>
      </c>
      <c r="AT663" s="6">
        <v>0</v>
      </c>
      <c r="AU663" t="s">
        <v>2973</v>
      </c>
      <c r="AV663" t="s">
        <v>2977</v>
      </c>
    </row>
    <row r="664" spans="1:48" x14ac:dyDescent="0.45">
      <c r="A664" s="5" t="s">
        <v>1350</v>
      </c>
      <c r="B664">
        <v>2092</v>
      </c>
      <c r="C664" t="s">
        <v>1347</v>
      </c>
      <c r="D664">
        <v>598</v>
      </c>
      <c r="E664" t="s">
        <v>1351</v>
      </c>
      <c r="F664" t="s">
        <v>2739</v>
      </c>
      <c r="G664" t="s">
        <v>2740</v>
      </c>
      <c r="H664" t="s">
        <v>2741</v>
      </c>
      <c r="I664" t="s">
        <v>2742</v>
      </c>
      <c r="J664">
        <v>156.77102303691601</v>
      </c>
      <c r="K664">
        <v>1</v>
      </c>
      <c r="L664">
        <v>1</v>
      </c>
      <c r="M664">
        <v>1</v>
      </c>
      <c r="N664" s="6">
        <v>410425.72485110897</v>
      </c>
      <c r="O664" s="6">
        <v>196950.752090747</v>
      </c>
      <c r="P664" s="6">
        <v>444343.82461467502</v>
      </c>
      <c r="Q664" s="6">
        <v>123003.106609925</v>
      </c>
      <c r="R664" s="6">
        <v>295449.44888954301</v>
      </c>
      <c r="S664" s="6">
        <v>70630.737298299297</v>
      </c>
      <c r="T664" s="6">
        <v>0</v>
      </c>
      <c r="U664" s="6">
        <v>1470172.857056</v>
      </c>
      <c r="V664" s="6">
        <v>1152586.49375864</v>
      </c>
      <c r="W664" s="6">
        <v>307554.31129505398</v>
      </c>
      <c r="X664" s="6">
        <v>0</v>
      </c>
      <c r="Y664" s="6">
        <v>0</v>
      </c>
      <c r="Z664" s="6">
        <v>10032.052002302</v>
      </c>
      <c r="AA664" s="6">
        <v>0</v>
      </c>
      <c r="AB664" s="6">
        <v>0</v>
      </c>
      <c r="AC664" s="6">
        <v>50192.192130558498</v>
      </c>
      <c r="AD664" s="6">
        <v>20438.545167740798</v>
      </c>
      <c r="AE664" s="6">
        <v>0</v>
      </c>
      <c r="AF664" s="6">
        <v>0</v>
      </c>
      <c r="AG664" s="6">
        <v>0</v>
      </c>
      <c r="AH664" s="6">
        <v>0</v>
      </c>
      <c r="AI664" s="6">
        <v>0</v>
      </c>
      <c r="AJ664" s="6">
        <v>1540803.5943543001</v>
      </c>
      <c r="AK664" s="6">
        <v>9828.3698384201907</v>
      </c>
      <c r="AL664" s="6">
        <v>330.98244656580999</v>
      </c>
      <c r="AM664" s="6">
        <v>93035.839999999997</v>
      </c>
      <c r="AN664" s="6">
        <v>9828.3698384201907</v>
      </c>
      <c r="AO664" s="6">
        <v>9828.3698384201907</v>
      </c>
      <c r="AP664" s="6">
        <v>330.98244656580999</v>
      </c>
      <c r="AQ664" s="6">
        <v>93035.839999999997</v>
      </c>
      <c r="AR664" s="6">
        <v>9828.3698384201907</v>
      </c>
      <c r="AS664" s="6">
        <v>9828.3698384201907</v>
      </c>
      <c r="AT664" s="6">
        <v>0</v>
      </c>
      <c r="AU664" t="s">
        <v>2973</v>
      </c>
      <c r="AV664" t="s">
        <v>2976</v>
      </c>
    </row>
    <row r="665" spans="1:48" x14ac:dyDescent="0.45">
      <c r="A665" s="5" t="s">
        <v>1352</v>
      </c>
      <c r="B665">
        <v>2092</v>
      </c>
      <c r="C665" t="s">
        <v>1347</v>
      </c>
      <c r="D665">
        <v>5252</v>
      </c>
      <c r="E665" t="s">
        <v>1353</v>
      </c>
      <c r="F665" t="s">
        <v>3</v>
      </c>
      <c r="G665" t="s">
        <v>2740</v>
      </c>
      <c r="H665" t="s">
        <v>2741</v>
      </c>
      <c r="I665" t="s">
        <v>2742</v>
      </c>
      <c r="J665">
        <v>147.73957161834699</v>
      </c>
      <c r="K665">
        <v>1</v>
      </c>
      <c r="L665">
        <v>1</v>
      </c>
      <c r="M665">
        <v>1</v>
      </c>
      <c r="N665" s="6">
        <v>386781.43190003902</v>
      </c>
      <c r="O665" s="6">
        <v>185604.57908695599</v>
      </c>
      <c r="P665" s="6">
        <v>418745.53746052698</v>
      </c>
      <c r="Q665" s="6">
        <v>115916.997454287</v>
      </c>
      <c r="R665" s="6">
        <v>278428.84589417599</v>
      </c>
      <c r="S665" s="6">
        <v>66561.757838893202</v>
      </c>
      <c r="T665" s="6">
        <v>0</v>
      </c>
      <c r="U665" s="6">
        <v>1385477.39179598</v>
      </c>
      <c r="V665" s="6">
        <v>1086186.9211690801</v>
      </c>
      <c r="W665" s="6">
        <v>289836.35699951602</v>
      </c>
      <c r="X665" s="6">
        <v>0</v>
      </c>
      <c r="Y665" s="6">
        <v>0</v>
      </c>
      <c r="Z665" s="6">
        <v>9454.1136273893899</v>
      </c>
      <c r="AA665" s="6">
        <v>0</v>
      </c>
      <c r="AB665" s="6">
        <v>0</v>
      </c>
      <c r="AC665" s="6">
        <v>47300.660672529601</v>
      </c>
      <c r="AD665" s="6">
        <v>19261.097166363601</v>
      </c>
      <c r="AE665" s="6">
        <v>0</v>
      </c>
      <c r="AF665" s="6">
        <v>0</v>
      </c>
      <c r="AG665" s="6">
        <v>0</v>
      </c>
      <c r="AH665" s="6">
        <v>0</v>
      </c>
      <c r="AI665" s="6">
        <v>0</v>
      </c>
      <c r="AJ665" s="6">
        <v>1452039.14963488</v>
      </c>
      <c r="AK665" s="6">
        <v>9828.3698384201907</v>
      </c>
      <c r="AL665" s="6">
        <v>330.98244656580999</v>
      </c>
      <c r="AM665" s="6">
        <v>93035.839999999997</v>
      </c>
      <c r="AN665" s="6">
        <v>9828.3698384201907</v>
      </c>
      <c r="AO665" s="6">
        <v>9828.3698384201907</v>
      </c>
      <c r="AP665" s="6">
        <v>330.98244656580999</v>
      </c>
      <c r="AQ665" s="6">
        <v>93035.839999999997</v>
      </c>
      <c r="AR665" s="6">
        <v>9828.3698384201907</v>
      </c>
      <c r="AS665" s="6">
        <v>9828.3698384201907</v>
      </c>
      <c r="AT665" s="6">
        <v>0</v>
      </c>
      <c r="AU665" t="s">
        <v>2973</v>
      </c>
      <c r="AV665" t="s">
        <v>2976</v>
      </c>
    </row>
    <row r="666" spans="1:48" x14ac:dyDescent="0.45">
      <c r="A666" s="5" t="s">
        <v>1354</v>
      </c>
      <c r="B666">
        <v>2112</v>
      </c>
      <c r="C666" t="s">
        <v>1355</v>
      </c>
      <c r="D666">
        <v>2112</v>
      </c>
      <c r="E666" t="s">
        <v>1355</v>
      </c>
      <c r="F666" t="s">
        <v>1</v>
      </c>
      <c r="G666" t="s">
        <v>1</v>
      </c>
      <c r="H666" t="s">
        <v>2743</v>
      </c>
      <c r="I666" t="s">
        <v>2742</v>
      </c>
      <c r="J666">
        <v>3</v>
      </c>
      <c r="K666">
        <v>0</v>
      </c>
      <c r="L666">
        <v>0</v>
      </c>
      <c r="M666">
        <v>4</v>
      </c>
      <c r="N666" s="6">
        <v>0</v>
      </c>
      <c r="O666" s="6">
        <v>0</v>
      </c>
      <c r="P666" s="6">
        <v>582</v>
      </c>
      <c r="Q666" s="6">
        <v>7275</v>
      </c>
      <c r="R666" s="6">
        <v>29554</v>
      </c>
      <c r="S666" s="6">
        <v>1793.74</v>
      </c>
      <c r="T666" s="6">
        <v>0</v>
      </c>
      <c r="U666" s="6">
        <v>37411</v>
      </c>
      <c r="V666" s="6">
        <v>37411</v>
      </c>
      <c r="W666" s="6">
        <v>0</v>
      </c>
      <c r="X666" s="6">
        <v>0</v>
      </c>
      <c r="Y666" s="6">
        <v>0</v>
      </c>
      <c r="Z666" s="6">
        <v>0</v>
      </c>
      <c r="AA666" s="6">
        <v>0</v>
      </c>
      <c r="AB666" s="6">
        <v>0</v>
      </c>
      <c r="AC666" s="6">
        <v>1088.73</v>
      </c>
      <c r="AD666" s="6">
        <v>705.01</v>
      </c>
      <c r="AE666" s="6">
        <v>0</v>
      </c>
      <c r="AF666" s="6">
        <v>0</v>
      </c>
      <c r="AG666" s="6">
        <v>0</v>
      </c>
      <c r="AH666" s="6">
        <v>0</v>
      </c>
      <c r="AI666" s="6">
        <v>0</v>
      </c>
      <c r="AJ666" s="6">
        <v>39204.74</v>
      </c>
      <c r="AK666" s="6">
        <v>13068.246666666701</v>
      </c>
      <c r="AL666" s="6">
        <v>330.98244656580999</v>
      </c>
      <c r="AM666" s="6">
        <v>93035.839999999997</v>
      </c>
      <c r="AN666" s="6">
        <v>13068.246666666701</v>
      </c>
      <c r="AO666" s="6">
        <v>13068.246666666701</v>
      </c>
      <c r="AP666" s="6">
        <v>634.54287297753501</v>
      </c>
      <c r="AQ666" s="6">
        <v>40331.279999999999</v>
      </c>
      <c r="AR666" s="6">
        <v>13068.246666666701</v>
      </c>
      <c r="AS666" s="6">
        <v>13068.246666666701</v>
      </c>
      <c r="AT666" s="6">
        <v>0</v>
      </c>
      <c r="AU666" t="s">
        <v>2973</v>
      </c>
      <c r="AV666" t="s">
        <v>2977</v>
      </c>
    </row>
    <row r="667" spans="1:48" x14ac:dyDescent="0.45">
      <c r="A667" s="5" t="s">
        <v>1358</v>
      </c>
      <c r="B667">
        <v>2085</v>
      </c>
      <c r="C667" t="s">
        <v>1359</v>
      </c>
      <c r="D667">
        <v>568</v>
      </c>
      <c r="E667" t="s">
        <v>1360</v>
      </c>
      <c r="F667" t="s">
        <v>2739</v>
      </c>
      <c r="G667" t="s">
        <v>2740</v>
      </c>
      <c r="H667" t="s">
        <v>2741</v>
      </c>
      <c r="I667" t="s">
        <v>2742</v>
      </c>
      <c r="J667">
        <v>75.160790273515005</v>
      </c>
      <c r="K667">
        <v>1</v>
      </c>
      <c r="L667">
        <v>1</v>
      </c>
      <c r="M667">
        <v>3</v>
      </c>
      <c r="N667" s="6">
        <v>625804.87790397101</v>
      </c>
      <c r="O667" s="6">
        <v>164586.32357942499</v>
      </c>
      <c r="P667" s="6">
        <v>419914.03058921598</v>
      </c>
      <c r="Q667" s="6">
        <v>122202.369211018</v>
      </c>
      <c r="R667" s="6">
        <v>44012.007234531797</v>
      </c>
      <c r="S667" s="6">
        <v>92087.690925656105</v>
      </c>
      <c r="T667" s="6">
        <v>605056.63</v>
      </c>
      <c r="U667" s="6">
        <v>771462.97851816297</v>
      </c>
      <c r="V667" s="6">
        <v>1179929.5969362401</v>
      </c>
      <c r="W667" s="6">
        <v>196590.01158191901</v>
      </c>
      <c r="X667" s="6">
        <v>0</v>
      </c>
      <c r="Y667" s="6">
        <v>0</v>
      </c>
      <c r="Z667" s="6">
        <v>0</v>
      </c>
      <c r="AA667" s="6">
        <v>0</v>
      </c>
      <c r="AB667" s="6">
        <v>0</v>
      </c>
      <c r="AC667" s="6">
        <v>74879.063959601903</v>
      </c>
      <c r="AD667" s="6">
        <v>17208.626966054198</v>
      </c>
      <c r="AE667" s="6">
        <v>0</v>
      </c>
      <c r="AF667" s="6">
        <v>0</v>
      </c>
      <c r="AG667" s="6">
        <v>0</v>
      </c>
      <c r="AH667" s="6">
        <v>0</v>
      </c>
      <c r="AI667" s="6">
        <v>0</v>
      </c>
      <c r="AJ667" s="6">
        <v>1468607.29944382</v>
      </c>
      <c r="AK667" s="6">
        <v>19539.540418607401</v>
      </c>
      <c r="AL667" s="6">
        <v>330.98244656580999</v>
      </c>
      <c r="AM667" s="6">
        <v>93035.839999999997</v>
      </c>
      <c r="AN667" s="6">
        <v>19539.540418607401</v>
      </c>
      <c r="AO667" s="6">
        <v>23096.543929881998</v>
      </c>
      <c r="AP667" s="6">
        <v>330.98244656580999</v>
      </c>
      <c r="AQ667" s="6">
        <v>93035.839999999997</v>
      </c>
      <c r="AR667" s="6">
        <v>19539.540418607401</v>
      </c>
      <c r="AS667" s="6">
        <v>19539.540418607401</v>
      </c>
      <c r="AT667" s="6">
        <v>0</v>
      </c>
      <c r="AU667" t="s">
        <v>2973</v>
      </c>
      <c r="AV667" t="s">
        <v>2973</v>
      </c>
    </row>
    <row r="668" spans="1:48" x14ac:dyDescent="0.45">
      <c r="A668" s="5" t="s">
        <v>1361</v>
      </c>
      <c r="B668">
        <v>2085</v>
      </c>
      <c r="C668" t="s">
        <v>1359</v>
      </c>
      <c r="D668">
        <v>569</v>
      </c>
      <c r="E668" t="s">
        <v>1362</v>
      </c>
      <c r="F668" t="s">
        <v>2739</v>
      </c>
      <c r="G668" t="s">
        <v>2744</v>
      </c>
      <c r="H668" t="s">
        <v>2745</v>
      </c>
      <c r="I668" t="s">
        <v>2742</v>
      </c>
      <c r="J668">
        <v>77.347860181144995</v>
      </c>
      <c r="K668">
        <v>1</v>
      </c>
      <c r="L668">
        <v>2</v>
      </c>
      <c r="M668">
        <v>3</v>
      </c>
      <c r="N668" s="6">
        <v>744370.27209602902</v>
      </c>
      <c r="O668" s="6">
        <v>344146.77642057498</v>
      </c>
      <c r="P668" s="6">
        <v>432132.91941078502</v>
      </c>
      <c r="Q668" s="6">
        <v>125758.280788982</v>
      </c>
      <c r="R668" s="6">
        <v>45292.692765468302</v>
      </c>
      <c r="S668" s="6">
        <v>94767.309074343997</v>
      </c>
      <c r="T668" s="6">
        <v>897789.51</v>
      </c>
      <c r="U668" s="6">
        <v>793911.43148183799</v>
      </c>
      <c r="V668" s="6">
        <v>1455711.95306376</v>
      </c>
      <c r="W668" s="6">
        <v>235988.98841808099</v>
      </c>
      <c r="X668" s="6">
        <v>0</v>
      </c>
      <c r="Y668" s="6">
        <v>0</v>
      </c>
      <c r="Z668" s="6">
        <v>0</v>
      </c>
      <c r="AA668" s="6">
        <v>0</v>
      </c>
      <c r="AB668" s="6">
        <v>0</v>
      </c>
      <c r="AC668" s="6">
        <v>77057.936040398199</v>
      </c>
      <c r="AD668" s="6">
        <v>17709.373033945802</v>
      </c>
      <c r="AE668" s="6">
        <v>0</v>
      </c>
      <c r="AF668" s="6">
        <v>0</v>
      </c>
      <c r="AG668" s="6">
        <v>0</v>
      </c>
      <c r="AH668" s="6">
        <v>0</v>
      </c>
      <c r="AI668" s="6">
        <v>0</v>
      </c>
      <c r="AJ668" s="6">
        <v>1786468.25055618</v>
      </c>
      <c r="AK668" s="6">
        <v>23096.543929881998</v>
      </c>
      <c r="AL668" s="6">
        <v>330.98244656580999</v>
      </c>
      <c r="AM668" s="6">
        <v>93035.839999999997</v>
      </c>
      <c r="AN668" s="6">
        <v>19539.540418607401</v>
      </c>
      <c r="AO668" s="6">
        <v>23096.543929881998</v>
      </c>
      <c r="AP668" s="6">
        <v>330.98244656580999</v>
      </c>
      <c r="AQ668" s="6">
        <v>40734.411818744898</v>
      </c>
      <c r="AR668" s="6">
        <v>23096.543929881998</v>
      </c>
      <c r="AS668" s="6">
        <v>23096.543929881998</v>
      </c>
      <c r="AT668" s="6">
        <v>0</v>
      </c>
      <c r="AU668" t="s">
        <v>2973</v>
      </c>
      <c r="AV668" t="s">
        <v>2973</v>
      </c>
    </row>
    <row r="669" spans="1:48" x14ac:dyDescent="0.45">
      <c r="A669" s="5" t="s">
        <v>1363</v>
      </c>
      <c r="B669">
        <v>2094</v>
      </c>
      <c r="C669" t="s">
        <v>1364</v>
      </c>
      <c r="D669">
        <v>603</v>
      </c>
      <c r="E669" t="s">
        <v>1365</v>
      </c>
      <c r="F669" t="s">
        <v>2739</v>
      </c>
      <c r="G669" t="s">
        <v>2740</v>
      </c>
      <c r="H669" t="s">
        <v>2741</v>
      </c>
      <c r="I669" t="s">
        <v>2742</v>
      </c>
      <c r="J669">
        <v>154.22327649795599</v>
      </c>
      <c r="K669">
        <v>1</v>
      </c>
      <c r="L669">
        <v>1</v>
      </c>
      <c r="M669">
        <v>1</v>
      </c>
      <c r="N669" s="6">
        <v>1714611.43079965</v>
      </c>
      <c r="O669" s="6">
        <v>350600.22179870401</v>
      </c>
      <c r="P669" s="6">
        <v>292491.31731265498</v>
      </c>
      <c r="Q669" s="6">
        <v>93192.225023216903</v>
      </c>
      <c r="R669" s="6">
        <v>125683.495647601</v>
      </c>
      <c r="S669" s="6">
        <v>72955.7998093856</v>
      </c>
      <c r="T669" s="6">
        <v>2044940.77</v>
      </c>
      <c r="U669" s="6">
        <v>531637.92058182403</v>
      </c>
      <c r="V669" s="6">
        <v>2435077.6409212099</v>
      </c>
      <c r="W669" s="6">
        <v>141501.049660616</v>
      </c>
      <c r="X669" s="6">
        <v>0</v>
      </c>
      <c r="Y669" s="6">
        <v>0</v>
      </c>
      <c r="Z669" s="6">
        <v>0</v>
      </c>
      <c r="AA669" s="6">
        <v>0</v>
      </c>
      <c r="AB669" s="6">
        <v>0</v>
      </c>
      <c r="AC669" s="6">
        <v>43471.808099964401</v>
      </c>
      <c r="AD669" s="6">
        <v>29483.9917094212</v>
      </c>
      <c r="AE669" s="6">
        <v>0</v>
      </c>
      <c r="AF669" s="6">
        <v>0</v>
      </c>
      <c r="AG669" s="6">
        <v>0</v>
      </c>
      <c r="AH669" s="6">
        <v>0</v>
      </c>
      <c r="AI669" s="6">
        <v>0</v>
      </c>
      <c r="AJ669" s="6">
        <v>2649534.4903912102</v>
      </c>
      <c r="AK669" s="6">
        <v>17179.8612411553</v>
      </c>
      <c r="AL669" s="6">
        <v>330.98244656580999</v>
      </c>
      <c r="AM669" s="6">
        <v>93035.839999999997</v>
      </c>
      <c r="AN669" s="6">
        <v>3920.2494858110599</v>
      </c>
      <c r="AO669" s="6">
        <v>22079.791211306099</v>
      </c>
      <c r="AP669" s="6">
        <v>330.98244656580999</v>
      </c>
      <c r="AQ669" s="6">
        <v>93035.839999999997</v>
      </c>
      <c r="AR669" s="6">
        <v>17179.8612411553</v>
      </c>
      <c r="AS669" s="6">
        <v>17179.8612411553</v>
      </c>
      <c r="AT669" s="6">
        <v>0</v>
      </c>
      <c r="AU669" t="s">
        <v>2973</v>
      </c>
      <c r="AV669" t="s">
        <v>2973</v>
      </c>
    </row>
    <row r="670" spans="1:48" x14ac:dyDescent="0.45">
      <c r="A670" s="5" t="s">
        <v>2817</v>
      </c>
      <c r="B670">
        <v>2094</v>
      </c>
      <c r="C670" t="s">
        <v>1364</v>
      </c>
      <c r="D670">
        <v>2094</v>
      </c>
      <c r="E670" t="s">
        <v>1364</v>
      </c>
      <c r="F670" t="s">
        <v>1</v>
      </c>
      <c r="G670" t="s">
        <v>1</v>
      </c>
      <c r="H670" t="s">
        <v>2743</v>
      </c>
      <c r="I670" t="s">
        <v>2742</v>
      </c>
      <c r="J670">
        <v>2.9304285713999998</v>
      </c>
      <c r="K670">
        <v>0</v>
      </c>
      <c r="L670">
        <v>0</v>
      </c>
      <c r="M670">
        <v>1</v>
      </c>
      <c r="N670" s="6">
        <v>1194.25805664636</v>
      </c>
      <c r="O670" s="6">
        <v>2217.82997478169</v>
      </c>
      <c r="P670" s="6">
        <v>2530.7716165141301</v>
      </c>
      <c r="Q670" s="6">
        <v>1770.76486145068</v>
      </c>
      <c r="R670" s="6">
        <v>2388.1382561862401</v>
      </c>
      <c r="S670" s="6">
        <v>1386.2483346578099</v>
      </c>
      <c r="T670" s="6">
        <v>0</v>
      </c>
      <c r="U670" s="6">
        <v>10101.7627655791</v>
      </c>
      <c r="V670" s="6">
        <v>8127.5990038262098</v>
      </c>
      <c r="W670" s="6">
        <v>1974.16376175289</v>
      </c>
      <c r="X670" s="6">
        <v>0</v>
      </c>
      <c r="Y670" s="6">
        <v>0</v>
      </c>
      <c r="Z670" s="6">
        <v>0</v>
      </c>
      <c r="AA670" s="6">
        <v>0</v>
      </c>
      <c r="AB670" s="6">
        <v>0</v>
      </c>
      <c r="AC670" s="6">
        <v>826.01687241576599</v>
      </c>
      <c r="AD670" s="6">
        <v>560.23146224204197</v>
      </c>
      <c r="AE670" s="6">
        <v>0</v>
      </c>
      <c r="AF670" s="6">
        <v>0</v>
      </c>
      <c r="AG670" s="6">
        <v>0</v>
      </c>
      <c r="AH670" s="6">
        <v>0</v>
      </c>
      <c r="AI670" s="6">
        <v>0</v>
      </c>
      <c r="AJ670" s="6">
        <v>11488.011100236899</v>
      </c>
      <c r="AK670" s="6">
        <v>3920.2494858110599</v>
      </c>
      <c r="AL670" s="6">
        <v>330.98244656580999</v>
      </c>
      <c r="AM670" s="6">
        <v>93035.839999999997</v>
      </c>
      <c r="AN670" s="6">
        <v>3920.2494858110599</v>
      </c>
      <c r="AO670" s="6">
        <v>22079.791211306099</v>
      </c>
      <c r="AP670" s="6">
        <v>634.54287297753501</v>
      </c>
      <c r="AQ670" s="6">
        <v>40331.279999999999</v>
      </c>
      <c r="AR670" s="6">
        <v>3920.2494858110599</v>
      </c>
      <c r="AS670" s="6">
        <v>3920.2494858110599</v>
      </c>
      <c r="AT670" s="6">
        <v>0</v>
      </c>
      <c r="AU670" t="s">
        <v>2973</v>
      </c>
      <c r="AV670" t="s">
        <v>2977</v>
      </c>
    </row>
    <row r="671" spans="1:48" x14ac:dyDescent="0.45">
      <c r="A671" s="5" t="s">
        <v>1366</v>
      </c>
      <c r="B671">
        <v>2094</v>
      </c>
      <c r="C671" t="s">
        <v>1364</v>
      </c>
      <c r="D671">
        <v>604</v>
      </c>
      <c r="E671" t="s">
        <v>1367</v>
      </c>
      <c r="F671" t="s">
        <v>2739</v>
      </c>
      <c r="G671" t="s">
        <v>2744</v>
      </c>
      <c r="H671" t="s">
        <v>2745</v>
      </c>
      <c r="I671" t="s">
        <v>2742</v>
      </c>
      <c r="J671">
        <v>115.831081081021</v>
      </c>
      <c r="K671">
        <v>1</v>
      </c>
      <c r="L671">
        <v>1</v>
      </c>
      <c r="M671">
        <v>1</v>
      </c>
      <c r="N671" s="6">
        <v>1516278.39081397</v>
      </c>
      <c r="O671" s="6">
        <v>499513.87882891501</v>
      </c>
      <c r="P671" s="6">
        <v>322490.556405693</v>
      </c>
      <c r="Q671" s="6">
        <v>69993.041374192806</v>
      </c>
      <c r="R671" s="6">
        <v>94455.966066097404</v>
      </c>
      <c r="S671" s="6">
        <v>54794.252559948</v>
      </c>
      <c r="T671" s="6">
        <v>2103439.35</v>
      </c>
      <c r="U671" s="6">
        <v>399292.48348886502</v>
      </c>
      <c r="V671" s="6">
        <v>2255265.1116349502</v>
      </c>
      <c r="W671" s="6">
        <v>247466.72185391199</v>
      </c>
      <c r="X671" s="6">
        <v>0</v>
      </c>
      <c r="Y671" s="6">
        <v>0</v>
      </c>
      <c r="Z671" s="6">
        <v>0</v>
      </c>
      <c r="AA671" s="6">
        <v>0</v>
      </c>
      <c r="AB671" s="6">
        <v>0</v>
      </c>
      <c r="AC671" s="6">
        <v>32649.9776370158</v>
      </c>
      <c r="AD671" s="6">
        <v>22144.2749229322</v>
      </c>
      <c r="AE671" s="6">
        <v>0</v>
      </c>
      <c r="AF671" s="6">
        <v>0</v>
      </c>
      <c r="AG671" s="6">
        <v>0</v>
      </c>
      <c r="AH671" s="6">
        <v>0</v>
      </c>
      <c r="AI671" s="6">
        <v>0</v>
      </c>
      <c r="AJ671" s="6">
        <v>2557526.0860488098</v>
      </c>
      <c r="AK671" s="6">
        <v>22079.791211306099</v>
      </c>
      <c r="AL671" s="6">
        <v>330.98244656580999</v>
      </c>
      <c r="AM671" s="6">
        <v>93035.839999999997</v>
      </c>
      <c r="AN671" s="6">
        <v>3920.2494858110599</v>
      </c>
      <c r="AO671" s="6">
        <v>22079.791211306099</v>
      </c>
      <c r="AP671" s="6">
        <v>330.98244656580999</v>
      </c>
      <c r="AQ671" s="6">
        <v>40734.411818744898</v>
      </c>
      <c r="AR671" s="6">
        <v>22079.791211306099</v>
      </c>
      <c r="AS671" s="6">
        <v>22079.791211306099</v>
      </c>
      <c r="AT671" s="6">
        <v>0</v>
      </c>
      <c r="AU671" t="s">
        <v>2973</v>
      </c>
      <c r="AV671" t="s">
        <v>2973</v>
      </c>
    </row>
    <row r="672" spans="1:48" x14ac:dyDescent="0.45">
      <c r="A672" s="5" t="s">
        <v>2948</v>
      </c>
      <c r="B672">
        <v>2094</v>
      </c>
      <c r="C672" t="s">
        <v>1364</v>
      </c>
      <c r="D672">
        <v>5444</v>
      </c>
      <c r="E672" t="s">
        <v>2949</v>
      </c>
      <c r="F672" t="s">
        <v>3</v>
      </c>
      <c r="G672" t="s">
        <v>2748</v>
      </c>
      <c r="H672" t="s">
        <v>2743</v>
      </c>
      <c r="I672" t="s">
        <v>2742</v>
      </c>
      <c r="J672">
        <v>303.78343949029102</v>
      </c>
      <c r="K672">
        <v>1</v>
      </c>
      <c r="L672">
        <v>1</v>
      </c>
      <c r="M672">
        <v>1</v>
      </c>
      <c r="N672" s="6">
        <v>123802.99032973799</v>
      </c>
      <c r="O672" s="6">
        <v>229911.769397597</v>
      </c>
      <c r="P672" s="6">
        <v>262352.92466513498</v>
      </c>
      <c r="Q672" s="6">
        <v>183566.67874113799</v>
      </c>
      <c r="R672" s="6">
        <v>247566.810030113</v>
      </c>
      <c r="S672" s="6">
        <v>143705.69929600699</v>
      </c>
      <c r="T672" s="6">
        <v>0</v>
      </c>
      <c r="U672" s="6">
        <v>1047201.1731637201</v>
      </c>
      <c r="V672" s="6">
        <v>842549.10844000406</v>
      </c>
      <c r="W672" s="6">
        <v>204652.06472371801</v>
      </c>
      <c r="X672" s="6">
        <v>0</v>
      </c>
      <c r="Y672" s="6">
        <v>0</v>
      </c>
      <c r="Z672" s="6">
        <v>0</v>
      </c>
      <c r="AA672" s="6">
        <v>0</v>
      </c>
      <c r="AB672" s="6">
        <v>0</v>
      </c>
      <c r="AC672" s="6">
        <v>85629.197390603207</v>
      </c>
      <c r="AD672" s="6">
        <v>58076.501905404002</v>
      </c>
      <c r="AE672" s="6">
        <v>0</v>
      </c>
      <c r="AF672" s="6">
        <v>0</v>
      </c>
      <c r="AG672" s="6">
        <v>0</v>
      </c>
      <c r="AH672" s="6">
        <v>0</v>
      </c>
      <c r="AI672" s="6">
        <v>0</v>
      </c>
      <c r="AJ672" s="6">
        <v>1190906.8724597299</v>
      </c>
      <c r="AK672" s="6">
        <v>3920.2494858110699</v>
      </c>
      <c r="AL672" s="6">
        <v>330.98244656580999</v>
      </c>
      <c r="AM672" s="6">
        <v>93035.839999999997</v>
      </c>
      <c r="AN672" s="6">
        <v>3920.2494858110599</v>
      </c>
      <c r="AO672" s="6">
        <v>22079.791211306099</v>
      </c>
      <c r="AP672" s="6">
        <v>330.98244656580999</v>
      </c>
      <c r="AQ672" s="6">
        <v>56162.493707719797</v>
      </c>
      <c r="AR672" s="6">
        <v>3920.2494858110699</v>
      </c>
      <c r="AS672" s="6">
        <v>3920.2494858110699</v>
      </c>
      <c r="AT672" s="6">
        <v>0</v>
      </c>
      <c r="AU672" t="s">
        <v>2973</v>
      </c>
      <c r="AV672" t="s">
        <v>2976</v>
      </c>
    </row>
    <row r="673" spans="1:48" x14ac:dyDescent="0.45">
      <c r="A673" s="5" t="s">
        <v>1369</v>
      </c>
      <c r="B673">
        <v>2090</v>
      </c>
      <c r="C673" t="s">
        <v>1368</v>
      </c>
      <c r="D673">
        <v>594</v>
      </c>
      <c r="E673" t="s">
        <v>1370</v>
      </c>
      <c r="F673" t="s">
        <v>3</v>
      </c>
      <c r="G673" t="s">
        <v>2748</v>
      </c>
      <c r="H673" t="s">
        <v>2741</v>
      </c>
      <c r="I673" t="s">
        <v>2742</v>
      </c>
      <c r="J673">
        <v>199.625291375236</v>
      </c>
      <c r="K673">
        <v>1</v>
      </c>
      <c r="L673">
        <v>1</v>
      </c>
      <c r="M673">
        <v>3</v>
      </c>
      <c r="N673" s="6">
        <v>2084137.6</v>
      </c>
      <c r="O673" s="6">
        <v>655082.26</v>
      </c>
      <c r="P673" s="6">
        <v>1113770.52</v>
      </c>
      <c r="Q673" s="6">
        <v>350080.97</v>
      </c>
      <c r="R673" s="6">
        <v>174351.1</v>
      </c>
      <c r="S673" s="6">
        <v>169948</v>
      </c>
      <c r="T673" s="6">
        <v>2644357.98</v>
      </c>
      <c r="U673" s="6">
        <v>1733064.47</v>
      </c>
      <c r="V673" s="6">
        <v>3302535.35</v>
      </c>
      <c r="W673" s="6">
        <v>1074887.1000000001</v>
      </c>
      <c r="X673" s="6">
        <v>0</v>
      </c>
      <c r="Y673" s="6">
        <v>0</v>
      </c>
      <c r="Z673" s="6">
        <v>0</v>
      </c>
      <c r="AA673" s="6">
        <v>0</v>
      </c>
      <c r="AB673" s="6">
        <v>0</v>
      </c>
      <c r="AC673" s="6">
        <v>123213</v>
      </c>
      <c r="AD673" s="6">
        <v>46735</v>
      </c>
      <c r="AE673" s="6">
        <v>0</v>
      </c>
      <c r="AF673" s="6">
        <v>0</v>
      </c>
      <c r="AG673" s="6">
        <v>0</v>
      </c>
      <c r="AH673" s="6">
        <v>0</v>
      </c>
      <c r="AI673" s="6">
        <v>0</v>
      </c>
      <c r="AJ673" s="6">
        <v>4547370.45</v>
      </c>
      <c r="AK673" s="6">
        <v>22779.530683075202</v>
      </c>
      <c r="AL673" s="6">
        <v>330.98244656580999</v>
      </c>
      <c r="AM673" s="6">
        <v>93035.839999999997</v>
      </c>
      <c r="AN673" s="6">
        <v>22779.530683075202</v>
      </c>
      <c r="AO673" s="6">
        <v>22779.530683075202</v>
      </c>
      <c r="AP673" s="6">
        <v>330.98244656580999</v>
      </c>
      <c r="AQ673" s="6">
        <v>56162.493707719797</v>
      </c>
      <c r="AR673" s="6">
        <v>22779.530683075202</v>
      </c>
      <c r="AS673" s="6">
        <v>22779.530683075202</v>
      </c>
      <c r="AT673" s="6">
        <v>0</v>
      </c>
      <c r="AU673" t="s">
        <v>2973</v>
      </c>
      <c r="AV673" t="s">
        <v>2973</v>
      </c>
    </row>
    <row r="674" spans="1:48" x14ac:dyDescent="0.45">
      <c r="A674" s="5" t="s">
        <v>1371</v>
      </c>
      <c r="B674">
        <v>2256</v>
      </c>
      <c r="C674" t="s">
        <v>1372</v>
      </c>
      <c r="D674">
        <v>1228</v>
      </c>
      <c r="E674" t="s">
        <v>1373</v>
      </c>
      <c r="F674" t="s">
        <v>2739</v>
      </c>
      <c r="G674" t="s">
        <v>2740</v>
      </c>
      <c r="H674" t="s">
        <v>2741</v>
      </c>
      <c r="I674" t="s">
        <v>2742</v>
      </c>
      <c r="J674">
        <v>472.13134599482999</v>
      </c>
      <c r="K674">
        <v>2</v>
      </c>
      <c r="L674">
        <v>1</v>
      </c>
      <c r="M674">
        <v>2</v>
      </c>
      <c r="N674" s="6">
        <v>3883149.45341251</v>
      </c>
      <c r="O674" s="6">
        <v>978044.59507418098</v>
      </c>
      <c r="P674" s="6">
        <v>907092.83996490203</v>
      </c>
      <c r="Q674" s="6">
        <v>167468.83956192201</v>
      </c>
      <c r="R674" s="6">
        <v>101890.679644579</v>
      </c>
      <c r="S674" s="6">
        <v>245056.255217939</v>
      </c>
      <c r="T674" s="6">
        <v>4327872.09</v>
      </c>
      <c r="U674" s="6">
        <v>1709774.31765809</v>
      </c>
      <c r="V674" s="6">
        <v>5132181.3962070504</v>
      </c>
      <c r="W674" s="6">
        <v>904880.58336845296</v>
      </c>
      <c r="X674" s="6">
        <v>0</v>
      </c>
      <c r="Y674" s="6">
        <v>0</v>
      </c>
      <c r="Z674" s="6">
        <v>0</v>
      </c>
      <c r="AA674" s="6">
        <v>0</v>
      </c>
      <c r="AB674" s="6">
        <v>584.42808258795196</v>
      </c>
      <c r="AC674" s="6">
        <v>169158.564482766</v>
      </c>
      <c r="AD674" s="6">
        <v>75897.690735173295</v>
      </c>
      <c r="AE674" s="6">
        <v>0</v>
      </c>
      <c r="AF674" s="6">
        <v>0</v>
      </c>
      <c r="AG674" s="6">
        <v>0</v>
      </c>
      <c r="AH674" s="6">
        <v>0</v>
      </c>
      <c r="AI674" s="6">
        <v>0</v>
      </c>
      <c r="AJ674" s="6">
        <v>6282702.6628760304</v>
      </c>
      <c r="AK674" s="6">
        <v>13307.107685548201</v>
      </c>
      <c r="AL674" s="6">
        <v>330.98244656580999</v>
      </c>
      <c r="AM674" s="6">
        <v>93035.839999999997</v>
      </c>
      <c r="AN674" s="6">
        <v>4140.4380146736503</v>
      </c>
      <c r="AO674" s="6">
        <v>13757.8642655477</v>
      </c>
      <c r="AP674" s="6">
        <v>330.98244656580999</v>
      </c>
      <c r="AQ674" s="6">
        <v>93035.839999999997</v>
      </c>
      <c r="AR674" s="6">
        <v>11777.776221376</v>
      </c>
      <c r="AS674" s="6">
        <v>13757.8642655477</v>
      </c>
      <c r="AT674" s="6">
        <v>0</v>
      </c>
      <c r="AU674" t="s">
        <v>2973</v>
      </c>
      <c r="AV674" t="s">
        <v>2973</v>
      </c>
    </row>
    <row r="675" spans="1:48" x14ac:dyDescent="0.45">
      <c r="A675" s="5" t="s">
        <v>1374</v>
      </c>
      <c r="B675">
        <v>2256</v>
      </c>
      <c r="C675" t="s">
        <v>1372</v>
      </c>
      <c r="D675">
        <v>1315</v>
      </c>
      <c r="E675" t="s">
        <v>1375</v>
      </c>
      <c r="F675" t="s">
        <v>2739</v>
      </c>
      <c r="G675" t="s">
        <v>2747</v>
      </c>
      <c r="H675" t="s">
        <v>2745</v>
      </c>
      <c r="I675" t="s">
        <v>2742</v>
      </c>
      <c r="J675">
        <v>757.82173058993499</v>
      </c>
      <c r="K675">
        <v>1</v>
      </c>
      <c r="L675">
        <v>1</v>
      </c>
      <c r="M675">
        <v>2</v>
      </c>
      <c r="N675" s="6">
        <v>5157449.5367523702</v>
      </c>
      <c r="O675" s="6">
        <v>1758939.1527156699</v>
      </c>
      <c r="P675" s="6">
        <v>1443865.7235363999</v>
      </c>
      <c r="Q675" s="6">
        <v>268805.54933137901</v>
      </c>
      <c r="R675" s="6">
        <v>163545.52993413201</v>
      </c>
      <c r="S675" s="6">
        <v>393341.71941038797</v>
      </c>
      <c r="T675" s="6">
        <v>6048233.3099999996</v>
      </c>
      <c r="U675" s="6">
        <v>2744372.1822699602</v>
      </c>
      <c r="V675" s="6">
        <v>7846062.3132809997</v>
      </c>
      <c r="W675" s="6">
        <v>945605.10888471699</v>
      </c>
      <c r="X675" s="6">
        <v>0</v>
      </c>
      <c r="Y675" s="6">
        <v>0</v>
      </c>
      <c r="Z675" s="6">
        <v>0</v>
      </c>
      <c r="AA675" s="6">
        <v>0</v>
      </c>
      <c r="AB675" s="6">
        <v>938.07010423961401</v>
      </c>
      <c r="AC675" s="6">
        <v>271517.74006939703</v>
      </c>
      <c r="AD675" s="6">
        <v>121823.97934099199</v>
      </c>
      <c r="AE675" s="6">
        <v>0</v>
      </c>
      <c r="AF675" s="6">
        <v>0</v>
      </c>
      <c r="AG675" s="6">
        <v>0</v>
      </c>
      <c r="AH675" s="6">
        <v>0</v>
      </c>
      <c r="AI675" s="6">
        <v>0</v>
      </c>
      <c r="AJ675" s="6">
        <v>9185947.2116803508</v>
      </c>
      <c r="AK675" s="6">
        <v>12121.514652963901</v>
      </c>
      <c r="AL675" s="6">
        <v>330.98244656580999</v>
      </c>
      <c r="AM675" s="6">
        <v>93035.839999999997</v>
      </c>
      <c r="AN675" s="6">
        <v>4140.4380146736503</v>
      </c>
      <c r="AO675" s="6">
        <v>13757.8642655477</v>
      </c>
      <c r="AP675" s="6">
        <v>3753.1860850462999</v>
      </c>
      <c r="AQ675" s="6">
        <v>20687.885194392002</v>
      </c>
      <c r="AR675" s="6">
        <v>12117.2072191102</v>
      </c>
      <c r="AS675" s="6">
        <v>12121.514652963901</v>
      </c>
      <c r="AT675" s="6">
        <v>0</v>
      </c>
      <c r="AU675" t="s">
        <v>2973</v>
      </c>
      <c r="AV675" t="s">
        <v>2973</v>
      </c>
    </row>
    <row r="676" spans="1:48" x14ac:dyDescent="0.45">
      <c r="A676" s="5" t="s">
        <v>1376</v>
      </c>
      <c r="B676">
        <v>2256</v>
      </c>
      <c r="C676" t="s">
        <v>1372</v>
      </c>
      <c r="D676">
        <v>2784</v>
      </c>
      <c r="E676" t="s">
        <v>1377</v>
      </c>
      <c r="F676" t="s">
        <v>2739</v>
      </c>
      <c r="G676" t="s">
        <v>2740</v>
      </c>
      <c r="H676" t="s">
        <v>2741</v>
      </c>
      <c r="I676" t="s">
        <v>2742</v>
      </c>
      <c r="J676">
        <v>513.59537572249201</v>
      </c>
      <c r="K676">
        <v>2</v>
      </c>
      <c r="L676">
        <v>1</v>
      </c>
      <c r="M676">
        <v>2</v>
      </c>
      <c r="N676" s="6">
        <v>3921936.2550029899</v>
      </c>
      <c r="O676" s="6">
        <v>967145.12282137806</v>
      </c>
      <c r="P676" s="6">
        <v>993373.82701692998</v>
      </c>
      <c r="Q676" s="6">
        <v>182176.46912509101</v>
      </c>
      <c r="R676" s="6">
        <v>110839.03311781101</v>
      </c>
      <c r="S676" s="6">
        <v>266577.85071780102</v>
      </c>
      <c r="T676" s="6">
        <v>4315538.74</v>
      </c>
      <c r="U676" s="6">
        <v>1859931.9670841999</v>
      </c>
      <c r="V676" s="6">
        <v>5246670.8711337904</v>
      </c>
      <c r="W676" s="6">
        <v>928164.08159263595</v>
      </c>
      <c r="X676" s="6">
        <v>0</v>
      </c>
      <c r="Y676" s="6">
        <v>0</v>
      </c>
      <c r="Z676" s="6">
        <v>0</v>
      </c>
      <c r="AA676" s="6">
        <v>0</v>
      </c>
      <c r="AB676" s="6">
        <v>635.75435777742598</v>
      </c>
      <c r="AC676" s="6">
        <v>184014.59089554899</v>
      </c>
      <c r="AD676" s="6">
        <v>82563.259822252207</v>
      </c>
      <c r="AE676" s="6">
        <v>0</v>
      </c>
      <c r="AF676" s="6">
        <v>0</v>
      </c>
      <c r="AG676" s="6">
        <v>0</v>
      </c>
      <c r="AH676" s="6">
        <v>0</v>
      </c>
      <c r="AI676" s="6">
        <v>0</v>
      </c>
      <c r="AJ676" s="6">
        <v>6442048.5578020001</v>
      </c>
      <c r="AK676" s="6">
        <v>12543.042368206199</v>
      </c>
      <c r="AL676" s="6">
        <v>330.98244656580999</v>
      </c>
      <c r="AM676" s="6">
        <v>93035.839999999997</v>
      </c>
      <c r="AN676" s="6">
        <v>4140.4380146736503</v>
      </c>
      <c r="AO676" s="6">
        <v>13757.8642655477</v>
      </c>
      <c r="AP676" s="6">
        <v>330.98244656580999</v>
      </c>
      <c r="AQ676" s="6">
        <v>93035.839999999997</v>
      </c>
      <c r="AR676" s="6">
        <v>11777.776221376</v>
      </c>
      <c r="AS676" s="6">
        <v>13757.8642655477</v>
      </c>
      <c r="AT676" s="6">
        <v>0</v>
      </c>
      <c r="AU676" t="s">
        <v>2973</v>
      </c>
      <c r="AV676" t="s">
        <v>2973</v>
      </c>
    </row>
    <row r="677" spans="1:48" x14ac:dyDescent="0.45">
      <c r="A677" s="5" t="s">
        <v>1378</v>
      </c>
      <c r="B677">
        <v>2256</v>
      </c>
      <c r="C677" t="s">
        <v>1372</v>
      </c>
      <c r="D677">
        <v>1234</v>
      </c>
      <c r="E677" t="s">
        <v>1379</v>
      </c>
      <c r="F677" t="s">
        <v>2739</v>
      </c>
      <c r="G677" t="s">
        <v>2744</v>
      </c>
      <c r="H677" t="s">
        <v>2745</v>
      </c>
      <c r="I677" t="s">
        <v>2742</v>
      </c>
      <c r="J677">
        <v>2067.3599281197799</v>
      </c>
      <c r="K677">
        <v>1</v>
      </c>
      <c r="L677">
        <v>1</v>
      </c>
      <c r="M677">
        <v>2</v>
      </c>
      <c r="N677" s="6">
        <v>14856487.1744054</v>
      </c>
      <c r="O677" s="6">
        <v>5559323.0517401202</v>
      </c>
      <c r="P677" s="6">
        <v>3578290.5359324599</v>
      </c>
      <c r="Q677" s="6">
        <v>733309.42979335203</v>
      </c>
      <c r="R677" s="6">
        <v>618667.39680123504</v>
      </c>
      <c r="S677" s="6">
        <v>1073047.7577275899</v>
      </c>
      <c r="T677" s="6">
        <v>17859349.710000001</v>
      </c>
      <c r="U677" s="6">
        <v>7486727.8786725197</v>
      </c>
      <c r="V677" s="6">
        <v>21621420.655366801</v>
      </c>
      <c r="W677" s="6">
        <v>3722097.8505228302</v>
      </c>
      <c r="X677" s="6">
        <v>0</v>
      </c>
      <c r="Y677" s="6">
        <v>0</v>
      </c>
      <c r="Z677" s="6">
        <v>0</v>
      </c>
      <c r="AA677" s="6">
        <v>0</v>
      </c>
      <c r="AB677" s="6">
        <v>2559.0827829157502</v>
      </c>
      <c r="AC677" s="6">
        <v>740708.36574736703</v>
      </c>
      <c r="AD677" s="6">
        <v>332339.39198021998</v>
      </c>
      <c r="AE677" s="6">
        <v>0</v>
      </c>
      <c r="AF677" s="6">
        <v>0</v>
      </c>
      <c r="AG677" s="6">
        <v>0</v>
      </c>
      <c r="AH677" s="6">
        <v>0</v>
      </c>
      <c r="AI677" s="6">
        <v>0</v>
      </c>
      <c r="AJ677" s="6">
        <v>26419125.346400201</v>
      </c>
      <c r="AK677" s="6">
        <v>12779.1609903302</v>
      </c>
      <c r="AL677" s="6">
        <v>330.98244656580999</v>
      </c>
      <c r="AM677" s="6">
        <v>93035.839999999997</v>
      </c>
      <c r="AN677" s="6">
        <v>4140.4380146736503</v>
      </c>
      <c r="AO677" s="6">
        <v>13757.8642655477</v>
      </c>
      <c r="AP677" s="6">
        <v>330.98244656580999</v>
      </c>
      <c r="AQ677" s="6">
        <v>40734.411818744898</v>
      </c>
      <c r="AR677" s="6">
        <v>12779.1609903302</v>
      </c>
      <c r="AS677" s="6">
        <v>12779.1609903302</v>
      </c>
      <c r="AT677" s="6">
        <v>0</v>
      </c>
      <c r="AU677" t="s">
        <v>2973</v>
      </c>
      <c r="AV677" t="s">
        <v>2973</v>
      </c>
    </row>
    <row r="678" spans="1:48" x14ac:dyDescent="0.45">
      <c r="A678" s="5" t="s">
        <v>1380</v>
      </c>
      <c r="B678">
        <v>2256</v>
      </c>
      <c r="C678" t="s">
        <v>1372</v>
      </c>
      <c r="D678">
        <v>2256</v>
      </c>
      <c r="E678" t="s">
        <v>1372</v>
      </c>
      <c r="F678" t="s">
        <v>1</v>
      </c>
      <c r="G678" t="s">
        <v>1</v>
      </c>
      <c r="H678" t="s">
        <v>2743</v>
      </c>
      <c r="I678" t="s">
        <v>2742</v>
      </c>
      <c r="J678">
        <v>2.5558367821579999</v>
      </c>
      <c r="K678">
        <v>0</v>
      </c>
      <c r="L678">
        <v>0</v>
      </c>
      <c r="M678">
        <v>2</v>
      </c>
      <c r="N678" s="6">
        <v>2262.7757537386701</v>
      </c>
      <c r="O678" s="6">
        <v>2343.01396535207</v>
      </c>
      <c r="P678" s="6">
        <v>3191.7546606200699</v>
      </c>
      <c r="Q678" s="6">
        <v>906.57615438726498</v>
      </c>
      <c r="R678" s="6">
        <v>551.57521101668999</v>
      </c>
      <c r="S678" s="6">
        <v>1326.5880270334001</v>
      </c>
      <c r="T678" s="6">
        <v>0</v>
      </c>
      <c r="U678" s="6">
        <v>9255.69574511477</v>
      </c>
      <c r="V678" s="6">
        <v>7224.4255468681604</v>
      </c>
      <c r="W678" s="6">
        <v>2028.1064540837201</v>
      </c>
      <c r="X678" s="6">
        <v>0</v>
      </c>
      <c r="Y678" s="6">
        <v>0</v>
      </c>
      <c r="Z678" s="6">
        <v>0</v>
      </c>
      <c r="AA678" s="6">
        <v>0</v>
      </c>
      <c r="AB678" s="6">
        <v>3.16374416288114</v>
      </c>
      <c r="AC678" s="6">
        <v>915.72331468716504</v>
      </c>
      <c r="AD678" s="6">
        <v>410.86471234623798</v>
      </c>
      <c r="AE678" s="6">
        <v>0</v>
      </c>
      <c r="AF678" s="6">
        <v>0</v>
      </c>
      <c r="AG678" s="6">
        <v>0</v>
      </c>
      <c r="AH678" s="6">
        <v>0</v>
      </c>
      <c r="AI678" s="6">
        <v>0</v>
      </c>
      <c r="AJ678" s="6">
        <v>10582.283772148199</v>
      </c>
      <c r="AK678" s="6">
        <v>4140.4380146736503</v>
      </c>
      <c r="AL678" s="6">
        <v>330.98244656580999</v>
      </c>
      <c r="AM678" s="6">
        <v>93035.839999999997</v>
      </c>
      <c r="AN678" s="6">
        <v>4140.4380146736503</v>
      </c>
      <c r="AO678" s="6">
        <v>13757.8642655477</v>
      </c>
      <c r="AP678" s="6">
        <v>634.54287297753501</v>
      </c>
      <c r="AQ678" s="6">
        <v>40331.279999999999</v>
      </c>
      <c r="AR678" s="6">
        <v>4140.4380146736503</v>
      </c>
      <c r="AS678" s="6">
        <v>4140.4380146736503</v>
      </c>
      <c r="AT678" s="6">
        <v>0</v>
      </c>
      <c r="AU678" t="s">
        <v>2973</v>
      </c>
      <c r="AV678" t="s">
        <v>2977</v>
      </c>
    </row>
    <row r="679" spans="1:48" x14ac:dyDescent="0.45">
      <c r="A679" s="5" t="s">
        <v>1381</v>
      </c>
      <c r="B679">
        <v>2256</v>
      </c>
      <c r="C679" t="s">
        <v>1372</v>
      </c>
      <c r="D679">
        <v>1230</v>
      </c>
      <c r="E679" t="s">
        <v>1382</v>
      </c>
      <c r="F679" t="s">
        <v>2739</v>
      </c>
      <c r="G679" t="s">
        <v>2740</v>
      </c>
      <c r="H679" t="s">
        <v>2741</v>
      </c>
      <c r="I679" t="s">
        <v>2742</v>
      </c>
      <c r="J679">
        <v>594.84396226072295</v>
      </c>
      <c r="K679">
        <v>1</v>
      </c>
      <c r="L679">
        <v>1</v>
      </c>
      <c r="M679">
        <v>2</v>
      </c>
      <c r="N679" s="6">
        <v>4275532.0694029396</v>
      </c>
      <c r="O679" s="6">
        <v>1059451.1839834801</v>
      </c>
      <c r="P679" s="6">
        <v>1022837.19846283</v>
      </c>
      <c r="Q679" s="6">
        <v>210996.00550841101</v>
      </c>
      <c r="R679" s="6">
        <v>128373.292964714</v>
      </c>
      <c r="S679" s="6">
        <v>308749.32382102398</v>
      </c>
      <c r="T679" s="6">
        <v>4543024.5199999996</v>
      </c>
      <c r="U679" s="6">
        <v>2154165.2303223698</v>
      </c>
      <c r="V679" s="6">
        <v>5848563.9689037697</v>
      </c>
      <c r="W679" s="6">
        <v>847889.45344704494</v>
      </c>
      <c r="X679" s="6">
        <v>0</v>
      </c>
      <c r="Y679" s="6">
        <v>0</v>
      </c>
      <c r="Z679" s="6">
        <v>0</v>
      </c>
      <c r="AA679" s="6">
        <v>0</v>
      </c>
      <c r="AB679" s="6">
        <v>736.32797155319804</v>
      </c>
      <c r="AC679" s="6">
        <v>213124.91026250599</v>
      </c>
      <c r="AD679" s="6">
        <v>95624.413558518005</v>
      </c>
      <c r="AE679" s="6">
        <v>0</v>
      </c>
      <c r="AF679" s="6">
        <v>0</v>
      </c>
      <c r="AG679" s="6">
        <v>0</v>
      </c>
      <c r="AH679" s="6">
        <v>0</v>
      </c>
      <c r="AI679" s="6">
        <v>0</v>
      </c>
      <c r="AJ679" s="6">
        <v>7005939.0741433902</v>
      </c>
      <c r="AK679" s="6">
        <v>11777.776221376</v>
      </c>
      <c r="AL679" s="6">
        <v>330.98244656580999</v>
      </c>
      <c r="AM679" s="6">
        <v>93035.839999999997</v>
      </c>
      <c r="AN679" s="6">
        <v>4140.4380146736503</v>
      </c>
      <c r="AO679" s="6">
        <v>13757.8642655477</v>
      </c>
      <c r="AP679" s="6">
        <v>330.98244656580999</v>
      </c>
      <c r="AQ679" s="6">
        <v>93035.839999999997</v>
      </c>
      <c r="AR679" s="6">
        <v>11777.776221376</v>
      </c>
      <c r="AS679" s="6">
        <v>13757.8642655477</v>
      </c>
      <c r="AT679" s="6">
        <v>0</v>
      </c>
      <c r="AU679" t="s">
        <v>2973</v>
      </c>
      <c r="AV679" t="s">
        <v>2973</v>
      </c>
    </row>
    <row r="680" spans="1:48" x14ac:dyDescent="0.45">
      <c r="A680" s="5" t="s">
        <v>1383</v>
      </c>
      <c r="B680">
        <v>2256</v>
      </c>
      <c r="C680" t="s">
        <v>1372</v>
      </c>
      <c r="D680">
        <v>1231</v>
      </c>
      <c r="E680" t="s">
        <v>1384</v>
      </c>
      <c r="F680" t="s">
        <v>2739</v>
      </c>
      <c r="G680" t="s">
        <v>2740</v>
      </c>
      <c r="H680" t="s">
        <v>2741</v>
      </c>
      <c r="I680" t="s">
        <v>2742</v>
      </c>
      <c r="J680">
        <v>507.52601156063002</v>
      </c>
      <c r="K680">
        <v>3</v>
      </c>
      <c r="L680">
        <v>1</v>
      </c>
      <c r="M680">
        <v>2</v>
      </c>
      <c r="N680" s="6">
        <v>4397896.1449929299</v>
      </c>
      <c r="O680" s="6">
        <v>1039002.1305476699</v>
      </c>
      <c r="P680" s="6">
        <v>975866.82405234606</v>
      </c>
      <c r="Q680" s="6">
        <v>180023.616149562</v>
      </c>
      <c r="R680" s="6">
        <v>109529.203459796</v>
      </c>
      <c r="S680" s="6">
        <v>263427.59249903</v>
      </c>
      <c r="T680" s="6">
        <v>4864365.5199999996</v>
      </c>
      <c r="U680" s="6">
        <v>1837952.3992023</v>
      </c>
      <c r="V680" s="6">
        <v>5662067.5453386102</v>
      </c>
      <c r="W680" s="6">
        <v>1039622.13247215</v>
      </c>
      <c r="X680" s="6">
        <v>0</v>
      </c>
      <c r="Y680" s="6">
        <v>0</v>
      </c>
      <c r="Z680" s="6">
        <v>0</v>
      </c>
      <c r="AA680" s="6">
        <v>0</v>
      </c>
      <c r="AB680" s="6">
        <v>628.24139154517798</v>
      </c>
      <c r="AC680" s="6">
        <v>181840.01609204701</v>
      </c>
      <c r="AD680" s="6">
        <v>81587.576406982495</v>
      </c>
      <c r="AE680" s="6">
        <v>0</v>
      </c>
      <c r="AF680" s="6">
        <v>0</v>
      </c>
      <c r="AG680" s="6">
        <v>0</v>
      </c>
      <c r="AH680" s="6">
        <v>0</v>
      </c>
      <c r="AI680" s="6">
        <v>0</v>
      </c>
      <c r="AJ680" s="6">
        <v>6965745.5117013296</v>
      </c>
      <c r="AK680" s="6">
        <v>13724.9034591977</v>
      </c>
      <c r="AL680" s="6">
        <v>330.98244656580999</v>
      </c>
      <c r="AM680" s="6">
        <v>93035.839999999997</v>
      </c>
      <c r="AN680" s="6">
        <v>4140.4380146736503</v>
      </c>
      <c r="AO680" s="6">
        <v>13757.8642655477</v>
      </c>
      <c r="AP680" s="6">
        <v>330.98244656580999</v>
      </c>
      <c r="AQ680" s="6">
        <v>93035.839999999997</v>
      </c>
      <c r="AR680" s="6">
        <v>11777.776221376</v>
      </c>
      <c r="AS680" s="6">
        <v>13757.8642655477</v>
      </c>
      <c r="AT680" s="6">
        <v>0</v>
      </c>
      <c r="AU680" t="s">
        <v>2973</v>
      </c>
      <c r="AV680" t="s">
        <v>2973</v>
      </c>
    </row>
    <row r="681" spans="1:48" x14ac:dyDescent="0.45">
      <c r="A681" s="5" t="s">
        <v>1385</v>
      </c>
      <c r="B681">
        <v>2256</v>
      </c>
      <c r="C681" t="s">
        <v>1372</v>
      </c>
      <c r="D681">
        <v>1233</v>
      </c>
      <c r="E681" t="s">
        <v>1386</v>
      </c>
      <c r="F681" t="s">
        <v>2739</v>
      </c>
      <c r="G681" t="s">
        <v>2747</v>
      </c>
      <c r="H681" t="s">
        <v>2745</v>
      </c>
      <c r="I681" t="s">
        <v>2742</v>
      </c>
      <c r="J681">
        <v>830.87125879407802</v>
      </c>
      <c r="K681">
        <v>1</v>
      </c>
      <c r="L681">
        <v>1</v>
      </c>
      <c r="M681">
        <v>2</v>
      </c>
      <c r="N681" s="6">
        <v>5547254.48502238</v>
      </c>
      <c r="O681" s="6">
        <v>1848093.46563897</v>
      </c>
      <c r="P681" s="6">
        <v>1526280.43853126</v>
      </c>
      <c r="Q681" s="6">
        <v>294716.81284453702</v>
      </c>
      <c r="R681" s="6">
        <v>420236.480761168</v>
      </c>
      <c r="S681" s="6">
        <v>431257.53241243499</v>
      </c>
      <c r="T681" s="6">
        <v>6627668.2699999996</v>
      </c>
      <c r="U681" s="6">
        <v>3008913.4127983199</v>
      </c>
      <c r="V681" s="6">
        <v>8413696.6406330299</v>
      </c>
      <c r="W681" s="6">
        <v>1221856.5476567701</v>
      </c>
      <c r="X681" s="6">
        <v>0</v>
      </c>
      <c r="Y681" s="6">
        <v>0</v>
      </c>
      <c r="Z681" s="6">
        <v>0</v>
      </c>
      <c r="AA681" s="6">
        <v>0</v>
      </c>
      <c r="AB681" s="6">
        <v>1028.49450851708</v>
      </c>
      <c r="AC681" s="6">
        <v>297690.44271238399</v>
      </c>
      <c r="AD681" s="6">
        <v>133567.089700051</v>
      </c>
      <c r="AE681" s="6">
        <v>0</v>
      </c>
      <c r="AF681" s="6">
        <v>0</v>
      </c>
      <c r="AG681" s="6">
        <v>0</v>
      </c>
      <c r="AH681" s="6">
        <v>0</v>
      </c>
      <c r="AI681" s="6">
        <v>0</v>
      </c>
      <c r="AJ681" s="6">
        <v>10067839.215210799</v>
      </c>
      <c r="AK681" s="6">
        <v>12117.2072191102</v>
      </c>
      <c r="AL681" s="6">
        <v>330.98244656580999</v>
      </c>
      <c r="AM681" s="6">
        <v>93035.839999999997</v>
      </c>
      <c r="AN681" s="6">
        <v>4140.4380146736503</v>
      </c>
      <c r="AO681" s="6">
        <v>13757.8642655477</v>
      </c>
      <c r="AP681" s="6">
        <v>3753.1860850462999</v>
      </c>
      <c r="AQ681" s="6">
        <v>20687.885194392002</v>
      </c>
      <c r="AR681" s="6">
        <v>12117.2072191102</v>
      </c>
      <c r="AS681" s="6">
        <v>12121.514652963901</v>
      </c>
      <c r="AT681" s="6">
        <v>0</v>
      </c>
      <c r="AU681" t="s">
        <v>2973</v>
      </c>
      <c r="AV681" t="s">
        <v>2973</v>
      </c>
    </row>
    <row r="682" spans="1:48" x14ac:dyDescent="0.45">
      <c r="A682" s="5" t="s">
        <v>1387</v>
      </c>
      <c r="B682">
        <v>2256</v>
      </c>
      <c r="C682" t="s">
        <v>1372</v>
      </c>
      <c r="D682">
        <v>4639</v>
      </c>
      <c r="E682" t="s">
        <v>1388</v>
      </c>
      <c r="F682" t="s">
        <v>2739</v>
      </c>
      <c r="G682" t="s">
        <v>2740</v>
      </c>
      <c r="H682" t="s">
        <v>2741</v>
      </c>
      <c r="I682" t="s">
        <v>2742</v>
      </c>
      <c r="J682">
        <v>441.989413707609</v>
      </c>
      <c r="K682">
        <v>4</v>
      </c>
      <c r="L682">
        <v>1</v>
      </c>
      <c r="M682">
        <v>2</v>
      </c>
      <c r="N682" s="6">
        <v>3731594.5186622501</v>
      </c>
      <c r="O682" s="6">
        <v>953741.60129774199</v>
      </c>
      <c r="P682" s="6">
        <v>913919.93198756897</v>
      </c>
      <c r="Q682" s="6">
        <v>156777.25031431799</v>
      </c>
      <c r="R682" s="6">
        <v>95385.748352473005</v>
      </c>
      <c r="S682" s="6">
        <v>229411.309983949</v>
      </c>
      <c r="T682" s="6">
        <v>4250800.59</v>
      </c>
      <c r="U682" s="6">
        <v>1600618.4606143499</v>
      </c>
      <c r="V682" s="6">
        <v>4873101.80292759</v>
      </c>
      <c r="W682" s="6">
        <v>977770.13081395102</v>
      </c>
      <c r="X682" s="6">
        <v>0</v>
      </c>
      <c r="Y682" s="6">
        <v>0</v>
      </c>
      <c r="Z682" s="6">
        <v>0</v>
      </c>
      <c r="AA682" s="6">
        <v>0</v>
      </c>
      <c r="AB682" s="6">
        <v>547.11687281220998</v>
      </c>
      <c r="AC682" s="6">
        <v>158359.09937692899</v>
      </c>
      <c r="AD682" s="6">
        <v>71052.210607020301</v>
      </c>
      <c r="AE682" s="6">
        <v>0</v>
      </c>
      <c r="AF682" s="6">
        <v>0</v>
      </c>
      <c r="AG682" s="6">
        <v>0</v>
      </c>
      <c r="AH682" s="6">
        <v>0</v>
      </c>
      <c r="AI682" s="6">
        <v>0</v>
      </c>
      <c r="AJ682" s="6">
        <v>6080830.3605982997</v>
      </c>
      <c r="AK682" s="6">
        <v>13757.8642655477</v>
      </c>
      <c r="AL682" s="6">
        <v>330.98244656580999</v>
      </c>
      <c r="AM682" s="6">
        <v>93035.839999999997</v>
      </c>
      <c r="AN682" s="6">
        <v>4140.4380146736503</v>
      </c>
      <c r="AO682" s="6">
        <v>13757.8642655477</v>
      </c>
      <c r="AP682" s="6">
        <v>330.98244656580999</v>
      </c>
      <c r="AQ682" s="6">
        <v>93035.839999999997</v>
      </c>
      <c r="AR682" s="6">
        <v>11777.776221376</v>
      </c>
      <c r="AS682" s="6">
        <v>13757.8642655477</v>
      </c>
      <c r="AT682" s="6">
        <v>0</v>
      </c>
      <c r="AU682" t="s">
        <v>2973</v>
      </c>
      <c r="AV682" t="s">
        <v>2973</v>
      </c>
    </row>
    <row r="683" spans="1:48" x14ac:dyDescent="0.45">
      <c r="A683" s="5" t="s">
        <v>1389</v>
      </c>
      <c r="B683">
        <v>2256</v>
      </c>
      <c r="C683" t="s">
        <v>1372</v>
      </c>
      <c r="D683">
        <v>1232</v>
      </c>
      <c r="E683" t="s">
        <v>1390</v>
      </c>
      <c r="F683" t="s">
        <v>2739</v>
      </c>
      <c r="G683" t="s">
        <v>2740</v>
      </c>
      <c r="H683" t="s">
        <v>2741</v>
      </c>
      <c r="I683" t="s">
        <v>2742</v>
      </c>
      <c r="J683">
        <v>409.03173041441102</v>
      </c>
      <c r="K683">
        <v>2</v>
      </c>
      <c r="L683">
        <v>1</v>
      </c>
      <c r="M683">
        <v>2</v>
      </c>
      <c r="N683" s="6">
        <v>3156117.73659252</v>
      </c>
      <c r="O683" s="6">
        <v>895367.72221544397</v>
      </c>
      <c r="P683" s="6">
        <v>803243.46585468203</v>
      </c>
      <c r="Q683" s="6">
        <v>145086.891217039</v>
      </c>
      <c r="R683" s="6">
        <v>88273.149753075006</v>
      </c>
      <c r="S683" s="6">
        <v>212304.870182813</v>
      </c>
      <c r="T683" s="6">
        <v>3606823.31</v>
      </c>
      <c r="U683" s="6">
        <v>1481265.6556327599</v>
      </c>
      <c r="V683" s="6">
        <v>4385501.3706615102</v>
      </c>
      <c r="W683" s="6">
        <v>702081.27478735801</v>
      </c>
      <c r="X683" s="6">
        <v>0</v>
      </c>
      <c r="Y683" s="6">
        <v>0</v>
      </c>
      <c r="Z683" s="6">
        <v>0</v>
      </c>
      <c r="AA683" s="6">
        <v>0</v>
      </c>
      <c r="AB683" s="6">
        <v>506.32018388871001</v>
      </c>
      <c r="AC683" s="6">
        <v>146550.787046368</v>
      </c>
      <c r="AD683" s="6">
        <v>65754.083136444999</v>
      </c>
      <c r="AE683" s="6">
        <v>0</v>
      </c>
      <c r="AF683" s="6">
        <v>0</v>
      </c>
      <c r="AG683" s="6">
        <v>0</v>
      </c>
      <c r="AH683" s="6">
        <v>0</v>
      </c>
      <c r="AI683" s="6">
        <v>0</v>
      </c>
      <c r="AJ683" s="6">
        <v>5300393.8358155796</v>
      </c>
      <c r="AK683" s="6">
        <v>12958.392813304399</v>
      </c>
      <c r="AL683" s="6">
        <v>330.98244656580999</v>
      </c>
      <c r="AM683" s="6">
        <v>93035.839999999997</v>
      </c>
      <c r="AN683" s="6">
        <v>4140.4380146736503</v>
      </c>
      <c r="AO683" s="6">
        <v>13757.8642655477</v>
      </c>
      <c r="AP683" s="6">
        <v>330.98244656580999</v>
      </c>
      <c r="AQ683" s="6">
        <v>93035.839999999997</v>
      </c>
      <c r="AR683" s="6">
        <v>11777.776221376</v>
      </c>
      <c r="AS683" s="6">
        <v>13757.8642655477</v>
      </c>
      <c r="AT683" s="6">
        <v>0</v>
      </c>
      <c r="AU683" t="s">
        <v>2973</v>
      </c>
      <c r="AV683" t="s">
        <v>2973</v>
      </c>
    </row>
    <row r="684" spans="1:48" x14ac:dyDescent="0.45">
      <c r="A684" s="5" t="s">
        <v>1391</v>
      </c>
      <c r="B684">
        <v>2048</v>
      </c>
      <c r="C684" t="s">
        <v>1392</v>
      </c>
      <c r="D684">
        <v>1350</v>
      </c>
      <c r="E684" t="s">
        <v>1393</v>
      </c>
      <c r="F684" t="s">
        <v>2739</v>
      </c>
      <c r="G684" t="s">
        <v>2740</v>
      </c>
      <c r="H684" t="s">
        <v>2741</v>
      </c>
      <c r="I684" t="s">
        <v>2742</v>
      </c>
      <c r="J684">
        <v>552.29479768780902</v>
      </c>
      <c r="K684">
        <v>1</v>
      </c>
      <c r="L684">
        <v>1</v>
      </c>
      <c r="M684">
        <v>2</v>
      </c>
      <c r="N684" s="6">
        <v>3671359.49053952</v>
      </c>
      <c r="O684" s="6">
        <v>719075.42304865504</v>
      </c>
      <c r="P684" s="6">
        <v>1283930.1940565901</v>
      </c>
      <c r="Q684" s="6">
        <v>280115.44922053599</v>
      </c>
      <c r="R684" s="6">
        <v>1212945.3905597599</v>
      </c>
      <c r="S684" s="6">
        <v>301252.28010977799</v>
      </c>
      <c r="T684" s="6">
        <v>4043873.03</v>
      </c>
      <c r="U684" s="6">
        <v>3123552.9174250602</v>
      </c>
      <c r="V684" s="6">
        <v>5489388.4737242404</v>
      </c>
      <c r="W684" s="6">
        <v>1013485.337868</v>
      </c>
      <c r="X684" s="6">
        <v>0</v>
      </c>
      <c r="Y684" s="6">
        <v>0</v>
      </c>
      <c r="Z684" s="6">
        <v>0</v>
      </c>
      <c r="AA684" s="6">
        <v>664368.90652678395</v>
      </c>
      <c r="AB684" s="6">
        <v>183.229306039074</v>
      </c>
      <c r="AC684" s="6">
        <v>219327.80807681501</v>
      </c>
      <c r="AD684" s="6">
        <v>81924.472032962498</v>
      </c>
      <c r="AE684" s="6">
        <v>0</v>
      </c>
      <c r="AF684" s="6">
        <v>0</v>
      </c>
      <c r="AG684" s="6">
        <v>0</v>
      </c>
      <c r="AH684" s="6">
        <v>0</v>
      </c>
      <c r="AI684" s="6">
        <v>0</v>
      </c>
      <c r="AJ684" s="6">
        <v>7468678.2275348399</v>
      </c>
      <c r="AK684" s="6">
        <v>13522.9921751981</v>
      </c>
      <c r="AL684" s="6">
        <v>330.98244656580999</v>
      </c>
      <c r="AM684" s="6">
        <v>93035.839999999997</v>
      </c>
      <c r="AN684" s="6">
        <v>6201.0455500809303</v>
      </c>
      <c r="AO684" s="6">
        <v>25430.8314728886</v>
      </c>
      <c r="AP684" s="6">
        <v>330.98244656580999</v>
      </c>
      <c r="AQ684" s="6">
        <v>93035.839999999997</v>
      </c>
      <c r="AR684" s="6">
        <v>6515.6854411145096</v>
      </c>
      <c r="AS684" s="6">
        <v>17371.501341658</v>
      </c>
      <c r="AT684" s="6">
        <v>0</v>
      </c>
      <c r="AU684" t="s">
        <v>2973</v>
      </c>
      <c r="AV684" t="s">
        <v>2973</v>
      </c>
    </row>
    <row r="685" spans="1:48" x14ac:dyDescent="0.45">
      <c r="A685" s="5" t="s">
        <v>1394</v>
      </c>
      <c r="B685">
        <v>2048</v>
      </c>
      <c r="C685" t="s">
        <v>1392</v>
      </c>
      <c r="D685">
        <v>3554</v>
      </c>
      <c r="E685" t="s">
        <v>1395</v>
      </c>
      <c r="F685" t="s">
        <v>2750</v>
      </c>
      <c r="G685" t="s">
        <v>2744</v>
      </c>
      <c r="H685" t="s">
        <v>2741</v>
      </c>
      <c r="I685" t="s">
        <v>2742</v>
      </c>
      <c r="J685">
        <v>193.11150133999001</v>
      </c>
      <c r="K685">
        <v>1</v>
      </c>
      <c r="L685">
        <v>2</v>
      </c>
      <c r="M685">
        <v>2</v>
      </c>
      <c r="N685" s="6">
        <v>3039395.1953034098</v>
      </c>
      <c r="O685" s="6">
        <v>525933.23879975697</v>
      </c>
      <c r="P685" s="6">
        <v>756987.202333419</v>
      </c>
      <c r="Q685" s="6">
        <v>97943.191161616603</v>
      </c>
      <c r="R685" s="6">
        <v>385393.47217073402</v>
      </c>
      <c r="S685" s="6">
        <v>105333.746284858</v>
      </c>
      <c r="T685" s="6">
        <v>3713492.83</v>
      </c>
      <c r="U685" s="6">
        <v>1092159.46976894</v>
      </c>
      <c r="V685" s="6">
        <v>4087148.5490353098</v>
      </c>
      <c r="W685" s="6">
        <v>482141.14075315802</v>
      </c>
      <c r="X685" s="6">
        <v>0</v>
      </c>
      <c r="Y685" s="6">
        <v>0</v>
      </c>
      <c r="Z685" s="6">
        <v>0</v>
      </c>
      <c r="AA685" s="6">
        <v>232298.54331439201</v>
      </c>
      <c r="AB685" s="6">
        <v>4064.06666607548</v>
      </c>
      <c r="AC685" s="6">
        <v>76688.613545957298</v>
      </c>
      <c r="AD685" s="6">
        <v>28645.1327389004</v>
      </c>
      <c r="AE685" s="6">
        <v>0</v>
      </c>
      <c r="AF685" s="6">
        <v>0</v>
      </c>
      <c r="AG685" s="6">
        <v>0</v>
      </c>
      <c r="AH685" s="6">
        <v>0</v>
      </c>
      <c r="AI685" s="6">
        <v>0</v>
      </c>
      <c r="AJ685" s="6">
        <v>4910986.0460537896</v>
      </c>
      <c r="AK685" s="6">
        <v>25430.8314728886</v>
      </c>
      <c r="AL685" s="6">
        <v>330.98244656580999</v>
      </c>
      <c r="AM685" s="6">
        <v>93035.839999999997</v>
      </c>
      <c r="AN685" s="6">
        <v>6201.0455500809303</v>
      </c>
      <c r="AO685" s="6">
        <v>25430.8314728886</v>
      </c>
      <c r="AP685" s="6">
        <v>330.98244656580999</v>
      </c>
      <c r="AQ685" s="6">
        <v>40734.411818744898</v>
      </c>
      <c r="AR685" s="6">
        <v>13469.898842419299</v>
      </c>
      <c r="AS685" s="6">
        <v>25430.8314728886</v>
      </c>
      <c r="AT685" s="6">
        <v>0</v>
      </c>
      <c r="AU685" t="s">
        <v>2973</v>
      </c>
      <c r="AV685" t="s">
        <v>2973</v>
      </c>
    </row>
    <row r="686" spans="1:48" x14ac:dyDescent="0.45">
      <c r="A686" s="5" t="s">
        <v>1396</v>
      </c>
      <c r="B686">
        <v>2048</v>
      </c>
      <c r="C686" t="s">
        <v>1392</v>
      </c>
      <c r="D686">
        <v>408</v>
      </c>
      <c r="E686" t="s">
        <v>1397</v>
      </c>
      <c r="F686" t="s">
        <v>2739</v>
      </c>
      <c r="G686" t="s">
        <v>2740</v>
      </c>
      <c r="H686" t="s">
        <v>2741</v>
      </c>
      <c r="I686" t="s">
        <v>2742</v>
      </c>
      <c r="J686">
        <v>556.09088616454699</v>
      </c>
      <c r="K686">
        <v>1</v>
      </c>
      <c r="L686">
        <v>1</v>
      </c>
      <c r="M686">
        <v>2</v>
      </c>
      <c r="N686" s="6">
        <v>3826358.80123233</v>
      </c>
      <c r="O686" s="6">
        <v>822043.42273270199</v>
      </c>
      <c r="P686" s="6">
        <v>1291319.0152654201</v>
      </c>
      <c r="Q686" s="6">
        <v>282040.76706418401</v>
      </c>
      <c r="R686" s="6">
        <v>3135048.6910387799</v>
      </c>
      <c r="S686" s="6">
        <v>303322.877757815</v>
      </c>
      <c r="T686" s="6">
        <v>6211788.6600000001</v>
      </c>
      <c r="U686" s="6">
        <v>3145022.0373334098</v>
      </c>
      <c r="V686" s="6">
        <v>5730782.9461570401</v>
      </c>
      <c r="W686" s="6">
        <v>2956907.9483736898</v>
      </c>
      <c r="X686" s="6">
        <v>0</v>
      </c>
      <c r="Y686" s="6">
        <v>0</v>
      </c>
      <c r="Z686" s="6">
        <v>0</v>
      </c>
      <c r="AA686" s="6">
        <v>668935.31410644599</v>
      </c>
      <c r="AB686" s="6">
        <v>184.48869624185701</v>
      </c>
      <c r="AC686" s="6">
        <v>220835.31415573199</v>
      </c>
      <c r="AD686" s="6">
        <v>82487.563602083101</v>
      </c>
      <c r="AE686" s="6">
        <v>0</v>
      </c>
      <c r="AF686" s="6">
        <v>0</v>
      </c>
      <c r="AG686" s="6">
        <v>0</v>
      </c>
      <c r="AH686" s="6">
        <v>0</v>
      </c>
      <c r="AI686" s="6">
        <v>0</v>
      </c>
      <c r="AJ686" s="6">
        <v>9660133.5750912204</v>
      </c>
      <c r="AK686" s="6">
        <v>17371.501341658</v>
      </c>
      <c r="AL686" s="6">
        <v>330.98244656580999</v>
      </c>
      <c r="AM686" s="6">
        <v>93035.839999999997</v>
      </c>
      <c r="AN686" s="6">
        <v>6201.0455500809303</v>
      </c>
      <c r="AO686" s="6">
        <v>25430.8314728886</v>
      </c>
      <c r="AP686" s="6">
        <v>330.98244656580999</v>
      </c>
      <c r="AQ686" s="6">
        <v>93035.839999999997</v>
      </c>
      <c r="AR686" s="6">
        <v>6515.6854411145096</v>
      </c>
      <c r="AS686" s="6">
        <v>17371.501341658</v>
      </c>
      <c r="AT686" s="6">
        <v>0</v>
      </c>
      <c r="AU686" t="s">
        <v>2973</v>
      </c>
      <c r="AV686" t="s">
        <v>2973</v>
      </c>
    </row>
    <row r="687" spans="1:48" x14ac:dyDescent="0.45">
      <c r="A687" s="5" t="s">
        <v>1398</v>
      </c>
      <c r="B687">
        <v>2048</v>
      </c>
      <c r="C687" t="s">
        <v>1392</v>
      </c>
      <c r="D687">
        <v>421</v>
      </c>
      <c r="E687" t="s">
        <v>1399</v>
      </c>
      <c r="F687" t="s">
        <v>2739</v>
      </c>
      <c r="G687" t="s">
        <v>2747</v>
      </c>
      <c r="H687" t="s">
        <v>2741</v>
      </c>
      <c r="I687" t="s">
        <v>2742</v>
      </c>
      <c r="J687">
        <v>1007.27372199715</v>
      </c>
      <c r="K687">
        <v>1</v>
      </c>
      <c r="L687">
        <v>1</v>
      </c>
      <c r="M687">
        <v>2</v>
      </c>
      <c r="N687" s="6">
        <v>6718559.6276382403</v>
      </c>
      <c r="O687" s="6">
        <v>1773739.7731069601</v>
      </c>
      <c r="P687" s="6">
        <v>2421767.7970272698</v>
      </c>
      <c r="Q687" s="6">
        <v>510873.780282758</v>
      </c>
      <c r="R687" s="6">
        <v>2015918.68954559</v>
      </c>
      <c r="S687" s="6">
        <v>549423.07390305703</v>
      </c>
      <c r="T687" s="6">
        <v>7744132.5099999998</v>
      </c>
      <c r="U687" s="6">
        <v>5696727.1576008201</v>
      </c>
      <c r="V687" s="6">
        <v>10581298.6002481</v>
      </c>
      <c r="W687" s="6">
        <v>1647552.72303397</v>
      </c>
      <c r="X687" s="6">
        <v>0</v>
      </c>
      <c r="Y687" s="6">
        <v>0</v>
      </c>
      <c r="Z687" s="6">
        <v>0</v>
      </c>
      <c r="AA687" s="6">
        <v>1211674.1712180399</v>
      </c>
      <c r="AB687" s="6">
        <v>334.17310075272297</v>
      </c>
      <c r="AC687" s="6">
        <v>400009.44876523898</v>
      </c>
      <c r="AD687" s="6">
        <v>149413.62513781799</v>
      </c>
      <c r="AE687" s="6">
        <v>0</v>
      </c>
      <c r="AF687" s="6">
        <v>0</v>
      </c>
      <c r="AG687" s="6">
        <v>0</v>
      </c>
      <c r="AH687" s="6">
        <v>0</v>
      </c>
      <c r="AI687" s="6">
        <v>0</v>
      </c>
      <c r="AJ687" s="6">
        <v>13990282.7415039</v>
      </c>
      <c r="AK687" s="6">
        <v>13889.256153496201</v>
      </c>
      <c r="AL687" s="6">
        <v>330.98244656580999</v>
      </c>
      <c r="AM687" s="6">
        <v>93035.839999999997</v>
      </c>
      <c r="AN687" s="6">
        <v>6201.0455500809303</v>
      </c>
      <c r="AO687" s="6">
        <v>25430.8314728886</v>
      </c>
      <c r="AP687" s="6">
        <v>3753.1860850462999</v>
      </c>
      <c r="AQ687" s="6">
        <v>20687.885194392002</v>
      </c>
      <c r="AR687" s="6">
        <v>6507.0170248923496</v>
      </c>
      <c r="AS687" s="6">
        <v>14426.0923300593</v>
      </c>
      <c r="AT687" s="6">
        <v>0</v>
      </c>
      <c r="AU687" t="s">
        <v>2973</v>
      </c>
      <c r="AV687" t="s">
        <v>2973</v>
      </c>
    </row>
    <row r="688" spans="1:48" x14ac:dyDescent="0.45">
      <c r="A688" s="5" t="s">
        <v>1400</v>
      </c>
      <c r="B688">
        <v>2048</v>
      </c>
      <c r="C688" t="s">
        <v>1392</v>
      </c>
      <c r="D688">
        <v>409</v>
      </c>
      <c r="E688" t="s">
        <v>495</v>
      </c>
      <c r="F688" t="s">
        <v>2739</v>
      </c>
      <c r="G688" t="s">
        <v>2740</v>
      </c>
      <c r="H688" t="s">
        <v>2741</v>
      </c>
      <c r="I688" t="s">
        <v>2742</v>
      </c>
      <c r="J688">
        <v>717.23459950436802</v>
      </c>
      <c r="K688">
        <v>1</v>
      </c>
      <c r="L688">
        <v>1</v>
      </c>
      <c r="M688">
        <v>2</v>
      </c>
      <c r="N688" s="6">
        <v>4357198.0080712298</v>
      </c>
      <c r="O688" s="6">
        <v>974006.28937972698</v>
      </c>
      <c r="P688" s="6">
        <v>1637913.2215461</v>
      </c>
      <c r="Q688" s="6">
        <v>363770.38653592899</v>
      </c>
      <c r="R688" s="6">
        <v>2113151.2904423801</v>
      </c>
      <c r="S688" s="6">
        <v>391219.61564528401</v>
      </c>
      <c r="T688" s="6">
        <v>5389654.3899999997</v>
      </c>
      <c r="U688" s="6">
        <v>4056384.8059753599</v>
      </c>
      <c r="V688" s="6">
        <v>6780863.6259994796</v>
      </c>
      <c r="W688" s="6">
        <v>1802158.59608932</v>
      </c>
      <c r="X688" s="6">
        <v>0</v>
      </c>
      <c r="Y688" s="6">
        <v>0</v>
      </c>
      <c r="Z688" s="6">
        <v>0</v>
      </c>
      <c r="AA688" s="6">
        <v>862779.02415666904</v>
      </c>
      <c r="AB688" s="6">
        <v>237.949729898931</v>
      </c>
      <c r="AC688" s="6">
        <v>284828.85090485099</v>
      </c>
      <c r="AD688" s="6">
        <v>106390.76474043301</v>
      </c>
      <c r="AE688" s="6">
        <v>0</v>
      </c>
      <c r="AF688" s="6">
        <v>0</v>
      </c>
      <c r="AG688" s="6">
        <v>0</v>
      </c>
      <c r="AH688" s="6">
        <v>0</v>
      </c>
      <c r="AI688" s="6">
        <v>0</v>
      </c>
      <c r="AJ688" s="6">
        <v>9837258.8116206396</v>
      </c>
      <c r="AK688" s="6">
        <v>13715.5385677413</v>
      </c>
      <c r="AL688" s="6">
        <v>330.98244656580999</v>
      </c>
      <c r="AM688" s="6">
        <v>93035.839999999997</v>
      </c>
      <c r="AN688" s="6">
        <v>6201.0455500809303</v>
      </c>
      <c r="AO688" s="6">
        <v>25430.8314728886</v>
      </c>
      <c r="AP688" s="6">
        <v>330.98244656580999</v>
      </c>
      <c r="AQ688" s="6">
        <v>93035.839999999997</v>
      </c>
      <c r="AR688" s="6">
        <v>6515.6854411145096</v>
      </c>
      <c r="AS688" s="6">
        <v>17371.501341658</v>
      </c>
      <c r="AT688" s="6">
        <v>0</v>
      </c>
      <c r="AU688" t="s">
        <v>2973</v>
      </c>
      <c r="AV688" t="s">
        <v>2973</v>
      </c>
    </row>
    <row r="689" spans="1:48" x14ac:dyDescent="0.45">
      <c r="A689" s="5" t="s">
        <v>1401</v>
      </c>
      <c r="B689">
        <v>2048</v>
      </c>
      <c r="C689" t="s">
        <v>1392</v>
      </c>
      <c r="D689">
        <v>410</v>
      </c>
      <c r="E689" t="s">
        <v>738</v>
      </c>
      <c r="F689" t="s">
        <v>2739</v>
      </c>
      <c r="G689" t="s">
        <v>2740</v>
      </c>
      <c r="H689" t="s">
        <v>2741</v>
      </c>
      <c r="I689" t="s">
        <v>2742</v>
      </c>
      <c r="J689">
        <v>429.62363582940299</v>
      </c>
      <c r="K689">
        <v>3</v>
      </c>
      <c r="L689">
        <v>1</v>
      </c>
      <c r="M689">
        <v>2</v>
      </c>
      <c r="N689" s="6">
        <v>3091716.4728121902</v>
      </c>
      <c r="O689" s="6">
        <v>743228.27189065004</v>
      </c>
      <c r="P689" s="6">
        <v>1027737.09951678</v>
      </c>
      <c r="Q689" s="6">
        <v>217898.51769369599</v>
      </c>
      <c r="R689" s="6">
        <v>2052844.6130884001</v>
      </c>
      <c r="S689" s="6">
        <v>234340.610167796</v>
      </c>
      <c r="T689" s="6">
        <v>4703649.8499999996</v>
      </c>
      <c r="U689" s="6">
        <v>2429775.1250017099</v>
      </c>
      <c r="V689" s="6">
        <v>4515098.4151333701</v>
      </c>
      <c r="W689" s="6">
        <v>2101379.2592781899</v>
      </c>
      <c r="X689" s="6">
        <v>0</v>
      </c>
      <c r="Y689" s="6">
        <v>0</v>
      </c>
      <c r="Z689" s="6">
        <v>0</v>
      </c>
      <c r="AA689" s="6">
        <v>516804.76866519998</v>
      </c>
      <c r="AB689" s="6">
        <v>142.53192494400901</v>
      </c>
      <c r="AC689" s="6">
        <v>170612.52566372801</v>
      </c>
      <c r="AD689" s="6">
        <v>63728.084504067599</v>
      </c>
      <c r="AE689" s="6">
        <v>0</v>
      </c>
      <c r="AF689" s="6">
        <v>0</v>
      </c>
      <c r="AG689" s="6">
        <v>0</v>
      </c>
      <c r="AH689" s="6">
        <v>0</v>
      </c>
      <c r="AI689" s="6">
        <v>0</v>
      </c>
      <c r="AJ689" s="6">
        <v>7367765.58516951</v>
      </c>
      <c r="AK689" s="6">
        <v>17149.348803740198</v>
      </c>
      <c r="AL689" s="6">
        <v>330.98244656580999</v>
      </c>
      <c r="AM689" s="6">
        <v>93035.839999999997</v>
      </c>
      <c r="AN689" s="6">
        <v>6201.0455500809303</v>
      </c>
      <c r="AO689" s="6">
        <v>25430.8314728886</v>
      </c>
      <c r="AP689" s="6">
        <v>330.98244656580999</v>
      </c>
      <c r="AQ689" s="6">
        <v>93035.839999999997</v>
      </c>
      <c r="AR689" s="6">
        <v>6515.6854411145096</v>
      </c>
      <c r="AS689" s="6">
        <v>17371.501341658</v>
      </c>
      <c r="AT689" s="6">
        <v>0</v>
      </c>
      <c r="AU689" t="s">
        <v>2973</v>
      </c>
      <c r="AV689" t="s">
        <v>2973</v>
      </c>
    </row>
    <row r="690" spans="1:48" x14ac:dyDescent="0.45">
      <c r="A690" s="5" t="s">
        <v>1402</v>
      </c>
      <c r="B690">
        <v>2048</v>
      </c>
      <c r="C690" t="s">
        <v>1392</v>
      </c>
      <c r="D690">
        <v>411</v>
      </c>
      <c r="E690" t="s">
        <v>1049</v>
      </c>
      <c r="F690" t="s">
        <v>2739</v>
      </c>
      <c r="G690" t="s">
        <v>2740</v>
      </c>
      <c r="H690" t="s">
        <v>2741</v>
      </c>
      <c r="I690" t="s">
        <v>2742</v>
      </c>
      <c r="J690">
        <v>372.77309352130698</v>
      </c>
      <c r="K690">
        <v>3</v>
      </c>
      <c r="L690">
        <v>2</v>
      </c>
      <c r="M690">
        <v>2</v>
      </c>
      <c r="N690" s="6">
        <v>2785457.7922301702</v>
      </c>
      <c r="O690" s="6">
        <v>641353.98592498596</v>
      </c>
      <c r="P690" s="6">
        <v>898536.43020120903</v>
      </c>
      <c r="Q690" s="6">
        <v>189064.794718697</v>
      </c>
      <c r="R690" s="6">
        <v>747981.49514858006</v>
      </c>
      <c r="S690" s="6">
        <v>203331.16454656099</v>
      </c>
      <c r="T690" s="6">
        <v>3154142.73</v>
      </c>
      <c r="U690" s="6">
        <v>2108251.76822364</v>
      </c>
      <c r="V690" s="6">
        <v>4026831.11579264</v>
      </c>
      <c r="W690" s="6">
        <v>787021.84896426299</v>
      </c>
      <c r="X690" s="6">
        <v>0</v>
      </c>
      <c r="Y690" s="6">
        <v>0</v>
      </c>
      <c r="Z690" s="6">
        <v>0</v>
      </c>
      <c r="AA690" s="6">
        <v>448417.86227606202</v>
      </c>
      <c r="AB690" s="6">
        <v>123.671190679144</v>
      </c>
      <c r="AC690" s="6">
        <v>148035.98703867799</v>
      </c>
      <c r="AD690" s="6">
        <v>55295.177507882101</v>
      </c>
      <c r="AE690" s="6">
        <v>0</v>
      </c>
      <c r="AF690" s="6">
        <v>0</v>
      </c>
      <c r="AG690" s="6">
        <v>0</v>
      </c>
      <c r="AH690" s="6">
        <v>0</v>
      </c>
      <c r="AI690" s="6">
        <v>0</v>
      </c>
      <c r="AJ690" s="6">
        <v>5465725.6627702098</v>
      </c>
      <c r="AK690" s="6">
        <v>14662.3395243997</v>
      </c>
      <c r="AL690" s="6">
        <v>330.98244656580999</v>
      </c>
      <c r="AM690" s="6">
        <v>93035.839999999997</v>
      </c>
      <c r="AN690" s="6">
        <v>6201.0455500809303</v>
      </c>
      <c r="AO690" s="6">
        <v>25430.8314728886</v>
      </c>
      <c r="AP690" s="6">
        <v>330.98244656580999</v>
      </c>
      <c r="AQ690" s="6">
        <v>93035.839999999997</v>
      </c>
      <c r="AR690" s="6">
        <v>6515.6854411145096</v>
      </c>
      <c r="AS690" s="6">
        <v>17371.501341658</v>
      </c>
      <c r="AT690" s="6">
        <v>0</v>
      </c>
      <c r="AU690" t="s">
        <v>2973</v>
      </c>
      <c r="AV690" t="s">
        <v>2973</v>
      </c>
    </row>
    <row r="691" spans="1:48" x14ac:dyDescent="0.45">
      <c r="A691" s="5" t="s">
        <v>1403</v>
      </c>
      <c r="B691">
        <v>2048</v>
      </c>
      <c r="C691" t="s">
        <v>1392</v>
      </c>
      <c r="D691">
        <v>412</v>
      </c>
      <c r="E691" t="s">
        <v>1404</v>
      </c>
      <c r="F691" t="s">
        <v>2739</v>
      </c>
      <c r="G691" t="s">
        <v>2740</v>
      </c>
      <c r="H691" t="s">
        <v>2741</v>
      </c>
      <c r="I691" t="s">
        <v>2742</v>
      </c>
      <c r="J691">
        <v>406.488812043937</v>
      </c>
      <c r="K691">
        <v>1</v>
      </c>
      <c r="L691">
        <v>1</v>
      </c>
      <c r="M691">
        <v>2</v>
      </c>
      <c r="N691" s="6">
        <v>3333335.4384232201</v>
      </c>
      <c r="O691" s="6">
        <v>676442.434012388</v>
      </c>
      <c r="P691" s="6">
        <v>994080.38036577404</v>
      </c>
      <c r="Q691" s="6">
        <v>206164.88995641799</v>
      </c>
      <c r="R691" s="6">
        <v>855503.78492119501</v>
      </c>
      <c r="S691" s="6">
        <v>221721.59140374599</v>
      </c>
      <c r="T691" s="6">
        <v>3766592.88</v>
      </c>
      <c r="U691" s="6">
        <v>2298934.0476789898</v>
      </c>
      <c r="V691" s="6">
        <v>4775396.1199241504</v>
      </c>
      <c r="W691" s="6">
        <v>801020.62716494803</v>
      </c>
      <c r="X691" s="6">
        <v>0</v>
      </c>
      <c r="Y691" s="6">
        <v>0</v>
      </c>
      <c r="Z691" s="6">
        <v>0</v>
      </c>
      <c r="AA691" s="6">
        <v>488975.323873421</v>
      </c>
      <c r="AB691" s="6">
        <v>134.856716476912</v>
      </c>
      <c r="AC691" s="6">
        <v>161425.203580753</v>
      </c>
      <c r="AD691" s="6">
        <v>60296.387822993202</v>
      </c>
      <c r="AE691" s="6">
        <v>0</v>
      </c>
      <c r="AF691" s="6">
        <v>0</v>
      </c>
      <c r="AG691" s="6">
        <v>0</v>
      </c>
      <c r="AH691" s="6">
        <v>0</v>
      </c>
      <c r="AI691" s="6">
        <v>0</v>
      </c>
      <c r="AJ691" s="6">
        <v>6287248.5190827502</v>
      </c>
      <c r="AK691" s="6">
        <v>15467.211723414301</v>
      </c>
      <c r="AL691" s="6">
        <v>330.98244656580999</v>
      </c>
      <c r="AM691" s="6">
        <v>93035.839999999997</v>
      </c>
      <c r="AN691" s="6">
        <v>6201.0455500809303</v>
      </c>
      <c r="AO691" s="6">
        <v>25430.8314728886</v>
      </c>
      <c r="AP691" s="6">
        <v>330.98244656580999</v>
      </c>
      <c r="AQ691" s="6">
        <v>93035.839999999997</v>
      </c>
      <c r="AR691" s="6">
        <v>6515.6854411145096</v>
      </c>
      <c r="AS691" s="6">
        <v>17371.501341658</v>
      </c>
      <c r="AT691" s="6">
        <v>0</v>
      </c>
      <c r="AU691" t="s">
        <v>2973</v>
      </c>
      <c r="AV691" t="s">
        <v>2973</v>
      </c>
    </row>
    <row r="692" spans="1:48" x14ac:dyDescent="0.45">
      <c r="A692" s="5" t="s">
        <v>1405</v>
      </c>
      <c r="B692">
        <v>2048</v>
      </c>
      <c r="C692" t="s">
        <v>1392</v>
      </c>
      <c r="D692">
        <v>413</v>
      </c>
      <c r="E692" t="s">
        <v>499</v>
      </c>
      <c r="F692" t="s">
        <v>2739</v>
      </c>
      <c r="G692" t="s">
        <v>2740</v>
      </c>
      <c r="H692" t="s">
        <v>2741</v>
      </c>
      <c r="I692" t="s">
        <v>2742</v>
      </c>
      <c r="J692">
        <v>449.45664739874798</v>
      </c>
      <c r="K692">
        <v>2</v>
      </c>
      <c r="L692">
        <v>1</v>
      </c>
      <c r="M692">
        <v>2</v>
      </c>
      <c r="N692" s="6">
        <v>3305563.2632465502</v>
      </c>
      <c r="O692" s="6">
        <v>690224.30087662803</v>
      </c>
      <c r="P692" s="6">
        <v>1086808.8732994599</v>
      </c>
      <c r="Q692" s="6">
        <v>227957.516924544</v>
      </c>
      <c r="R692" s="6">
        <v>887572.82193009299</v>
      </c>
      <c r="S692" s="6">
        <v>245158.637029034</v>
      </c>
      <c r="T692" s="6">
        <v>3656184.27</v>
      </c>
      <c r="U692" s="6">
        <v>2541942.5062772701</v>
      </c>
      <c r="V692" s="6">
        <v>4753775.0777147003</v>
      </c>
      <c r="W692" s="6">
        <v>903540.20397026802</v>
      </c>
      <c r="X692" s="6">
        <v>0</v>
      </c>
      <c r="Y692" s="6">
        <v>0</v>
      </c>
      <c r="Z692" s="6">
        <v>0</v>
      </c>
      <c r="AA692" s="6">
        <v>540662.382868018</v>
      </c>
      <c r="AB692" s="6">
        <v>149.11172428619</v>
      </c>
      <c r="AC692" s="6">
        <v>178488.62910210501</v>
      </c>
      <c r="AD692" s="6">
        <v>66670.007926929</v>
      </c>
      <c r="AE692" s="6">
        <v>0</v>
      </c>
      <c r="AF692" s="6">
        <v>0</v>
      </c>
      <c r="AG692" s="6">
        <v>0</v>
      </c>
      <c r="AH692" s="6">
        <v>0</v>
      </c>
      <c r="AI692" s="6">
        <v>0</v>
      </c>
      <c r="AJ692" s="6">
        <v>6443285.4133062996</v>
      </c>
      <c r="AK692" s="6">
        <v>14335.721699961799</v>
      </c>
      <c r="AL692" s="6">
        <v>330.98244656580999</v>
      </c>
      <c r="AM692" s="6">
        <v>93035.839999999997</v>
      </c>
      <c r="AN692" s="6">
        <v>6201.0455500809303</v>
      </c>
      <c r="AO692" s="6">
        <v>25430.8314728886</v>
      </c>
      <c r="AP692" s="6">
        <v>330.98244656580999</v>
      </c>
      <c r="AQ692" s="6">
        <v>93035.839999999997</v>
      </c>
      <c r="AR692" s="6">
        <v>6515.6854411145096</v>
      </c>
      <c r="AS692" s="6">
        <v>17371.501341658</v>
      </c>
      <c r="AT692" s="6">
        <v>0</v>
      </c>
      <c r="AU692" t="s">
        <v>2973</v>
      </c>
      <c r="AV692" t="s">
        <v>2973</v>
      </c>
    </row>
    <row r="693" spans="1:48" x14ac:dyDescent="0.45">
      <c r="A693" s="5" t="s">
        <v>1406</v>
      </c>
      <c r="B693">
        <v>2048</v>
      </c>
      <c r="C693" t="s">
        <v>1392</v>
      </c>
      <c r="D693">
        <v>416</v>
      </c>
      <c r="E693" t="s">
        <v>1407</v>
      </c>
      <c r="F693" t="s">
        <v>2739</v>
      </c>
      <c r="G693" t="s">
        <v>2740</v>
      </c>
      <c r="H693" t="s">
        <v>2741</v>
      </c>
      <c r="I693" t="s">
        <v>2742</v>
      </c>
      <c r="J693">
        <v>565.03977145905299</v>
      </c>
      <c r="K693">
        <v>1</v>
      </c>
      <c r="L693">
        <v>2</v>
      </c>
      <c r="M693">
        <v>2</v>
      </c>
      <c r="N693" s="6">
        <v>3899314.9711164399</v>
      </c>
      <c r="O693" s="6">
        <v>773528.21658073401</v>
      </c>
      <c r="P693" s="6">
        <v>1329479.2024013</v>
      </c>
      <c r="Q693" s="6">
        <v>286579.50441023201</v>
      </c>
      <c r="R693" s="6">
        <v>1122620.7187250401</v>
      </c>
      <c r="S693" s="6">
        <v>308204.09719116299</v>
      </c>
      <c r="T693" s="6">
        <v>4215889.3499999996</v>
      </c>
      <c r="U693" s="6">
        <v>3195633.2632337501</v>
      </c>
      <c r="V693" s="6">
        <v>5686195.7013955303</v>
      </c>
      <c r="W693" s="6">
        <v>1045439.30738199</v>
      </c>
      <c r="X693" s="6">
        <v>0</v>
      </c>
      <c r="Y693" s="6">
        <v>0</v>
      </c>
      <c r="Z693" s="6">
        <v>0</v>
      </c>
      <c r="AA693" s="6">
        <v>679700.14687806403</v>
      </c>
      <c r="AB693" s="6">
        <v>187.457578167234</v>
      </c>
      <c r="AC693" s="6">
        <v>224389.103553336</v>
      </c>
      <c r="AD693" s="6">
        <v>83814.993637827094</v>
      </c>
      <c r="AE693" s="6">
        <v>0</v>
      </c>
      <c r="AF693" s="6">
        <v>0</v>
      </c>
      <c r="AG693" s="6">
        <v>0</v>
      </c>
      <c r="AH693" s="6">
        <v>0</v>
      </c>
      <c r="AI693" s="6">
        <v>0</v>
      </c>
      <c r="AJ693" s="6">
        <v>7719726.7104249001</v>
      </c>
      <c r="AK693" s="6">
        <v>13662.271401694299</v>
      </c>
      <c r="AL693" s="6">
        <v>330.98244656580999</v>
      </c>
      <c r="AM693" s="6">
        <v>93035.839999999997</v>
      </c>
      <c r="AN693" s="6">
        <v>6201.0455500809303</v>
      </c>
      <c r="AO693" s="6">
        <v>25430.8314728886</v>
      </c>
      <c r="AP693" s="6">
        <v>330.98244656580999</v>
      </c>
      <c r="AQ693" s="6">
        <v>93035.839999999997</v>
      </c>
      <c r="AR693" s="6">
        <v>6515.6854411145096</v>
      </c>
      <c r="AS693" s="6">
        <v>17371.501341658</v>
      </c>
      <c r="AT693" s="6">
        <v>0</v>
      </c>
      <c r="AU693" t="s">
        <v>2973</v>
      </c>
      <c r="AV693" t="s">
        <v>2973</v>
      </c>
    </row>
    <row r="694" spans="1:48" x14ac:dyDescent="0.45">
      <c r="A694" s="5" t="s">
        <v>1408</v>
      </c>
      <c r="B694">
        <v>2048</v>
      </c>
      <c r="C694" t="s">
        <v>1392</v>
      </c>
      <c r="D694">
        <v>5205</v>
      </c>
      <c r="E694" t="s">
        <v>1409</v>
      </c>
      <c r="F694" t="s">
        <v>3</v>
      </c>
      <c r="G694" t="s">
        <v>2740</v>
      </c>
      <c r="H694" t="s">
        <v>2741</v>
      </c>
      <c r="I694" t="s">
        <v>2742</v>
      </c>
      <c r="J694">
        <v>428.15346635631499</v>
      </c>
      <c r="K694">
        <v>4</v>
      </c>
      <c r="L694">
        <v>1</v>
      </c>
      <c r="M694">
        <v>2</v>
      </c>
      <c r="N694" s="6">
        <v>392134.79823516699</v>
      </c>
      <c r="O694" s="6">
        <v>208717.806296861</v>
      </c>
      <c r="P694" s="6">
        <v>892569.90280810103</v>
      </c>
      <c r="Q694" s="6">
        <v>217152.870289251</v>
      </c>
      <c r="R694" s="6">
        <v>845599.23164843104</v>
      </c>
      <c r="S694" s="6">
        <v>233538.69802274299</v>
      </c>
      <c r="T694" s="6">
        <v>134714.16</v>
      </c>
      <c r="U694" s="6">
        <v>2421460.4492778098</v>
      </c>
      <c r="V694" s="6">
        <v>1331619.15357408</v>
      </c>
      <c r="W694" s="6">
        <v>709377.14563724701</v>
      </c>
      <c r="X694" s="6">
        <v>0</v>
      </c>
      <c r="Y694" s="6">
        <v>0</v>
      </c>
      <c r="Z694" s="6">
        <v>0</v>
      </c>
      <c r="AA694" s="6">
        <v>515036.26588492101</v>
      </c>
      <c r="AB694" s="6">
        <v>142.04418156232001</v>
      </c>
      <c r="AC694" s="6">
        <v>170028.69063688401</v>
      </c>
      <c r="AD694" s="6">
        <v>63510.007385858298</v>
      </c>
      <c r="AE694" s="6">
        <v>0</v>
      </c>
      <c r="AF694" s="6">
        <v>0</v>
      </c>
      <c r="AG694" s="6">
        <v>0</v>
      </c>
      <c r="AH694" s="6">
        <v>0</v>
      </c>
      <c r="AI694" s="6">
        <v>0</v>
      </c>
      <c r="AJ694" s="6">
        <v>2789713.3073005499</v>
      </c>
      <c r="AK694" s="6">
        <v>6515.6854411145096</v>
      </c>
      <c r="AL694" s="6">
        <v>330.98244656580999</v>
      </c>
      <c r="AM694" s="6">
        <v>93035.839999999997</v>
      </c>
      <c r="AN694" s="6">
        <v>6201.0455500809303</v>
      </c>
      <c r="AO694" s="6">
        <v>25430.8314728886</v>
      </c>
      <c r="AP694" s="6">
        <v>330.98244656580999</v>
      </c>
      <c r="AQ694" s="6">
        <v>93035.839999999997</v>
      </c>
      <c r="AR694" s="6">
        <v>6515.6854411145096</v>
      </c>
      <c r="AS694" s="6">
        <v>17371.501341658</v>
      </c>
      <c r="AT694" s="6">
        <v>0</v>
      </c>
      <c r="AU694" t="s">
        <v>2973</v>
      </c>
      <c r="AV694" t="s">
        <v>2973</v>
      </c>
    </row>
    <row r="695" spans="1:48" x14ac:dyDescent="0.45">
      <c r="A695" s="5" t="s">
        <v>1410</v>
      </c>
      <c r="B695">
        <v>2048</v>
      </c>
      <c r="C695" t="s">
        <v>1392</v>
      </c>
      <c r="D695">
        <v>4821</v>
      </c>
      <c r="E695" t="s">
        <v>1411</v>
      </c>
      <c r="F695" t="s">
        <v>3</v>
      </c>
      <c r="G695" t="s">
        <v>2748</v>
      </c>
      <c r="H695" t="s">
        <v>2745</v>
      </c>
      <c r="I695" t="s">
        <v>2742</v>
      </c>
      <c r="J695">
        <v>967.70155393074504</v>
      </c>
      <c r="K695">
        <v>1</v>
      </c>
      <c r="L695">
        <v>1</v>
      </c>
      <c r="M695">
        <v>2</v>
      </c>
      <c r="N695" s="6">
        <v>664711.01551007596</v>
      </c>
      <c r="O695" s="6">
        <v>388843.21811396402</v>
      </c>
      <c r="P695" s="6">
        <v>2017363.7487741299</v>
      </c>
      <c r="Q695" s="6">
        <v>490803.38367399498</v>
      </c>
      <c r="R695" s="6">
        <v>1911201.83478286</v>
      </c>
      <c r="S695" s="6">
        <v>527838.21395362599</v>
      </c>
      <c r="T695" s="6">
        <v>0</v>
      </c>
      <c r="U695" s="6">
        <v>5472923.2008550297</v>
      </c>
      <c r="V695" s="6">
        <v>2926796.2280909601</v>
      </c>
      <c r="W695" s="6">
        <v>1381734.0847525999</v>
      </c>
      <c r="X695" s="6">
        <v>0</v>
      </c>
      <c r="Y695" s="6">
        <v>0</v>
      </c>
      <c r="Z695" s="6">
        <v>0</v>
      </c>
      <c r="AA695" s="6">
        <v>1164071.84337205</v>
      </c>
      <c r="AB695" s="6">
        <v>321.04463942441799</v>
      </c>
      <c r="AC695" s="6">
        <v>384294.51369942399</v>
      </c>
      <c r="AD695" s="6">
        <v>143543.70025420099</v>
      </c>
      <c r="AE695" s="6">
        <v>0</v>
      </c>
      <c r="AF695" s="6">
        <v>0</v>
      </c>
      <c r="AG695" s="6">
        <v>0</v>
      </c>
      <c r="AH695" s="6">
        <v>0</v>
      </c>
      <c r="AI695" s="6">
        <v>0</v>
      </c>
      <c r="AJ695" s="6">
        <v>6000761.4148086496</v>
      </c>
      <c r="AK695" s="6">
        <v>6201.0455500809303</v>
      </c>
      <c r="AL695" s="6">
        <v>330.98244656580999</v>
      </c>
      <c r="AM695" s="6">
        <v>93035.839999999997</v>
      </c>
      <c r="AN695" s="6">
        <v>6201.0455500809303</v>
      </c>
      <c r="AO695" s="6">
        <v>25430.8314728886</v>
      </c>
      <c r="AP695" s="6">
        <v>330.98244656580999</v>
      </c>
      <c r="AQ695" s="6">
        <v>56162.493707719797</v>
      </c>
      <c r="AR695" s="6">
        <v>6201.0455500809303</v>
      </c>
      <c r="AS695" s="6">
        <v>6201.0455500809303</v>
      </c>
      <c r="AT695" s="6">
        <v>0</v>
      </c>
      <c r="AU695" t="s">
        <v>2973</v>
      </c>
      <c r="AV695" t="s">
        <v>2976</v>
      </c>
    </row>
    <row r="696" spans="1:48" x14ac:dyDescent="0.45">
      <c r="A696" s="5" t="s">
        <v>1412</v>
      </c>
      <c r="B696">
        <v>2048</v>
      </c>
      <c r="C696" t="s">
        <v>1392</v>
      </c>
      <c r="D696">
        <v>414</v>
      </c>
      <c r="E696" t="s">
        <v>1413</v>
      </c>
      <c r="F696" t="s">
        <v>2739</v>
      </c>
      <c r="G696" t="s">
        <v>2740</v>
      </c>
      <c r="H696" t="s">
        <v>2741</v>
      </c>
      <c r="I696" t="s">
        <v>2742</v>
      </c>
      <c r="J696">
        <v>592.62319094539498</v>
      </c>
      <c r="K696">
        <v>1</v>
      </c>
      <c r="L696">
        <v>1</v>
      </c>
      <c r="M696">
        <v>2</v>
      </c>
      <c r="N696" s="6">
        <v>4039117.3712649699</v>
      </c>
      <c r="O696" s="6">
        <v>648972.965526168</v>
      </c>
      <c r="P696" s="6">
        <v>1358234.9520894501</v>
      </c>
      <c r="Q696" s="6">
        <v>300569.39164582099</v>
      </c>
      <c r="R696" s="6">
        <v>1176862.45324958</v>
      </c>
      <c r="S696" s="6">
        <v>323249.627310718</v>
      </c>
      <c r="T696" s="6">
        <v>4172123.36</v>
      </c>
      <c r="U696" s="6">
        <v>3351633.7737759901</v>
      </c>
      <c r="V696" s="6">
        <v>5872712.535592</v>
      </c>
      <c r="W696" s="6">
        <v>937967.07339904504</v>
      </c>
      <c r="X696" s="6">
        <v>0</v>
      </c>
      <c r="Y696" s="6">
        <v>0</v>
      </c>
      <c r="Z696" s="6">
        <v>0</v>
      </c>
      <c r="AA696" s="6">
        <v>712880.91613233101</v>
      </c>
      <c r="AB696" s="6">
        <v>196.60865261484199</v>
      </c>
      <c r="AC696" s="6">
        <v>235343.055972462</v>
      </c>
      <c r="AD696" s="6">
        <v>87906.571338256006</v>
      </c>
      <c r="AE696" s="6">
        <v>0</v>
      </c>
      <c r="AF696" s="6">
        <v>0</v>
      </c>
      <c r="AG696" s="6">
        <v>0</v>
      </c>
      <c r="AH696" s="6">
        <v>0</v>
      </c>
      <c r="AI696" s="6">
        <v>0</v>
      </c>
      <c r="AJ696" s="6">
        <v>7847006.7610867098</v>
      </c>
      <c r="AK696" s="6">
        <v>13241.1402067621</v>
      </c>
      <c r="AL696" s="6">
        <v>330.98244656580999</v>
      </c>
      <c r="AM696" s="6">
        <v>93035.839999999997</v>
      </c>
      <c r="AN696" s="6">
        <v>6201.0455500809303</v>
      </c>
      <c r="AO696" s="6">
        <v>25430.8314728886</v>
      </c>
      <c r="AP696" s="6">
        <v>330.98244656580999</v>
      </c>
      <c r="AQ696" s="6">
        <v>93035.839999999997</v>
      </c>
      <c r="AR696" s="6">
        <v>6515.6854411145096</v>
      </c>
      <c r="AS696" s="6">
        <v>17371.501341658</v>
      </c>
      <c r="AT696" s="6">
        <v>0</v>
      </c>
      <c r="AU696" t="s">
        <v>2973</v>
      </c>
      <c r="AV696" t="s">
        <v>2973</v>
      </c>
    </row>
    <row r="697" spans="1:48" x14ac:dyDescent="0.45">
      <c r="A697" s="5" t="s">
        <v>1414</v>
      </c>
      <c r="B697">
        <v>2048</v>
      </c>
      <c r="C697" t="s">
        <v>1392</v>
      </c>
      <c r="D697">
        <v>4593</v>
      </c>
      <c r="E697" t="s">
        <v>1415</v>
      </c>
      <c r="F697" t="s">
        <v>3</v>
      </c>
      <c r="G697" t="s">
        <v>2740</v>
      </c>
      <c r="H697" t="s">
        <v>2741</v>
      </c>
      <c r="I697" t="s">
        <v>2742</v>
      </c>
      <c r="J697">
        <v>220.17731666945801</v>
      </c>
      <c r="K697">
        <v>1</v>
      </c>
      <c r="L697">
        <v>1</v>
      </c>
      <c r="M697">
        <v>2</v>
      </c>
      <c r="N697" s="6">
        <v>308453.38485852099</v>
      </c>
      <c r="O697" s="6">
        <v>156246.05330489401</v>
      </c>
      <c r="P697" s="6">
        <v>459002.81460446498</v>
      </c>
      <c r="Q697" s="6">
        <v>111670.55750885401</v>
      </c>
      <c r="R697" s="6">
        <v>434848.21315720503</v>
      </c>
      <c r="S697" s="6">
        <v>120096.946327964</v>
      </c>
      <c r="T697" s="6">
        <v>224988.4</v>
      </c>
      <c r="U697" s="6">
        <v>1245232.6234339401</v>
      </c>
      <c r="V697" s="6">
        <v>890910.79861741106</v>
      </c>
      <c r="W697" s="6">
        <v>314380.50491477101</v>
      </c>
      <c r="X697" s="6">
        <v>0</v>
      </c>
      <c r="Y697" s="6">
        <v>0</v>
      </c>
      <c r="Z697" s="6">
        <v>0</v>
      </c>
      <c r="AA697" s="6">
        <v>264856.67388157302</v>
      </c>
      <c r="AB697" s="6">
        <v>73.046020183037498</v>
      </c>
      <c r="AC697" s="6">
        <v>87437.014535567097</v>
      </c>
      <c r="AD697" s="6">
        <v>32659.931792397401</v>
      </c>
      <c r="AE697" s="6">
        <v>0</v>
      </c>
      <c r="AF697" s="6">
        <v>0</v>
      </c>
      <c r="AG697" s="6">
        <v>0</v>
      </c>
      <c r="AH697" s="6">
        <v>0</v>
      </c>
      <c r="AI697" s="6">
        <v>0</v>
      </c>
      <c r="AJ697" s="6">
        <v>1590317.9697618999</v>
      </c>
      <c r="AK697" s="6">
        <v>7222.8964991401499</v>
      </c>
      <c r="AL697" s="6">
        <v>330.98244656580999</v>
      </c>
      <c r="AM697" s="6">
        <v>93035.839999999997</v>
      </c>
      <c r="AN697" s="6">
        <v>6201.0455500809303</v>
      </c>
      <c r="AO697" s="6">
        <v>25430.8314728886</v>
      </c>
      <c r="AP697" s="6">
        <v>330.98244656580999</v>
      </c>
      <c r="AQ697" s="6">
        <v>93035.839999999997</v>
      </c>
      <c r="AR697" s="6">
        <v>6515.6854411145096</v>
      </c>
      <c r="AS697" s="6">
        <v>17371.501341658</v>
      </c>
      <c r="AT697" s="6">
        <v>0</v>
      </c>
      <c r="AU697" t="s">
        <v>2973</v>
      </c>
      <c r="AV697" t="s">
        <v>2973</v>
      </c>
    </row>
    <row r="698" spans="1:48" x14ac:dyDescent="0.45">
      <c r="A698" s="5" t="s">
        <v>1416</v>
      </c>
      <c r="B698">
        <v>2048</v>
      </c>
      <c r="C698" t="s">
        <v>1392</v>
      </c>
      <c r="D698">
        <v>422</v>
      </c>
      <c r="E698" t="s">
        <v>1417</v>
      </c>
      <c r="F698" t="s">
        <v>2739</v>
      </c>
      <c r="G698" t="s">
        <v>2747</v>
      </c>
      <c r="H698" t="s">
        <v>2741</v>
      </c>
      <c r="I698" t="s">
        <v>2742</v>
      </c>
      <c r="J698">
        <v>883.86004292356802</v>
      </c>
      <c r="K698">
        <v>1</v>
      </c>
      <c r="L698">
        <v>1</v>
      </c>
      <c r="M698">
        <v>2</v>
      </c>
      <c r="N698" s="6">
        <v>6016805.0072772596</v>
      </c>
      <c r="O698" s="6">
        <v>1790832.3526228999</v>
      </c>
      <c r="P698" s="6">
        <v>2180939.8196732001</v>
      </c>
      <c r="Q698" s="6">
        <v>448280.25541454798</v>
      </c>
      <c r="R698" s="6">
        <v>1831682.75727603</v>
      </c>
      <c r="S698" s="6">
        <v>482106.39380159503</v>
      </c>
      <c r="T698" s="6">
        <v>7269790.2000000002</v>
      </c>
      <c r="U698" s="6">
        <v>4998749.9922639402</v>
      </c>
      <c r="V698" s="6">
        <v>9559786.4114774503</v>
      </c>
      <c r="W698" s="6">
        <v>1645243.7101481601</v>
      </c>
      <c r="X698" s="6">
        <v>0</v>
      </c>
      <c r="Y698" s="6">
        <v>0</v>
      </c>
      <c r="Z698" s="6">
        <v>0</v>
      </c>
      <c r="AA698" s="6">
        <v>1063216.8412561701</v>
      </c>
      <c r="AB698" s="6">
        <v>293.22938216791903</v>
      </c>
      <c r="AC698" s="6">
        <v>350999.29724611499</v>
      </c>
      <c r="AD698" s="6">
        <v>131107.09655548001</v>
      </c>
      <c r="AE698" s="6">
        <v>0</v>
      </c>
      <c r="AF698" s="6">
        <v>0</v>
      </c>
      <c r="AG698" s="6">
        <v>0</v>
      </c>
      <c r="AH698" s="6">
        <v>0</v>
      </c>
      <c r="AI698" s="6">
        <v>0</v>
      </c>
      <c r="AJ698" s="6">
        <v>12750646.586065499</v>
      </c>
      <c r="AK698" s="6">
        <v>14426.0923300593</v>
      </c>
      <c r="AL698" s="6">
        <v>330.98244656580999</v>
      </c>
      <c r="AM698" s="6">
        <v>93035.839999999997</v>
      </c>
      <c r="AN698" s="6">
        <v>6201.0455500809303</v>
      </c>
      <c r="AO698" s="6">
        <v>25430.8314728886</v>
      </c>
      <c r="AP698" s="6">
        <v>3753.1860850462999</v>
      </c>
      <c r="AQ698" s="6">
        <v>20687.885194392002</v>
      </c>
      <c r="AR698" s="6">
        <v>6507.0170248923496</v>
      </c>
      <c r="AS698" s="6">
        <v>14426.0923300593</v>
      </c>
      <c r="AT698" s="6">
        <v>0</v>
      </c>
      <c r="AU698" t="s">
        <v>2973</v>
      </c>
      <c r="AV698" t="s">
        <v>2973</v>
      </c>
    </row>
    <row r="699" spans="1:48" x14ac:dyDescent="0.45">
      <c r="A699" s="5" t="s">
        <v>1418</v>
      </c>
      <c r="B699">
        <v>2048</v>
      </c>
      <c r="C699" t="s">
        <v>1392</v>
      </c>
      <c r="D699">
        <v>2048</v>
      </c>
      <c r="E699" t="s">
        <v>1392</v>
      </c>
      <c r="F699" t="s">
        <v>1</v>
      </c>
      <c r="G699" t="s">
        <v>1</v>
      </c>
      <c r="H699" t="s">
        <v>2743</v>
      </c>
      <c r="I699" t="s">
        <v>2742</v>
      </c>
      <c r="J699">
        <v>420.80117327445998</v>
      </c>
      <c r="K699">
        <v>1</v>
      </c>
      <c r="L699">
        <v>1</v>
      </c>
      <c r="M699">
        <v>2</v>
      </c>
      <c r="N699" s="6">
        <v>289046.942292205</v>
      </c>
      <c r="O699" s="6">
        <v>169086.92740807901</v>
      </c>
      <c r="P699" s="6">
        <v>877242.60538520198</v>
      </c>
      <c r="Q699" s="6">
        <v>213423.90002183701</v>
      </c>
      <c r="R699" s="6">
        <v>831078.51917171106</v>
      </c>
      <c r="S699" s="6">
        <v>229528.34872338799</v>
      </c>
      <c r="T699" s="6">
        <v>0</v>
      </c>
      <c r="U699" s="6">
        <v>2379878.8942790399</v>
      </c>
      <c r="V699" s="6">
        <v>1272705.70323387</v>
      </c>
      <c r="W699" s="6">
        <v>600841.57316421601</v>
      </c>
      <c r="X699" s="6">
        <v>0</v>
      </c>
      <c r="Y699" s="6">
        <v>0</v>
      </c>
      <c r="Z699" s="6">
        <v>0</v>
      </c>
      <c r="AA699" s="6">
        <v>506192.01289592602</v>
      </c>
      <c r="AB699" s="6">
        <v>139.60498502303599</v>
      </c>
      <c r="AC699" s="6">
        <v>167108.941378458</v>
      </c>
      <c r="AD699" s="6">
        <v>62419.407344930398</v>
      </c>
      <c r="AE699" s="6">
        <v>0</v>
      </c>
      <c r="AF699" s="6">
        <v>0</v>
      </c>
      <c r="AG699" s="6">
        <v>0</v>
      </c>
      <c r="AH699" s="6">
        <v>0</v>
      </c>
      <c r="AI699" s="6">
        <v>0</v>
      </c>
      <c r="AJ699" s="6">
        <v>2609407.2430024301</v>
      </c>
      <c r="AK699" s="6">
        <v>6201.0455500809403</v>
      </c>
      <c r="AL699" s="6">
        <v>330.98244656580999</v>
      </c>
      <c r="AM699" s="6">
        <v>93035.839999999997</v>
      </c>
      <c r="AN699" s="6">
        <v>6201.0455500809303</v>
      </c>
      <c r="AO699" s="6">
        <v>25430.8314728886</v>
      </c>
      <c r="AP699" s="6">
        <v>634.54287297753501</v>
      </c>
      <c r="AQ699" s="6">
        <v>40331.279999999999</v>
      </c>
      <c r="AR699" s="6">
        <v>6201.0455500809403</v>
      </c>
      <c r="AS699" s="6">
        <v>6201.0455500809403</v>
      </c>
      <c r="AT699" s="6">
        <v>0</v>
      </c>
      <c r="AU699" t="s">
        <v>2973</v>
      </c>
      <c r="AV699" t="s">
        <v>2977</v>
      </c>
    </row>
    <row r="700" spans="1:48" x14ac:dyDescent="0.45">
      <c r="A700" s="5" t="s">
        <v>1419</v>
      </c>
      <c r="B700">
        <v>2048</v>
      </c>
      <c r="C700" t="s">
        <v>1392</v>
      </c>
      <c r="D700">
        <v>424</v>
      </c>
      <c r="E700" t="s">
        <v>1420</v>
      </c>
      <c r="F700" t="s">
        <v>2739</v>
      </c>
      <c r="G700" t="s">
        <v>2744</v>
      </c>
      <c r="H700" t="s">
        <v>2741</v>
      </c>
      <c r="I700" t="s">
        <v>2742</v>
      </c>
      <c r="J700">
        <v>1590.3430188863599</v>
      </c>
      <c r="K700">
        <v>1</v>
      </c>
      <c r="L700">
        <v>1</v>
      </c>
      <c r="M700">
        <v>2</v>
      </c>
      <c r="N700" s="6">
        <v>11112462.050489999</v>
      </c>
      <c r="O700" s="6">
        <v>3251589.1093018702</v>
      </c>
      <c r="P700" s="6">
        <v>3849439.2425165498</v>
      </c>
      <c r="Q700" s="6">
        <v>806597.58341940399</v>
      </c>
      <c r="R700" s="6">
        <v>3376891.9582652398</v>
      </c>
      <c r="S700" s="6">
        <v>867461.47637442802</v>
      </c>
      <c r="T700" s="6">
        <v>13402651.92</v>
      </c>
      <c r="U700" s="6">
        <v>8994328.0239931103</v>
      </c>
      <c r="V700" s="6">
        <v>17055439.112306401</v>
      </c>
      <c r="W700" s="6">
        <v>3280653.1947759502</v>
      </c>
      <c r="X700" s="6">
        <v>0</v>
      </c>
      <c r="Y700" s="6">
        <v>0</v>
      </c>
      <c r="Z700" s="6">
        <v>0</v>
      </c>
      <c r="AA700" s="6">
        <v>1913062.4747569601</v>
      </c>
      <c r="AB700" s="6">
        <v>147825.16215375299</v>
      </c>
      <c r="AC700" s="6">
        <v>631558.45371510705</v>
      </c>
      <c r="AD700" s="6">
        <v>235903.02265932201</v>
      </c>
      <c r="AE700" s="6">
        <v>0</v>
      </c>
      <c r="AF700" s="6">
        <v>0</v>
      </c>
      <c r="AG700" s="6">
        <v>0</v>
      </c>
      <c r="AH700" s="6">
        <v>0</v>
      </c>
      <c r="AI700" s="6">
        <v>0</v>
      </c>
      <c r="AJ700" s="6">
        <v>23264441.420367502</v>
      </c>
      <c r="AK700" s="6">
        <v>14628.5682674034</v>
      </c>
      <c r="AL700" s="6">
        <v>330.98244656580999</v>
      </c>
      <c r="AM700" s="6">
        <v>93035.839999999997</v>
      </c>
      <c r="AN700" s="6">
        <v>6201.0455500809303</v>
      </c>
      <c r="AO700" s="6">
        <v>25430.8314728886</v>
      </c>
      <c r="AP700" s="6">
        <v>330.98244656580999</v>
      </c>
      <c r="AQ700" s="6">
        <v>40734.411818744898</v>
      </c>
      <c r="AR700" s="6">
        <v>13469.898842419299</v>
      </c>
      <c r="AS700" s="6">
        <v>25430.8314728886</v>
      </c>
      <c r="AT700" s="6">
        <v>0</v>
      </c>
      <c r="AU700" t="s">
        <v>2973</v>
      </c>
      <c r="AV700" t="s">
        <v>2973</v>
      </c>
    </row>
    <row r="701" spans="1:48" x14ac:dyDescent="0.45">
      <c r="A701" s="5" t="s">
        <v>1421</v>
      </c>
      <c r="B701">
        <v>2048</v>
      </c>
      <c r="C701" t="s">
        <v>1392</v>
      </c>
      <c r="D701">
        <v>415</v>
      </c>
      <c r="E701" t="s">
        <v>906</v>
      </c>
      <c r="F701" t="s">
        <v>2739</v>
      </c>
      <c r="G701" t="s">
        <v>2740</v>
      </c>
      <c r="H701" t="s">
        <v>2741</v>
      </c>
      <c r="I701" t="s">
        <v>2742</v>
      </c>
      <c r="J701">
        <v>544.81991615520803</v>
      </c>
      <c r="K701">
        <v>2</v>
      </c>
      <c r="L701">
        <v>1</v>
      </c>
      <c r="M701">
        <v>2</v>
      </c>
      <c r="N701" s="6">
        <v>3485899.7789928298</v>
      </c>
      <c r="O701" s="6">
        <v>781889.15549381205</v>
      </c>
      <c r="P701" s="6">
        <v>1301847.06695669</v>
      </c>
      <c r="Q701" s="6">
        <v>276324.30397140299</v>
      </c>
      <c r="R701" s="6">
        <v>1112489.41699927</v>
      </c>
      <c r="S701" s="6">
        <v>297175.06425571901</v>
      </c>
      <c r="T701" s="6">
        <v>3877171.67</v>
      </c>
      <c r="U701" s="6">
        <v>3081278.052414</v>
      </c>
      <c r="V701" s="6">
        <v>5239311.1267837305</v>
      </c>
      <c r="W701" s="6">
        <v>1063580.65729556</v>
      </c>
      <c r="X701" s="6">
        <v>0</v>
      </c>
      <c r="Y701" s="6">
        <v>0</v>
      </c>
      <c r="Z701" s="6">
        <v>0</v>
      </c>
      <c r="AA701" s="6">
        <v>655377.18889514497</v>
      </c>
      <c r="AB701" s="6">
        <v>180.74943955893201</v>
      </c>
      <c r="AC701" s="6">
        <v>216359.37638228701</v>
      </c>
      <c r="AD701" s="6">
        <v>80815.687873432107</v>
      </c>
      <c r="AE701" s="6">
        <v>0</v>
      </c>
      <c r="AF701" s="6">
        <v>0</v>
      </c>
      <c r="AG701" s="6">
        <v>0</v>
      </c>
      <c r="AH701" s="6">
        <v>0</v>
      </c>
      <c r="AI701" s="6">
        <v>0</v>
      </c>
      <c r="AJ701" s="6">
        <v>7255624.78666972</v>
      </c>
      <c r="AK701" s="6">
        <v>13317.473483481701</v>
      </c>
      <c r="AL701" s="6">
        <v>330.98244656580999</v>
      </c>
      <c r="AM701" s="6">
        <v>93035.839999999997</v>
      </c>
      <c r="AN701" s="6">
        <v>6201.0455500809303</v>
      </c>
      <c r="AO701" s="6">
        <v>25430.8314728886</v>
      </c>
      <c r="AP701" s="6">
        <v>330.98244656580999</v>
      </c>
      <c r="AQ701" s="6">
        <v>93035.839999999997</v>
      </c>
      <c r="AR701" s="6">
        <v>6515.6854411145096</v>
      </c>
      <c r="AS701" s="6">
        <v>17371.501341658</v>
      </c>
      <c r="AT701" s="6">
        <v>0</v>
      </c>
      <c r="AU701" t="s">
        <v>2973</v>
      </c>
      <c r="AV701" t="s">
        <v>2973</v>
      </c>
    </row>
    <row r="702" spans="1:48" x14ac:dyDescent="0.45">
      <c r="A702" s="5" t="s">
        <v>1422</v>
      </c>
      <c r="B702">
        <v>2048</v>
      </c>
      <c r="C702" t="s">
        <v>1392</v>
      </c>
      <c r="D702">
        <v>417</v>
      </c>
      <c r="E702" t="s">
        <v>1237</v>
      </c>
      <c r="F702" t="s">
        <v>2739</v>
      </c>
      <c r="G702" t="s">
        <v>2740</v>
      </c>
      <c r="H702" t="s">
        <v>2741</v>
      </c>
      <c r="I702" t="s">
        <v>2742</v>
      </c>
      <c r="J702">
        <v>407.81403468188603</v>
      </c>
      <c r="K702">
        <v>1</v>
      </c>
      <c r="L702">
        <v>2</v>
      </c>
      <c r="M702">
        <v>2</v>
      </c>
      <c r="N702" s="6">
        <v>3029124.66949578</v>
      </c>
      <c r="O702" s="6">
        <v>701001.25686222303</v>
      </c>
      <c r="P702" s="6">
        <v>1000723.14695855</v>
      </c>
      <c r="Q702" s="6">
        <v>206837.02254955599</v>
      </c>
      <c r="R702" s="6">
        <v>805429.03767001803</v>
      </c>
      <c r="S702" s="6">
        <v>222444.44148853101</v>
      </c>
      <c r="T702" s="6">
        <v>3436686.17</v>
      </c>
      <c r="U702" s="6">
        <v>2306428.9635361298</v>
      </c>
      <c r="V702" s="6">
        <v>4413388.67234514</v>
      </c>
      <c r="W702" s="6">
        <v>839021.69825450005</v>
      </c>
      <c r="X702" s="6">
        <v>0</v>
      </c>
      <c r="Y702" s="6">
        <v>0</v>
      </c>
      <c r="Z702" s="6">
        <v>0</v>
      </c>
      <c r="AA702" s="6">
        <v>490569.46656417998</v>
      </c>
      <c r="AB702" s="6">
        <v>135.296372300786</v>
      </c>
      <c r="AC702" s="6">
        <v>161951.47718972401</v>
      </c>
      <c r="AD702" s="6">
        <v>60492.964298807499</v>
      </c>
      <c r="AE702" s="6">
        <v>0</v>
      </c>
      <c r="AF702" s="6">
        <v>0</v>
      </c>
      <c r="AG702" s="6">
        <v>0</v>
      </c>
      <c r="AH702" s="6">
        <v>0</v>
      </c>
      <c r="AI702" s="6">
        <v>0</v>
      </c>
      <c r="AJ702" s="6">
        <v>5965559.5750246597</v>
      </c>
      <c r="AK702" s="6">
        <v>14628.1370126903</v>
      </c>
      <c r="AL702" s="6">
        <v>330.98244656580999</v>
      </c>
      <c r="AM702" s="6">
        <v>93035.839999999997</v>
      </c>
      <c r="AN702" s="6">
        <v>6201.0455500809303</v>
      </c>
      <c r="AO702" s="6">
        <v>25430.8314728886</v>
      </c>
      <c r="AP702" s="6">
        <v>330.98244656580999</v>
      </c>
      <c r="AQ702" s="6">
        <v>93035.839999999997</v>
      </c>
      <c r="AR702" s="6">
        <v>6515.6854411145096</v>
      </c>
      <c r="AS702" s="6">
        <v>17371.501341658</v>
      </c>
      <c r="AT702" s="6">
        <v>0</v>
      </c>
      <c r="AU702" t="s">
        <v>2973</v>
      </c>
      <c r="AV702" t="s">
        <v>2973</v>
      </c>
    </row>
    <row r="703" spans="1:48" x14ac:dyDescent="0.45">
      <c r="A703" s="5" t="s">
        <v>2950</v>
      </c>
      <c r="B703">
        <v>2048</v>
      </c>
      <c r="C703" t="s">
        <v>1392</v>
      </c>
      <c r="D703">
        <v>418</v>
      </c>
      <c r="E703" t="s">
        <v>2951</v>
      </c>
      <c r="F703" t="s">
        <v>2739</v>
      </c>
      <c r="G703" t="s">
        <v>2740</v>
      </c>
      <c r="H703" t="s">
        <v>2741</v>
      </c>
      <c r="I703" t="s">
        <v>2742</v>
      </c>
      <c r="J703">
        <v>223.62956693752301</v>
      </c>
      <c r="K703">
        <v>1</v>
      </c>
      <c r="L703">
        <v>1</v>
      </c>
      <c r="M703">
        <v>2</v>
      </c>
      <c r="N703" s="6">
        <v>1558572.84421636</v>
      </c>
      <c r="O703" s="6">
        <v>445937.40142970002</v>
      </c>
      <c r="P703" s="6">
        <v>554930.92760747997</v>
      </c>
      <c r="Q703" s="6">
        <v>113421.485887519</v>
      </c>
      <c r="R703" s="6">
        <v>570764.01627749298</v>
      </c>
      <c r="S703" s="6">
        <v>121979.99550590001</v>
      </c>
      <c r="T703" s="6">
        <v>1978869.54</v>
      </c>
      <c r="U703" s="6">
        <v>1264757.1354185501</v>
      </c>
      <c r="V703" s="6">
        <v>2396883.59847169</v>
      </c>
      <c r="W703" s="6">
        <v>577659.41552931105</v>
      </c>
      <c r="X703" s="6">
        <v>0</v>
      </c>
      <c r="Y703" s="6">
        <v>0</v>
      </c>
      <c r="Z703" s="6">
        <v>0</v>
      </c>
      <c r="AA703" s="6">
        <v>269009.47007891798</v>
      </c>
      <c r="AB703" s="6">
        <v>74.191338631697505</v>
      </c>
      <c r="AC703" s="6">
        <v>88807.975275007906</v>
      </c>
      <c r="AD703" s="6">
        <v>33172.020230892398</v>
      </c>
      <c r="AE703" s="6">
        <v>0</v>
      </c>
      <c r="AF703" s="6">
        <v>0</v>
      </c>
      <c r="AG703" s="6">
        <v>0</v>
      </c>
      <c r="AH703" s="6">
        <v>0</v>
      </c>
      <c r="AI703" s="6">
        <v>0</v>
      </c>
      <c r="AJ703" s="6">
        <v>3365606.6709244498</v>
      </c>
      <c r="AK703" s="6">
        <v>15049.9181168862</v>
      </c>
      <c r="AL703" s="6">
        <v>330.98244656580999</v>
      </c>
      <c r="AM703" s="6">
        <v>93035.839999999997</v>
      </c>
      <c r="AN703" s="6">
        <v>6201.0455500809303</v>
      </c>
      <c r="AO703" s="6">
        <v>25430.8314728886</v>
      </c>
      <c r="AP703" s="6">
        <v>330.98244656580999</v>
      </c>
      <c r="AQ703" s="6">
        <v>93035.839999999997</v>
      </c>
      <c r="AR703" s="6">
        <v>6515.6854411145096</v>
      </c>
      <c r="AS703" s="6">
        <v>17371.501341658</v>
      </c>
      <c r="AT703" s="6">
        <v>0</v>
      </c>
      <c r="AU703" t="s">
        <v>2973</v>
      </c>
      <c r="AV703" t="s">
        <v>2973</v>
      </c>
    </row>
    <row r="704" spans="1:48" x14ac:dyDescent="0.45">
      <c r="A704" s="5" t="s">
        <v>1423</v>
      </c>
      <c r="B704">
        <v>2048</v>
      </c>
      <c r="C704" t="s">
        <v>1392</v>
      </c>
      <c r="D704">
        <v>423</v>
      </c>
      <c r="E704" t="s">
        <v>1424</v>
      </c>
      <c r="F704" t="s">
        <v>2739</v>
      </c>
      <c r="G704" t="s">
        <v>2744</v>
      </c>
      <c r="H704" t="s">
        <v>2741</v>
      </c>
      <c r="I704" t="s">
        <v>2742</v>
      </c>
      <c r="J704">
        <v>1756.6204965862401</v>
      </c>
      <c r="K704">
        <v>1</v>
      </c>
      <c r="L704">
        <v>1</v>
      </c>
      <c r="M704">
        <v>2</v>
      </c>
      <c r="N704" s="6">
        <v>10635631.9331876</v>
      </c>
      <c r="O704" s="6">
        <v>3306971.4524635901</v>
      </c>
      <c r="P704" s="6">
        <v>4185361.9178320998</v>
      </c>
      <c r="Q704" s="6">
        <v>890930.96942295798</v>
      </c>
      <c r="R704" s="6">
        <v>3684445.6659439001</v>
      </c>
      <c r="S704" s="6">
        <v>958158.45468691899</v>
      </c>
      <c r="T704" s="6">
        <v>12768616.68</v>
      </c>
      <c r="U704" s="6">
        <v>9934725.2588501591</v>
      </c>
      <c r="V704" s="6">
        <v>17293764.751623001</v>
      </c>
      <c r="W704" s="6">
        <v>3207944.6954715201</v>
      </c>
      <c r="X704" s="6">
        <v>0</v>
      </c>
      <c r="Y704" s="6">
        <v>0</v>
      </c>
      <c r="Z704" s="6">
        <v>0</v>
      </c>
      <c r="AA704" s="6">
        <v>2113081.71539074</v>
      </c>
      <c r="AB704" s="6">
        <v>88550.776364924997</v>
      </c>
      <c r="AC704" s="6">
        <v>697590.71559614595</v>
      </c>
      <c r="AD704" s="6">
        <v>260567.73909077299</v>
      </c>
      <c r="AE704" s="6">
        <v>0</v>
      </c>
      <c r="AF704" s="6">
        <v>0</v>
      </c>
      <c r="AG704" s="6">
        <v>0</v>
      </c>
      <c r="AH704" s="6">
        <v>0</v>
      </c>
      <c r="AI704" s="6">
        <v>0</v>
      </c>
      <c r="AJ704" s="6">
        <v>23661500.3935371</v>
      </c>
      <c r="AK704" s="6">
        <v>13469.898842419299</v>
      </c>
      <c r="AL704" s="6">
        <v>330.98244656580999</v>
      </c>
      <c r="AM704" s="6">
        <v>93035.839999999997</v>
      </c>
      <c r="AN704" s="6">
        <v>6201.0455500809303</v>
      </c>
      <c r="AO704" s="6">
        <v>25430.8314728886</v>
      </c>
      <c r="AP704" s="6">
        <v>330.98244656580999</v>
      </c>
      <c r="AQ704" s="6">
        <v>40734.411818744898</v>
      </c>
      <c r="AR704" s="6">
        <v>13469.898842419299</v>
      </c>
      <c r="AS704" s="6">
        <v>25430.8314728886</v>
      </c>
      <c r="AT704" s="6">
        <v>0</v>
      </c>
      <c r="AU704" t="s">
        <v>2973</v>
      </c>
      <c r="AV704" t="s">
        <v>2973</v>
      </c>
    </row>
    <row r="705" spans="1:48" x14ac:dyDescent="0.45">
      <c r="A705" s="5" t="s">
        <v>1425</v>
      </c>
      <c r="B705">
        <v>2048</v>
      </c>
      <c r="C705" t="s">
        <v>1392</v>
      </c>
      <c r="D705">
        <v>5304</v>
      </c>
      <c r="E705" t="s">
        <v>1426</v>
      </c>
      <c r="F705" t="s">
        <v>3</v>
      </c>
      <c r="G705" t="s">
        <v>2747</v>
      </c>
      <c r="H705" t="s">
        <v>2741</v>
      </c>
      <c r="I705" t="s">
        <v>2742</v>
      </c>
      <c r="J705">
        <v>119.420805558819</v>
      </c>
      <c r="K705">
        <v>1</v>
      </c>
      <c r="L705">
        <v>1</v>
      </c>
      <c r="M705">
        <v>2</v>
      </c>
      <c r="N705" s="6">
        <v>82029.758672594602</v>
      </c>
      <c r="O705" s="6">
        <v>84525.198355465196</v>
      </c>
      <c r="P705" s="6">
        <v>248956.099124965</v>
      </c>
      <c r="Q705" s="6">
        <v>60568.400671946503</v>
      </c>
      <c r="R705" s="6">
        <v>235855.013116571</v>
      </c>
      <c r="S705" s="6">
        <v>65138.7449560522</v>
      </c>
      <c r="T705" s="6">
        <v>36539.360000000001</v>
      </c>
      <c r="U705" s="6">
        <v>675395.10994154203</v>
      </c>
      <c r="V705" s="6">
        <v>397725.473472076</v>
      </c>
      <c r="W705" s="6">
        <v>170515.17257462401</v>
      </c>
      <c r="X705" s="6">
        <v>0</v>
      </c>
      <c r="Y705" s="6">
        <v>0</v>
      </c>
      <c r="Z705" s="6">
        <v>0</v>
      </c>
      <c r="AA705" s="6">
        <v>143654.204851858</v>
      </c>
      <c r="AB705" s="6">
        <v>39.6190429835233</v>
      </c>
      <c r="AC705" s="6">
        <v>47424.497988461597</v>
      </c>
      <c r="AD705" s="6">
        <v>17714.2469675906</v>
      </c>
      <c r="AE705" s="6">
        <v>0</v>
      </c>
      <c r="AF705" s="6">
        <v>0</v>
      </c>
      <c r="AG705" s="6">
        <v>0</v>
      </c>
      <c r="AH705" s="6">
        <v>0</v>
      </c>
      <c r="AI705" s="6">
        <v>0</v>
      </c>
      <c r="AJ705" s="6">
        <v>777073.21489759395</v>
      </c>
      <c r="AK705" s="6">
        <v>6507.0170248923496</v>
      </c>
      <c r="AL705" s="6">
        <v>330.98244656580999</v>
      </c>
      <c r="AM705" s="6">
        <v>93035.839999999997</v>
      </c>
      <c r="AN705" s="6">
        <v>6201.0455500809303</v>
      </c>
      <c r="AO705" s="6">
        <v>25430.8314728886</v>
      </c>
      <c r="AP705" s="6">
        <v>3753.1860850462999</v>
      </c>
      <c r="AQ705" s="6">
        <v>20687.885194392002</v>
      </c>
      <c r="AR705" s="6">
        <v>6507.0170248923496</v>
      </c>
      <c r="AS705" s="6">
        <v>14426.0923300593</v>
      </c>
      <c r="AT705" s="6">
        <v>0</v>
      </c>
      <c r="AU705" t="s">
        <v>2973</v>
      </c>
      <c r="AV705" t="s">
        <v>2973</v>
      </c>
    </row>
    <row r="706" spans="1:48" x14ac:dyDescent="0.45">
      <c r="A706" s="5" t="s">
        <v>1427</v>
      </c>
      <c r="B706">
        <v>2048</v>
      </c>
      <c r="C706" t="s">
        <v>1392</v>
      </c>
      <c r="D706">
        <v>419</v>
      </c>
      <c r="E706" t="s">
        <v>1428</v>
      </c>
      <c r="F706" t="s">
        <v>2739</v>
      </c>
      <c r="G706" t="s">
        <v>2740</v>
      </c>
      <c r="H706" t="s">
        <v>2741</v>
      </c>
      <c r="I706" t="s">
        <v>2742</v>
      </c>
      <c r="J706">
        <v>381.57501648639698</v>
      </c>
      <c r="K706">
        <v>3</v>
      </c>
      <c r="L706">
        <v>1</v>
      </c>
      <c r="M706">
        <v>2</v>
      </c>
      <c r="N706" s="6">
        <v>2875295.1641734201</v>
      </c>
      <c r="O706" s="6">
        <v>706347.38716027897</v>
      </c>
      <c r="P706" s="6">
        <v>954441.99552794197</v>
      </c>
      <c r="Q706" s="6">
        <v>193528.99502565799</v>
      </c>
      <c r="R706" s="6">
        <v>762460.90356069396</v>
      </c>
      <c r="S706" s="6">
        <v>208132.22255703801</v>
      </c>
      <c r="T706" s="6">
        <v>3334042.61</v>
      </c>
      <c r="U706" s="6">
        <v>2158031.8354480001</v>
      </c>
      <c r="V706" s="6">
        <v>4235089.7860660497</v>
      </c>
      <c r="W706" s="6">
        <v>797852.15759470803</v>
      </c>
      <c r="X706" s="6">
        <v>0</v>
      </c>
      <c r="Y706" s="6">
        <v>0</v>
      </c>
      <c r="Z706" s="6">
        <v>0</v>
      </c>
      <c r="AA706" s="6">
        <v>459005.910470851</v>
      </c>
      <c r="AB706" s="6">
        <v>126.591316386383</v>
      </c>
      <c r="AC706" s="6">
        <v>151531.414623505</v>
      </c>
      <c r="AD706" s="6">
        <v>56600.807933532902</v>
      </c>
      <c r="AE706" s="6">
        <v>0</v>
      </c>
      <c r="AF706" s="6">
        <v>0</v>
      </c>
      <c r="AG706" s="6">
        <v>0</v>
      </c>
      <c r="AH706" s="6">
        <v>0</v>
      </c>
      <c r="AI706" s="6">
        <v>0</v>
      </c>
      <c r="AJ706" s="6">
        <v>5700206.6680050297</v>
      </c>
      <c r="AK706" s="6">
        <v>14938.626539267199</v>
      </c>
      <c r="AL706" s="6">
        <v>330.98244656580999</v>
      </c>
      <c r="AM706" s="6">
        <v>93035.839999999997</v>
      </c>
      <c r="AN706" s="6">
        <v>6201.0455500809303</v>
      </c>
      <c r="AO706" s="6">
        <v>25430.8314728886</v>
      </c>
      <c r="AP706" s="6">
        <v>330.98244656580999</v>
      </c>
      <c r="AQ706" s="6">
        <v>93035.839999999997</v>
      </c>
      <c r="AR706" s="6">
        <v>6515.6854411145096</v>
      </c>
      <c r="AS706" s="6">
        <v>17371.501341658</v>
      </c>
      <c r="AT706" s="6">
        <v>0</v>
      </c>
      <c r="AU706" t="s">
        <v>2973</v>
      </c>
      <c r="AV706" t="s">
        <v>2973</v>
      </c>
    </row>
    <row r="707" spans="1:48" x14ac:dyDescent="0.45">
      <c r="A707" s="5" t="s">
        <v>1429</v>
      </c>
      <c r="B707">
        <v>2048</v>
      </c>
      <c r="C707" t="s">
        <v>1392</v>
      </c>
      <c r="D707">
        <v>420</v>
      </c>
      <c r="E707" t="s">
        <v>507</v>
      </c>
      <c r="F707" t="s">
        <v>2739</v>
      </c>
      <c r="G707" t="s">
        <v>2740</v>
      </c>
      <c r="H707" t="s">
        <v>2741</v>
      </c>
      <c r="I707" t="s">
        <v>2742</v>
      </c>
      <c r="J707">
        <v>530.65315992506396</v>
      </c>
      <c r="K707">
        <v>1</v>
      </c>
      <c r="L707">
        <v>1</v>
      </c>
      <c r="M707">
        <v>2</v>
      </c>
      <c r="N707" s="6">
        <v>3319478.8707198398</v>
      </c>
      <c r="O707" s="6">
        <v>713457.48930697294</v>
      </c>
      <c r="P707" s="6">
        <v>1242864.1741277301</v>
      </c>
      <c r="Q707" s="6">
        <v>269139.14252860501</v>
      </c>
      <c r="R707" s="6">
        <v>1157213.17131031</v>
      </c>
      <c r="S707" s="6">
        <v>289447.72799624898</v>
      </c>
      <c r="T707" s="6">
        <v>3700996.16</v>
      </c>
      <c r="U707" s="6">
        <v>3001156.6879934501</v>
      </c>
      <c r="V707" s="6">
        <v>4955392.1832214296</v>
      </c>
      <c r="W707" s="6">
        <v>1108248.9636099001</v>
      </c>
      <c r="X707" s="6">
        <v>0</v>
      </c>
      <c r="Y707" s="6">
        <v>0</v>
      </c>
      <c r="Z707" s="6">
        <v>0</v>
      </c>
      <c r="AA707" s="6">
        <v>638335.65168520703</v>
      </c>
      <c r="AB707" s="6">
        <v>176.04947692350399</v>
      </c>
      <c r="AC707" s="6">
        <v>210733.46137362899</v>
      </c>
      <c r="AD707" s="6">
        <v>78714.266622619805</v>
      </c>
      <c r="AE707" s="6">
        <v>0</v>
      </c>
      <c r="AF707" s="6">
        <v>0</v>
      </c>
      <c r="AG707" s="6">
        <v>0</v>
      </c>
      <c r="AH707" s="6">
        <v>0</v>
      </c>
      <c r="AI707" s="6">
        <v>0</v>
      </c>
      <c r="AJ707" s="6">
        <v>6991600.5759896999</v>
      </c>
      <c r="AK707" s="6">
        <v>13175.4620607121</v>
      </c>
      <c r="AL707" s="6">
        <v>330.98244656580999</v>
      </c>
      <c r="AM707" s="6">
        <v>93035.839999999997</v>
      </c>
      <c r="AN707" s="6">
        <v>6201.0455500809303</v>
      </c>
      <c r="AO707" s="6">
        <v>25430.8314728886</v>
      </c>
      <c r="AP707" s="6">
        <v>330.98244656580999</v>
      </c>
      <c r="AQ707" s="6">
        <v>93035.839999999997</v>
      </c>
      <c r="AR707" s="6">
        <v>6515.6854411145096</v>
      </c>
      <c r="AS707" s="6">
        <v>17371.501341658</v>
      </c>
      <c r="AT707" s="6">
        <v>0</v>
      </c>
      <c r="AU707" t="s">
        <v>2973</v>
      </c>
      <c r="AV707" t="s">
        <v>2973</v>
      </c>
    </row>
    <row r="708" spans="1:48" x14ac:dyDescent="0.45">
      <c r="A708" s="5" t="s">
        <v>1430</v>
      </c>
      <c r="B708">
        <v>2205</v>
      </c>
      <c r="C708" t="s">
        <v>1431</v>
      </c>
      <c r="D708">
        <v>1057</v>
      </c>
      <c r="E708" t="s">
        <v>1432</v>
      </c>
      <c r="F708" t="s">
        <v>2739</v>
      </c>
      <c r="G708" t="s">
        <v>2747</v>
      </c>
      <c r="H708" t="s">
        <v>2741</v>
      </c>
      <c r="I708" t="s">
        <v>2742</v>
      </c>
      <c r="J708">
        <v>406.34544041125599</v>
      </c>
      <c r="K708">
        <v>2</v>
      </c>
      <c r="L708">
        <v>1</v>
      </c>
      <c r="M708">
        <v>3</v>
      </c>
      <c r="N708" s="6">
        <v>2609741.9336191099</v>
      </c>
      <c r="O708" s="6">
        <v>751594.78008058795</v>
      </c>
      <c r="P708" s="6">
        <v>992793.95618679002</v>
      </c>
      <c r="Q708" s="6">
        <v>223220.70348513901</v>
      </c>
      <c r="R708" s="6">
        <v>144543.87241783299</v>
      </c>
      <c r="S708" s="6">
        <v>181796.97020262101</v>
      </c>
      <c r="T708" s="6">
        <v>2927112.26</v>
      </c>
      <c r="U708" s="6">
        <v>1794782.9857894599</v>
      </c>
      <c r="V708" s="6">
        <v>4154941.8183610798</v>
      </c>
      <c r="W708" s="6">
        <v>566953.42742837698</v>
      </c>
      <c r="X708" s="6">
        <v>0</v>
      </c>
      <c r="Y708" s="6">
        <v>0</v>
      </c>
      <c r="Z708" s="6">
        <v>0</v>
      </c>
      <c r="AA708" s="6">
        <v>0</v>
      </c>
      <c r="AB708" s="6">
        <v>0</v>
      </c>
      <c r="AC708" s="6">
        <v>181796.97020262101</v>
      </c>
      <c r="AD708" s="6">
        <v>0</v>
      </c>
      <c r="AE708" s="6">
        <v>0</v>
      </c>
      <c r="AF708" s="6">
        <v>0</v>
      </c>
      <c r="AG708" s="6">
        <v>0</v>
      </c>
      <c r="AH708" s="6">
        <v>0</v>
      </c>
      <c r="AI708" s="6">
        <v>0</v>
      </c>
      <c r="AJ708" s="6">
        <v>4903692.21599208</v>
      </c>
      <c r="AK708" s="6">
        <v>12067.791903925699</v>
      </c>
      <c r="AL708" s="6">
        <v>330.98244656580999</v>
      </c>
      <c r="AM708" s="6">
        <v>93035.839999999997</v>
      </c>
      <c r="AN708" s="6">
        <v>12067.791903925699</v>
      </c>
      <c r="AO708" s="6">
        <v>13741.0202259489</v>
      </c>
      <c r="AP708" s="6">
        <v>3753.1860850462999</v>
      </c>
      <c r="AQ708" s="6">
        <v>20687.885194392002</v>
      </c>
      <c r="AR708" s="6">
        <v>12067.791903925699</v>
      </c>
      <c r="AS708" s="6">
        <v>12067.791903925699</v>
      </c>
      <c r="AT708" s="6">
        <v>0</v>
      </c>
      <c r="AU708" t="s">
        <v>2973</v>
      </c>
      <c r="AV708" t="s">
        <v>2973</v>
      </c>
    </row>
    <row r="709" spans="1:48" x14ac:dyDescent="0.45">
      <c r="A709" s="5" t="s">
        <v>1433</v>
      </c>
      <c r="B709">
        <v>2205</v>
      </c>
      <c r="C709" t="s">
        <v>1431</v>
      </c>
      <c r="D709">
        <v>5296</v>
      </c>
      <c r="E709" t="s">
        <v>1434</v>
      </c>
      <c r="F709" t="s">
        <v>2739</v>
      </c>
      <c r="G709" t="s">
        <v>2740</v>
      </c>
      <c r="H709" t="s">
        <v>2741</v>
      </c>
      <c r="I709" t="s">
        <v>2742</v>
      </c>
      <c r="J709">
        <v>277.15843092421102</v>
      </c>
      <c r="K709">
        <v>3</v>
      </c>
      <c r="L709">
        <v>1</v>
      </c>
      <c r="M709">
        <v>3</v>
      </c>
      <c r="N709" s="6">
        <v>2024472.1126570101</v>
      </c>
      <c r="O709" s="6">
        <v>351905.11054066499</v>
      </c>
      <c r="P709" s="6">
        <v>795619.01933655399</v>
      </c>
      <c r="Q709" s="6">
        <v>152253.46164860201</v>
      </c>
      <c r="R709" s="6">
        <v>98589.891493528703</v>
      </c>
      <c r="S709" s="6">
        <v>123999.331596138</v>
      </c>
      <c r="T709" s="6">
        <v>2198661.38</v>
      </c>
      <c r="U709" s="6">
        <v>1224178.2156763601</v>
      </c>
      <c r="V709" s="6">
        <v>2949968.2307631401</v>
      </c>
      <c r="W709" s="6">
        <v>472871.36491322599</v>
      </c>
      <c r="X709" s="6">
        <v>0</v>
      </c>
      <c r="Y709" s="6">
        <v>0</v>
      </c>
      <c r="Z709" s="6">
        <v>0</v>
      </c>
      <c r="AA709" s="6">
        <v>0</v>
      </c>
      <c r="AB709" s="6">
        <v>0</v>
      </c>
      <c r="AC709" s="6">
        <v>123999.331596138</v>
      </c>
      <c r="AD709" s="6">
        <v>0</v>
      </c>
      <c r="AE709" s="6">
        <v>0</v>
      </c>
      <c r="AF709" s="6">
        <v>0</v>
      </c>
      <c r="AG709" s="6">
        <v>0</v>
      </c>
      <c r="AH709" s="6">
        <v>0</v>
      </c>
      <c r="AI709" s="6">
        <v>0</v>
      </c>
      <c r="AJ709" s="6">
        <v>3546838.9272725</v>
      </c>
      <c r="AK709" s="6">
        <v>12797.153294039201</v>
      </c>
      <c r="AL709" s="6">
        <v>330.98244656580999</v>
      </c>
      <c r="AM709" s="6">
        <v>93035.839999999997</v>
      </c>
      <c r="AN709" s="6">
        <v>12067.791903925699</v>
      </c>
      <c r="AO709" s="6">
        <v>13741.0202259489</v>
      </c>
      <c r="AP709" s="6">
        <v>330.98244656580999</v>
      </c>
      <c r="AQ709" s="6">
        <v>93035.839999999997</v>
      </c>
      <c r="AR709" s="6">
        <v>12797.153294039201</v>
      </c>
      <c r="AS709" s="6">
        <v>12970.416557357999</v>
      </c>
      <c r="AT709" s="6">
        <v>0</v>
      </c>
      <c r="AU709" t="s">
        <v>2973</v>
      </c>
      <c r="AV709" t="s">
        <v>2973</v>
      </c>
    </row>
    <row r="710" spans="1:48" x14ac:dyDescent="0.45">
      <c r="A710" s="5" t="s">
        <v>2952</v>
      </c>
      <c r="B710">
        <v>2205</v>
      </c>
      <c r="C710" t="s">
        <v>1431</v>
      </c>
      <c r="D710">
        <v>5434</v>
      </c>
      <c r="E710" t="s">
        <v>2953</v>
      </c>
      <c r="F710" t="s">
        <v>2739</v>
      </c>
      <c r="G710" t="s">
        <v>2740</v>
      </c>
      <c r="H710" t="s">
        <v>2741</v>
      </c>
      <c r="I710" t="s">
        <v>2742</v>
      </c>
      <c r="J710">
        <v>529.47655887404096</v>
      </c>
      <c r="K710">
        <v>5</v>
      </c>
      <c r="L710">
        <v>1</v>
      </c>
      <c r="M710">
        <v>3</v>
      </c>
      <c r="N710" s="6">
        <v>4173698.7686535199</v>
      </c>
      <c r="O710" s="6">
        <v>689935.66484122095</v>
      </c>
      <c r="P710" s="6">
        <v>1287806.9696625499</v>
      </c>
      <c r="Q710" s="6">
        <v>290861.21855122899</v>
      </c>
      <c r="R710" s="6">
        <v>188343.671573292</v>
      </c>
      <c r="S710" s="6">
        <v>236885.23267097599</v>
      </c>
      <c r="T710" s="6">
        <v>4292006.74</v>
      </c>
      <c r="U710" s="6">
        <v>2338639.5532818101</v>
      </c>
      <c r="V710" s="6">
        <v>5740940.4934560098</v>
      </c>
      <c r="W710" s="6">
        <v>889705.79982580105</v>
      </c>
      <c r="X710" s="6">
        <v>0</v>
      </c>
      <c r="Y710" s="6">
        <v>0</v>
      </c>
      <c r="Z710" s="6">
        <v>0</v>
      </c>
      <c r="AA710" s="6">
        <v>0</v>
      </c>
      <c r="AB710" s="6">
        <v>0</v>
      </c>
      <c r="AC710" s="6">
        <v>236885.23267097599</v>
      </c>
      <c r="AD710" s="6">
        <v>0</v>
      </c>
      <c r="AE710" s="6">
        <v>0</v>
      </c>
      <c r="AF710" s="6">
        <v>0</v>
      </c>
      <c r="AG710" s="6">
        <v>0</v>
      </c>
      <c r="AH710" s="6">
        <v>0</v>
      </c>
      <c r="AI710" s="6">
        <v>0</v>
      </c>
      <c r="AJ710" s="6">
        <v>6867531.5259527899</v>
      </c>
      <c r="AK710" s="6">
        <v>12970.416557357999</v>
      </c>
      <c r="AL710" s="6">
        <v>330.98244656580999</v>
      </c>
      <c r="AM710" s="6">
        <v>93035.839999999997</v>
      </c>
      <c r="AN710" s="6">
        <v>12067.791903925699</v>
      </c>
      <c r="AO710" s="6">
        <v>13741.0202259489</v>
      </c>
      <c r="AP710" s="6">
        <v>330.98244656580999</v>
      </c>
      <c r="AQ710" s="6">
        <v>93035.839999999997</v>
      </c>
      <c r="AR710" s="6">
        <v>12797.153294039201</v>
      </c>
      <c r="AS710" s="6">
        <v>12970.416557357999</v>
      </c>
      <c r="AT710" s="6">
        <v>0</v>
      </c>
      <c r="AU710" t="s">
        <v>2973</v>
      </c>
      <c r="AV710" t="s">
        <v>2973</v>
      </c>
    </row>
    <row r="711" spans="1:48" x14ac:dyDescent="0.45">
      <c r="A711" s="5" t="s">
        <v>1435</v>
      </c>
      <c r="B711">
        <v>2205</v>
      </c>
      <c r="C711" t="s">
        <v>1431</v>
      </c>
      <c r="D711">
        <v>1064</v>
      </c>
      <c r="E711" t="s">
        <v>1436</v>
      </c>
      <c r="F711" t="s">
        <v>2739</v>
      </c>
      <c r="G711" t="s">
        <v>2744</v>
      </c>
      <c r="H711" t="s">
        <v>2745</v>
      </c>
      <c r="I711" t="s">
        <v>2742</v>
      </c>
      <c r="J711">
        <v>500.368827621592</v>
      </c>
      <c r="K711">
        <v>1</v>
      </c>
      <c r="L711">
        <v>1</v>
      </c>
      <c r="M711">
        <v>3</v>
      </c>
      <c r="N711" s="6">
        <v>3356888.9750703601</v>
      </c>
      <c r="O711" s="6">
        <v>1541217.21453752</v>
      </c>
      <c r="P711" s="6">
        <v>1295198.5948141101</v>
      </c>
      <c r="Q711" s="6">
        <v>274871.25631502899</v>
      </c>
      <c r="R711" s="6">
        <v>183539.56451534599</v>
      </c>
      <c r="S711" s="6">
        <v>223862.575530264</v>
      </c>
      <c r="T711" s="6">
        <v>4441641.6900000004</v>
      </c>
      <c r="U711" s="6">
        <v>2210073.9152523698</v>
      </c>
      <c r="V711" s="6">
        <v>5632063.9374197703</v>
      </c>
      <c r="W711" s="6">
        <v>1019651.6678326</v>
      </c>
      <c r="X711" s="6">
        <v>0</v>
      </c>
      <c r="Y711" s="6">
        <v>0</v>
      </c>
      <c r="Z711" s="6">
        <v>0</v>
      </c>
      <c r="AA711" s="6">
        <v>0</v>
      </c>
      <c r="AB711" s="6">
        <v>0</v>
      </c>
      <c r="AC711" s="6">
        <v>223862.575530264</v>
      </c>
      <c r="AD711" s="6">
        <v>0</v>
      </c>
      <c r="AE711" s="6">
        <v>0</v>
      </c>
      <c r="AF711" s="6">
        <v>0</v>
      </c>
      <c r="AG711" s="6">
        <v>0</v>
      </c>
      <c r="AH711" s="6">
        <v>0</v>
      </c>
      <c r="AI711" s="6">
        <v>0</v>
      </c>
      <c r="AJ711" s="6">
        <v>6875578.1807826301</v>
      </c>
      <c r="AK711" s="6">
        <v>13741.0202259489</v>
      </c>
      <c r="AL711" s="6">
        <v>330.98244656580999</v>
      </c>
      <c r="AM711" s="6">
        <v>93035.839999999997</v>
      </c>
      <c r="AN711" s="6">
        <v>12067.791903925699</v>
      </c>
      <c r="AO711" s="6">
        <v>13741.0202259489</v>
      </c>
      <c r="AP711" s="6">
        <v>330.98244656580999</v>
      </c>
      <c r="AQ711" s="6">
        <v>40734.411818744898</v>
      </c>
      <c r="AR711" s="6">
        <v>13741.0202259489</v>
      </c>
      <c r="AS711" s="6">
        <v>13741.0202259489</v>
      </c>
      <c r="AT711" s="6">
        <v>0</v>
      </c>
      <c r="AU711" t="s">
        <v>2973</v>
      </c>
      <c r="AV711" t="s">
        <v>2973</v>
      </c>
    </row>
    <row r="712" spans="1:48" x14ac:dyDescent="0.45">
      <c r="A712" s="5" t="s">
        <v>2954</v>
      </c>
      <c r="B712">
        <v>2249</v>
      </c>
      <c r="C712" t="s">
        <v>1438</v>
      </c>
      <c r="D712">
        <v>5440</v>
      </c>
      <c r="E712" t="s">
        <v>2955</v>
      </c>
      <c r="F712" t="s">
        <v>3</v>
      </c>
      <c r="G712" t="s">
        <v>2740</v>
      </c>
      <c r="H712" t="s">
        <v>2743</v>
      </c>
      <c r="I712" t="s">
        <v>2742</v>
      </c>
      <c r="J712">
        <v>115.999999999875</v>
      </c>
      <c r="K712">
        <v>1</v>
      </c>
      <c r="L712">
        <v>1</v>
      </c>
      <c r="M712">
        <v>1</v>
      </c>
      <c r="N712" s="6">
        <v>483.17797204617898</v>
      </c>
      <c r="O712" s="6">
        <v>0</v>
      </c>
      <c r="P712" s="6">
        <v>0</v>
      </c>
      <c r="Q712" s="6">
        <v>0</v>
      </c>
      <c r="R712" s="6">
        <v>0</v>
      </c>
      <c r="S712" s="6">
        <v>37910.785829546403</v>
      </c>
      <c r="T712" s="6">
        <v>0</v>
      </c>
      <c r="U712" s="6">
        <v>483.17797204617898</v>
      </c>
      <c r="V712" s="6">
        <v>0</v>
      </c>
      <c r="W712" s="6">
        <v>483.17797204617898</v>
      </c>
      <c r="X712" s="6">
        <v>0</v>
      </c>
      <c r="Y712" s="6">
        <v>0</v>
      </c>
      <c r="Z712" s="6">
        <v>0</v>
      </c>
      <c r="AA712" s="6">
        <v>0</v>
      </c>
      <c r="AB712" s="6">
        <v>0</v>
      </c>
      <c r="AC712" s="6">
        <v>37910.785829546403</v>
      </c>
      <c r="AD712" s="6">
        <v>0</v>
      </c>
      <c r="AE712" s="6">
        <v>0</v>
      </c>
      <c r="AF712" s="6">
        <v>0</v>
      </c>
      <c r="AG712" s="6">
        <v>0</v>
      </c>
      <c r="AH712" s="6">
        <v>0</v>
      </c>
      <c r="AI712" s="6">
        <v>0</v>
      </c>
      <c r="AJ712" s="6">
        <v>38393.963801592603</v>
      </c>
      <c r="AK712" s="6">
        <v>330.98244656580999</v>
      </c>
      <c r="AL712" s="6">
        <v>330.98244656580999</v>
      </c>
      <c r="AM712" s="6">
        <v>93035.839999999997</v>
      </c>
      <c r="AN712" s="6">
        <v>330.98244656580999</v>
      </c>
      <c r="AO712" s="6">
        <v>39751.567910311402</v>
      </c>
      <c r="AP712" s="6">
        <v>330.98244656580999</v>
      </c>
      <c r="AQ712" s="6">
        <v>93035.839999999997</v>
      </c>
      <c r="AR712" s="6">
        <v>330.98244656580999</v>
      </c>
      <c r="AS712" s="6">
        <v>330.98244656580999</v>
      </c>
      <c r="AT712" s="6">
        <v>0</v>
      </c>
      <c r="AU712" t="s">
        <v>2973</v>
      </c>
      <c r="AV712" t="s">
        <v>2976</v>
      </c>
    </row>
    <row r="713" spans="1:48" x14ac:dyDescent="0.45">
      <c r="A713" s="5" t="s">
        <v>2956</v>
      </c>
      <c r="B713">
        <v>2249</v>
      </c>
      <c r="C713" t="s">
        <v>1438</v>
      </c>
      <c r="D713">
        <v>5441</v>
      </c>
      <c r="E713" t="s">
        <v>2957</v>
      </c>
      <c r="F713" t="s">
        <v>3</v>
      </c>
      <c r="G713" t="s">
        <v>2744</v>
      </c>
      <c r="H713" t="s">
        <v>2743</v>
      </c>
      <c r="I713" t="s">
        <v>2742</v>
      </c>
      <c r="J713">
        <v>59.846590909033999</v>
      </c>
      <c r="K713">
        <v>1</v>
      </c>
      <c r="L713">
        <v>1</v>
      </c>
      <c r="M713">
        <v>1</v>
      </c>
      <c r="N713" s="6">
        <v>249.28064163220299</v>
      </c>
      <c r="O713" s="6">
        <v>0</v>
      </c>
      <c r="P713" s="6">
        <v>0</v>
      </c>
      <c r="Q713" s="6">
        <v>0</v>
      </c>
      <c r="R713" s="6">
        <v>0</v>
      </c>
      <c r="S713" s="6">
        <v>19558.890436063</v>
      </c>
      <c r="T713" s="6">
        <v>0</v>
      </c>
      <c r="U713" s="6">
        <v>249.28064163220299</v>
      </c>
      <c r="V713" s="6">
        <v>0</v>
      </c>
      <c r="W713" s="6">
        <v>249.28064163220299</v>
      </c>
      <c r="X713" s="6">
        <v>0</v>
      </c>
      <c r="Y713" s="6">
        <v>0</v>
      </c>
      <c r="Z713" s="6">
        <v>0</v>
      </c>
      <c r="AA713" s="6">
        <v>0</v>
      </c>
      <c r="AB713" s="6">
        <v>0</v>
      </c>
      <c r="AC713" s="6">
        <v>19558.890436063</v>
      </c>
      <c r="AD713" s="6">
        <v>0</v>
      </c>
      <c r="AE713" s="6">
        <v>0</v>
      </c>
      <c r="AF713" s="6">
        <v>0</v>
      </c>
      <c r="AG713" s="6">
        <v>0</v>
      </c>
      <c r="AH713" s="6">
        <v>0</v>
      </c>
      <c r="AI713" s="6">
        <v>0</v>
      </c>
      <c r="AJ713" s="6">
        <v>19808.1710776953</v>
      </c>
      <c r="AK713" s="6">
        <v>330.98244656580999</v>
      </c>
      <c r="AL713" s="6">
        <v>330.98244656580999</v>
      </c>
      <c r="AM713" s="6">
        <v>93035.839999999997</v>
      </c>
      <c r="AN713" s="6">
        <v>330.98244656580999</v>
      </c>
      <c r="AO713" s="6">
        <v>39751.567910311402</v>
      </c>
      <c r="AP713" s="6">
        <v>330.98244656580999</v>
      </c>
      <c r="AQ713" s="6">
        <v>40734.411818744898</v>
      </c>
      <c r="AR713" s="6">
        <v>330.98244656580999</v>
      </c>
      <c r="AS713" s="6">
        <v>330.98244656580999</v>
      </c>
      <c r="AT713" s="6">
        <v>0</v>
      </c>
      <c r="AU713" t="s">
        <v>2973</v>
      </c>
      <c r="AV713" t="s">
        <v>2976</v>
      </c>
    </row>
    <row r="714" spans="1:48" x14ac:dyDescent="0.45">
      <c r="A714" s="5" t="s">
        <v>1437</v>
      </c>
      <c r="B714">
        <v>2249</v>
      </c>
      <c r="C714" t="s">
        <v>1438</v>
      </c>
      <c r="D714">
        <v>5150</v>
      </c>
      <c r="E714" t="s">
        <v>531</v>
      </c>
      <c r="F714" t="s">
        <v>3</v>
      </c>
      <c r="G714" t="s">
        <v>2748</v>
      </c>
      <c r="H714" t="s">
        <v>2743</v>
      </c>
      <c r="I714" t="s">
        <v>2742</v>
      </c>
      <c r="J714">
        <v>360.70388913869402</v>
      </c>
      <c r="K714">
        <v>1</v>
      </c>
      <c r="L714">
        <v>1</v>
      </c>
      <c r="M714">
        <v>1</v>
      </c>
      <c r="N714" s="6">
        <v>1502.4497729602799</v>
      </c>
      <c r="O714" s="6">
        <v>0</v>
      </c>
      <c r="P714" s="6">
        <v>0</v>
      </c>
      <c r="Q714" s="6">
        <v>0</v>
      </c>
      <c r="R714" s="6">
        <v>0</v>
      </c>
      <c r="S714" s="6">
        <v>117884.205939968</v>
      </c>
      <c r="T714" s="6">
        <v>0</v>
      </c>
      <c r="U714" s="6">
        <v>1502.4497729602799</v>
      </c>
      <c r="V714" s="6">
        <v>0</v>
      </c>
      <c r="W714" s="6">
        <v>1502.4497729602799</v>
      </c>
      <c r="X714" s="6">
        <v>0</v>
      </c>
      <c r="Y714" s="6">
        <v>0</v>
      </c>
      <c r="Z714" s="6">
        <v>0</v>
      </c>
      <c r="AA714" s="6">
        <v>0</v>
      </c>
      <c r="AB714" s="6">
        <v>0</v>
      </c>
      <c r="AC714" s="6">
        <v>117884.205939968</v>
      </c>
      <c r="AD714" s="6">
        <v>0</v>
      </c>
      <c r="AE714" s="6">
        <v>0</v>
      </c>
      <c r="AF714" s="6">
        <v>0</v>
      </c>
      <c r="AG714" s="6">
        <v>0</v>
      </c>
      <c r="AH714" s="6">
        <v>0</v>
      </c>
      <c r="AI714" s="6">
        <v>0</v>
      </c>
      <c r="AJ714" s="6">
        <v>119386.655712928</v>
      </c>
      <c r="AK714" s="6">
        <v>330.98244656580999</v>
      </c>
      <c r="AL714" s="6">
        <v>330.98244656580999</v>
      </c>
      <c r="AM714" s="6">
        <v>93035.839999999997</v>
      </c>
      <c r="AN714" s="6">
        <v>330.98244656580999</v>
      </c>
      <c r="AO714" s="6">
        <v>39751.567910311402</v>
      </c>
      <c r="AP714" s="6">
        <v>330.98244656580999</v>
      </c>
      <c r="AQ714" s="6">
        <v>56162.493707719797</v>
      </c>
      <c r="AR714" s="6">
        <v>330.98244656580999</v>
      </c>
      <c r="AS714" s="6">
        <v>39751.567910311402</v>
      </c>
      <c r="AT714" s="6">
        <v>0</v>
      </c>
      <c r="AU714" t="s">
        <v>2973</v>
      </c>
      <c r="AV714" t="s">
        <v>2976</v>
      </c>
    </row>
    <row r="715" spans="1:48" x14ac:dyDescent="0.45">
      <c r="A715" s="5" t="s">
        <v>1439</v>
      </c>
      <c r="B715">
        <v>2249</v>
      </c>
      <c r="C715" t="s">
        <v>1438</v>
      </c>
      <c r="D715">
        <v>3404</v>
      </c>
      <c r="E715" t="s">
        <v>1440</v>
      </c>
      <c r="F715" t="s">
        <v>2739</v>
      </c>
      <c r="G715" t="s">
        <v>2748</v>
      </c>
      <c r="H715" t="s">
        <v>2741</v>
      </c>
      <c r="I715" t="s">
        <v>2742</v>
      </c>
      <c r="J715">
        <v>45.343762376231403</v>
      </c>
      <c r="K715">
        <v>2</v>
      </c>
      <c r="L715">
        <v>1</v>
      </c>
      <c r="M715">
        <v>1</v>
      </c>
      <c r="N715" s="6">
        <v>816438.89161336096</v>
      </c>
      <c r="O715" s="6">
        <v>62274.02</v>
      </c>
      <c r="P715" s="6">
        <v>488099.82</v>
      </c>
      <c r="Q715" s="6">
        <v>293571.71999999997</v>
      </c>
      <c r="R715" s="6">
        <v>127282.08</v>
      </c>
      <c r="S715" s="6">
        <v>14819.1177944225</v>
      </c>
      <c r="T715" s="6">
        <v>1787477.66</v>
      </c>
      <c r="U715" s="6">
        <v>188.87161336133599</v>
      </c>
      <c r="V715" s="6">
        <v>1572061.08</v>
      </c>
      <c r="W715" s="6">
        <v>215605.45161336099</v>
      </c>
      <c r="X715" s="6">
        <v>0</v>
      </c>
      <c r="Y715" s="6">
        <v>0</v>
      </c>
      <c r="Z715" s="6">
        <v>0</v>
      </c>
      <c r="AA715" s="6">
        <v>0</v>
      </c>
      <c r="AB715" s="6">
        <v>0</v>
      </c>
      <c r="AC715" s="6">
        <v>14819.1177944225</v>
      </c>
      <c r="AD715" s="6">
        <v>0</v>
      </c>
      <c r="AE715" s="6">
        <v>0</v>
      </c>
      <c r="AF715" s="6">
        <v>0</v>
      </c>
      <c r="AG715" s="6">
        <v>0</v>
      </c>
      <c r="AH715" s="6">
        <v>0</v>
      </c>
      <c r="AI715" s="6">
        <v>0</v>
      </c>
      <c r="AJ715" s="6">
        <v>1802485.64940778</v>
      </c>
      <c r="AK715" s="6">
        <v>39751.567910311402</v>
      </c>
      <c r="AL715" s="6">
        <v>330.98244656580999</v>
      </c>
      <c r="AM715" s="6">
        <v>93035.839999999997</v>
      </c>
      <c r="AN715" s="6">
        <v>330.98244656580999</v>
      </c>
      <c r="AO715" s="6">
        <v>39751.567910311402</v>
      </c>
      <c r="AP715" s="6">
        <v>330.98244656580999</v>
      </c>
      <c r="AQ715" s="6">
        <v>56162.493707719797</v>
      </c>
      <c r="AR715" s="6">
        <v>330.98244656580999</v>
      </c>
      <c r="AS715" s="6">
        <v>39751.567910311402</v>
      </c>
      <c r="AT715" s="6">
        <v>0</v>
      </c>
      <c r="AU715" t="s">
        <v>2973</v>
      </c>
      <c r="AV715" t="s">
        <v>2973</v>
      </c>
    </row>
    <row r="716" spans="1:48" x14ac:dyDescent="0.45">
      <c r="A716" s="5" t="s">
        <v>1441</v>
      </c>
      <c r="B716">
        <v>1925</v>
      </c>
      <c r="C716" t="s">
        <v>1442</v>
      </c>
      <c r="D716">
        <v>93</v>
      </c>
      <c r="E716" t="s">
        <v>1443</v>
      </c>
      <c r="F716" t="s">
        <v>2739</v>
      </c>
      <c r="G716" t="s">
        <v>2740</v>
      </c>
      <c r="H716" t="s">
        <v>2741</v>
      </c>
      <c r="I716" t="s">
        <v>2742</v>
      </c>
      <c r="J716">
        <v>172.258828679907</v>
      </c>
      <c r="K716">
        <v>1</v>
      </c>
      <c r="L716">
        <v>1</v>
      </c>
      <c r="M716">
        <v>1</v>
      </c>
      <c r="N716" s="6">
        <v>969851.54858388496</v>
      </c>
      <c r="O716" s="6">
        <v>369556.29435585497</v>
      </c>
      <c r="P716" s="6">
        <v>408009.95455128298</v>
      </c>
      <c r="Q716" s="6">
        <v>83987.917571299506</v>
      </c>
      <c r="R716" s="6">
        <v>68314.956689487502</v>
      </c>
      <c r="S716" s="6">
        <v>97535.602552090393</v>
      </c>
      <c r="T716" s="6">
        <v>1131587.6299999999</v>
      </c>
      <c r="U716" s="6">
        <v>768133.04175181</v>
      </c>
      <c r="V716" s="6">
        <v>1775594.77652651</v>
      </c>
      <c r="W716" s="6">
        <v>122274.88512856</v>
      </c>
      <c r="X716" s="6">
        <v>0</v>
      </c>
      <c r="Y716" s="6">
        <v>0</v>
      </c>
      <c r="Z716" s="6">
        <v>0</v>
      </c>
      <c r="AA716" s="6">
        <v>1124.6187162509</v>
      </c>
      <c r="AB716" s="6">
        <v>726.39138048434302</v>
      </c>
      <c r="AC716" s="6">
        <v>85867.672554072196</v>
      </c>
      <c r="AD716" s="6">
        <v>11667.9299980182</v>
      </c>
      <c r="AE716" s="6">
        <v>0</v>
      </c>
      <c r="AF716" s="6">
        <v>0</v>
      </c>
      <c r="AG716" s="6">
        <v>0</v>
      </c>
      <c r="AH716" s="6">
        <v>0</v>
      </c>
      <c r="AI716" s="6">
        <v>0</v>
      </c>
      <c r="AJ716" s="6">
        <v>1997256.2743039001</v>
      </c>
      <c r="AK716" s="6">
        <v>11594.507460719</v>
      </c>
      <c r="AL716" s="6">
        <v>330.98244656580999</v>
      </c>
      <c r="AM716" s="6">
        <v>93035.839999999997</v>
      </c>
      <c r="AN716" s="6">
        <v>5025.3949300473496</v>
      </c>
      <c r="AO716" s="6">
        <v>13456.850804567999</v>
      </c>
      <c r="AP716" s="6">
        <v>330.98244656580999</v>
      </c>
      <c r="AQ716" s="6">
        <v>93035.839999999997</v>
      </c>
      <c r="AR716" s="6">
        <v>5025.3949300473596</v>
      </c>
      <c r="AS716" s="6">
        <v>12319.7268805485</v>
      </c>
      <c r="AT716" s="6">
        <v>0</v>
      </c>
      <c r="AU716" t="s">
        <v>2973</v>
      </c>
      <c r="AV716" t="s">
        <v>2973</v>
      </c>
    </row>
    <row r="717" spans="1:48" x14ac:dyDescent="0.45">
      <c r="A717" s="5" t="s">
        <v>1444</v>
      </c>
      <c r="B717">
        <v>1925</v>
      </c>
      <c r="C717" t="s">
        <v>1442</v>
      </c>
      <c r="D717">
        <v>94</v>
      </c>
      <c r="E717" t="s">
        <v>1445</v>
      </c>
      <c r="F717" t="s">
        <v>2739</v>
      </c>
      <c r="G717" t="s">
        <v>2740</v>
      </c>
      <c r="H717" t="s">
        <v>2741</v>
      </c>
      <c r="I717" t="s">
        <v>2742</v>
      </c>
      <c r="J717">
        <v>425.05875535140501</v>
      </c>
      <c r="K717">
        <v>2</v>
      </c>
      <c r="L717">
        <v>1</v>
      </c>
      <c r="M717">
        <v>1</v>
      </c>
      <c r="N717" s="6">
        <v>2921928.4770648601</v>
      </c>
      <c r="O717" s="6">
        <v>766063.23404202703</v>
      </c>
      <c r="P717" s="6">
        <v>932124.97917359194</v>
      </c>
      <c r="Q717" s="6">
        <v>207245.108892216</v>
      </c>
      <c r="R717" s="6">
        <v>168571.15937016599</v>
      </c>
      <c r="S717" s="6">
        <v>240674.815572322</v>
      </c>
      <c r="T717" s="6">
        <v>3100519.66</v>
      </c>
      <c r="U717" s="6">
        <v>1895413.29854287</v>
      </c>
      <c r="V717" s="6">
        <v>4403657.9947139304</v>
      </c>
      <c r="W717" s="6">
        <v>587707.48793298495</v>
      </c>
      <c r="X717" s="6">
        <v>0</v>
      </c>
      <c r="Y717" s="6">
        <v>0</v>
      </c>
      <c r="Z717" s="6">
        <v>0</v>
      </c>
      <c r="AA717" s="6">
        <v>2775.0625929471498</v>
      </c>
      <c r="AB717" s="6">
        <v>1792.4133030092901</v>
      </c>
      <c r="AC717" s="6">
        <v>211883.51447912399</v>
      </c>
      <c r="AD717" s="6">
        <v>28791.301093198701</v>
      </c>
      <c r="AE717" s="6">
        <v>0</v>
      </c>
      <c r="AF717" s="6">
        <v>0</v>
      </c>
      <c r="AG717" s="6">
        <v>0</v>
      </c>
      <c r="AH717" s="6">
        <v>0</v>
      </c>
      <c r="AI717" s="6">
        <v>0</v>
      </c>
      <c r="AJ717" s="6">
        <v>5236607.7741151899</v>
      </c>
      <c r="AK717" s="6">
        <v>12319.7268805485</v>
      </c>
      <c r="AL717" s="6">
        <v>330.98244656580999</v>
      </c>
      <c r="AM717" s="6">
        <v>93035.839999999997</v>
      </c>
      <c r="AN717" s="6">
        <v>5025.3949300473496</v>
      </c>
      <c r="AO717" s="6">
        <v>13456.850804567999</v>
      </c>
      <c r="AP717" s="6">
        <v>330.98244656580999</v>
      </c>
      <c r="AQ717" s="6">
        <v>93035.839999999997</v>
      </c>
      <c r="AR717" s="6">
        <v>5025.3949300473596</v>
      </c>
      <c r="AS717" s="6">
        <v>12319.7268805485</v>
      </c>
      <c r="AT717" s="6">
        <v>0</v>
      </c>
      <c r="AU717" t="s">
        <v>2973</v>
      </c>
      <c r="AV717" t="s">
        <v>2973</v>
      </c>
    </row>
    <row r="718" spans="1:48" x14ac:dyDescent="0.45">
      <c r="A718" s="5" t="s">
        <v>1446</v>
      </c>
      <c r="B718">
        <v>1925</v>
      </c>
      <c r="C718" t="s">
        <v>1442</v>
      </c>
      <c r="D718">
        <v>142</v>
      </c>
      <c r="E718" t="s">
        <v>1447</v>
      </c>
      <c r="F718" t="s">
        <v>2739</v>
      </c>
      <c r="G718" t="s">
        <v>2744</v>
      </c>
      <c r="H718" t="s">
        <v>2741</v>
      </c>
      <c r="I718" t="s">
        <v>2742</v>
      </c>
      <c r="J718">
        <v>733.03172334414501</v>
      </c>
      <c r="K718">
        <v>1</v>
      </c>
      <c r="L718">
        <v>1</v>
      </c>
      <c r="M718">
        <v>1</v>
      </c>
      <c r="N718" s="6">
        <v>4366754.4811690096</v>
      </c>
      <c r="O718" s="6">
        <v>2180488.02406121</v>
      </c>
      <c r="P718" s="6">
        <v>2056356.4455657799</v>
      </c>
      <c r="Q718" s="6">
        <v>357846.637627972</v>
      </c>
      <c r="R718" s="6">
        <v>487799.09307019098</v>
      </c>
      <c r="S718" s="6">
        <v>415053.854563381</v>
      </c>
      <c r="T718" s="6">
        <v>6180524.6299999999</v>
      </c>
      <c r="U718" s="6">
        <v>3268720.0514941602</v>
      </c>
      <c r="V718" s="6">
        <v>7536274.2169068698</v>
      </c>
      <c r="W718" s="6">
        <v>1905093.6600627501</v>
      </c>
      <c r="X718" s="6">
        <v>0</v>
      </c>
      <c r="Y718" s="6">
        <v>0</v>
      </c>
      <c r="Z718" s="6">
        <v>0</v>
      </c>
      <c r="AA718" s="6">
        <v>4785.7123027949401</v>
      </c>
      <c r="AB718" s="6">
        <v>3091.09222174155</v>
      </c>
      <c r="AC718" s="6">
        <v>365402.04339148803</v>
      </c>
      <c r="AD718" s="6">
        <v>49651.811171892601</v>
      </c>
      <c r="AE718" s="6">
        <v>0</v>
      </c>
      <c r="AF718" s="6">
        <v>0</v>
      </c>
      <c r="AG718" s="6">
        <v>0</v>
      </c>
      <c r="AH718" s="6">
        <v>0</v>
      </c>
      <c r="AI718" s="6">
        <v>0</v>
      </c>
      <c r="AJ718" s="6">
        <v>9864298.5360575393</v>
      </c>
      <c r="AK718" s="6">
        <v>13456.850804567999</v>
      </c>
      <c r="AL718" s="6">
        <v>330.98244656580999</v>
      </c>
      <c r="AM718" s="6">
        <v>93035.839999999997</v>
      </c>
      <c r="AN718" s="6">
        <v>5025.3949300473496</v>
      </c>
      <c r="AO718" s="6">
        <v>13456.850804567999</v>
      </c>
      <c r="AP718" s="6">
        <v>330.98244656580999</v>
      </c>
      <c r="AQ718" s="6">
        <v>40734.411818744898</v>
      </c>
      <c r="AR718" s="6">
        <v>13456.850804567999</v>
      </c>
      <c r="AS718" s="6">
        <v>13456.850804567999</v>
      </c>
      <c r="AT718" s="6">
        <v>0</v>
      </c>
      <c r="AU718" t="s">
        <v>2973</v>
      </c>
      <c r="AV718" t="s">
        <v>2973</v>
      </c>
    </row>
    <row r="719" spans="1:48" x14ac:dyDescent="0.45">
      <c r="A719" s="5" t="s">
        <v>1448</v>
      </c>
      <c r="B719">
        <v>1925</v>
      </c>
      <c r="C719" t="s">
        <v>1442</v>
      </c>
      <c r="D719">
        <v>4745</v>
      </c>
      <c r="E719" t="s">
        <v>1449</v>
      </c>
      <c r="F719" t="s">
        <v>3</v>
      </c>
      <c r="G719" t="s">
        <v>2740</v>
      </c>
      <c r="H719" t="s">
        <v>2741</v>
      </c>
      <c r="I719" t="s">
        <v>2742</v>
      </c>
      <c r="J719">
        <v>206.17873236342601</v>
      </c>
      <c r="K719">
        <v>1</v>
      </c>
      <c r="L719">
        <v>1</v>
      </c>
      <c r="M719">
        <v>1</v>
      </c>
      <c r="N719" s="6">
        <v>253175.37892499199</v>
      </c>
      <c r="O719" s="6">
        <v>133623.84695149201</v>
      </c>
      <c r="P719" s="6">
        <v>350295.55328513699</v>
      </c>
      <c r="Q719" s="6">
        <v>100526.182091208</v>
      </c>
      <c r="R719" s="6">
        <v>81767.020475182595</v>
      </c>
      <c r="S719" s="6">
        <v>116741.574574742</v>
      </c>
      <c r="T719" s="6">
        <v>0</v>
      </c>
      <c r="U719" s="6">
        <v>919387.98172801198</v>
      </c>
      <c r="V719" s="6">
        <v>778290.12182006403</v>
      </c>
      <c r="W719" s="6">
        <v>138882.36292436</v>
      </c>
      <c r="X719" s="6">
        <v>0</v>
      </c>
      <c r="Y719" s="6">
        <v>0</v>
      </c>
      <c r="Z719" s="6">
        <v>0</v>
      </c>
      <c r="AA719" s="6">
        <v>1346.07011487151</v>
      </c>
      <c r="AB719" s="6">
        <v>869.42686871671901</v>
      </c>
      <c r="AC719" s="6">
        <v>102776.08418604999</v>
      </c>
      <c r="AD719" s="6">
        <v>13965.490388692</v>
      </c>
      <c r="AE719" s="6">
        <v>0</v>
      </c>
      <c r="AF719" s="6">
        <v>0</v>
      </c>
      <c r="AG719" s="6">
        <v>0</v>
      </c>
      <c r="AH719" s="6">
        <v>0</v>
      </c>
      <c r="AI719" s="6">
        <v>0</v>
      </c>
      <c r="AJ719" s="6">
        <v>1036129.55630275</v>
      </c>
      <c r="AK719" s="6">
        <v>5025.3949300473596</v>
      </c>
      <c r="AL719" s="6">
        <v>330.98244656580999</v>
      </c>
      <c r="AM719" s="6">
        <v>93035.839999999997</v>
      </c>
      <c r="AN719" s="6">
        <v>5025.3949300473496</v>
      </c>
      <c r="AO719" s="6">
        <v>13456.850804567999</v>
      </c>
      <c r="AP719" s="6">
        <v>330.98244656580999</v>
      </c>
      <c r="AQ719" s="6">
        <v>93035.839999999997</v>
      </c>
      <c r="AR719" s="6">
        <v>5025.3949300473596</v>
      </c>
      <c r="AS719" s="6">
        <v>12319.7268805485</v>
      </c>
      <c r="AT719" s="6">
        <v>0</v>
      </c>
      <c r="AU719" t="s">
        <v>2973</v>
      </c>
      <c r="AV719" t="s">
        <v>2976</v>
      </c>
    </row>
    <row r="720" spans="1:48" x14ac:dyDescent="0.45">
      <c r="A720" s="5" t="s">
        <v>1450</v>
      </c>
      <c r="B720">
        <v>1925</v>
      </c>
      <c r="C720" t="s">
        <v>1442</v>
      </c>
      <c r="D720">
        <v>95</v>
      </c>
      <c r="E720" t="s">
        <v>1451</v>
      </c>
      <c r="F720" t="s">
        <v>2739</v>
      </c>
      <c r="G720" t="s">
        <v>2747</v>
      </c>
      <c r="H720" t="s">
        <v>2741</v>
      </c>
      <c r="I720" t="s">
        <v>2742</v>
      </c>
      <c r="J720">
        <v>524.51808699011701</v>
      </c>
      <c r="K720">
        <v>1</v>
      </c>
      <c r="L720">
        <v>1</v>
      </c>
      <c r="M720">
        <v>1</v>
      </c>
      <c r="N720" s="6">
        <v>2790896.3772219699</v>
      </c>
      <c r="O720" s="6">
        <v>1209046.0425092201</v>
      </c>
      <c r="P720" s="6">
        <v>1232429.3843296201</v>
      </c>
      <c r="Q720" s="6">
        <v>255738.310729152</v>
      </c>
      <c r="R720" s="6">
        <v>208015.05890979301</v>
      </c>
      <c r="S720" s="6">
        <v>296990.22137852502</v>
      </c>
      <c r="T720" s="6">
        <v>3357204.86</v>
      </c>
      <c r="U720" s="6">
        <v>2338920.3136997502</v>
      </c>
      <c r="V720" s="6">
        <v>5269731.8742745696</v>
      </c>
      <c r="W720" s="6">
        <v>420757.08163373702</v>
      </c>
      <c r="X720" s="6">
        <v>0</v>
      </c>
      <c r="Y720" s="6">
        <v>0</v>
      </c>
      <c r="Z720" s="6">
        <v>0</v>
      </c>
      <c r="AA720" s="6">
        <v>3424.3984018800602</v>
      </c>
      <c r="AB720" s="6">
        <v>2211.8193895637501</v>
      </c>
      <c r="AC720" s="6">
        <v>261462.055022143</v>
      </c>
      <c r="AD720" s="6">
        <v>35528.166356381298</v>
      </c>
      <c r="AE720" s="6">
        <v>0</v>
      </c>
      <c r="AF720" s="6">
        <v>0</v>
      </c>
      <c r="AG720" s="6">
        <v>0</v>
      </c>
      <c r="AH720" s="6">
        <v>0</v>
      </c>
      <c r="AI720" s="6">
        <v>0</v>
      </c>
      <c r="AJ720" s="6">
        <v>5993115.3950782698</v>
      </c>
      <c r="AK720" s="6">
        <v>11425.946108873</v>
      </c>
      <c r="AL720" s="6">
        <v>330.98244656580999</v>
      </c>
      <c r="AM720" s="6">
        <v>93035.839999999997</v>
      </c>
      <c r="AN720" s="6">
        <v>5025.3949300473496</v>
      </c>
      <c r="AO720" s="6">
        <v>13456.850804567999</v>
      </c>
      <c r="AP720" s="6">
        <v>3753.1860850462999</v>
      </c>
      <c r="AQ720" s="6">
        <v>20687.885194392002</v>
      </c>
      <c r="AR720" s="6">
        <v>11425.946108873</v>
      </c>
      <c r="AS720" s="6">
        <v>11425.946108873</v>
      </c>
      <c r="AT720" s="6">
        <v>0</v>
      </c>
      <c r="AU720" t="s">
        <v>2973</v>
      </c>
      <c r="AV720" t="s">
        <v>2973</v>
      </c>
    </row>
    <row r="721" spans="1:48" x14ac:dyDescent="0.45">
      <c r="A721" s="5" t="s">
        <v>1452</v>
      </c>
      <c r="B721">
        <v>1925</v>
      </c>
      <c r="C721" t="s">
        <v>1442</v>
      </c>
      <c r="D721">
        <v>1925</v>
      </c>
      <c r="E721" t="s">
        <v>1442</v>
      </c>
      <c r="F721" t="s">
        <v>1</v>
      </c>
      <c r="G721" t="s">
        <v>1</v>
      </c>
      <c r="H721" t="s">
        <v>2743</v>
      </c>
      <c r="I721" t="s">
        <v>2742</v>
      </c>
      <c r="J721">
        <v>25.951877226773199</v>
      </c>
      <c r="K721">
        <v>1</v>
      </c>
      <c r="L721">
        <v>1</v>
      </c>
      <c r="M721">
        <v>1</v>
      </c>
      <c r="N721" s="6">
        <v>31867.3816420683</v>
      </c>
      <c r="O721" s="6">
        <v>16819.337430699001</v>
      </c>
      <c r="P721" s="6">
        <v>44091.973443295203</v>
      </c>
      <c r="Q721" s="6">
        <v>12653.308640528099</v>
      </c>
      <c r="R721" s="6">
        <v>10292.078393568599</v>
      </c>
      <c r="S721" s="6">
        <v>14694.352690478099</v>
      </c>
      <c r="T721" s="6">
        <v>0</v>
      </c>
      <c r="U721" s="6">
        <v>115724.079550159</v>
      </c>
      <c r="V721" s="6">
        <v>97963.982301927696</v>
      </c>
      <c r="W721" s="6">
        <v>17481.230921645201</v>
      </c>
      <c r="X721" s="6">
        <v>0</v>
      </c>
      <c r="Y721" s="6">
        <v>0</v>
      </c>
      <c r="Z721" s="6">
        <v>0</v>
      </c>
      <c r="AA721" s="6">
        <v>169.430891146417</v>
      </c>
      <c r="AB721" s="6">
        <v>109.435435439686</v>
      </c>
      <c r="AC721" s="6">
        <v>12936.5055651976</v>
      </c>
      <c r="AD721" s="6">
        <v>1757.84712528045</v>
      </c>
      <c r="AE721" s="6">
        <v>0</v>
      </c>
      <c r="AF721" s="6">
        <v>0</v>
      </c>
      <c r="AG721" s="6">
        <v>0</v>
      </c>
      <c r="AH721" s="6">
        <v>0</v>
      </c>
      <c r="AI721" s="6">
        <v>0</v>
      </c>
      <c r="AJ721" s="6">
        <v>130418.432240637</v>
      </c>
      <c r="AK721" s="6">
        <v>5025.3949300473496</v>
      </c>
      <c r="AL721" s="6">
        <v>330.98244656580999</v>
      </c>
      <c r="AM721" s="6">
        <v>93035.839999999997</v>
      </c>
      <c r="AN721" s="6">
        <v>5025.3949300473496</v>
      </c>
      <c r="AO721" s="6">
        <v>13456.850804567999</v>
      </c>
      <c r="AP721" s="6">
        <v>634.54287297753501</v>
      </c>
      <c r="AQ721" s="6">
        <v>40331.279999999999</v>
      </c>
      <c r="AR721" s="6">
        <v>5025.3949300473496</v>
      </c>
      <c r="AS721" s="6">
        <v>5025.3949300473496</v>
      </c>
      <c r="AT721" s="6">
        <v>0</v>
      </c>
      <c r="AU721" t="s">
        <v>2973</v>
      </c>
      <c r="AV721" t="s">
        <v>2977</v>
      </c>
    </row>
    <row r="722" spans="1:48" x14ac:dyDescent="0.45">
      <c r="A722" s="5" t="s">
        <v>1453</v>
      </c>
      <c r="B722">
        <v>1925</v>
      </c>
      <c r="C722" t="s">
        <v>1442</v>
      </c>
      <c r="D722">
        <v>121</v>
      </c>
      <c r="E722" t="s">
        <v>1454</v>
      </c>
      <c r="F722" t="s">
        <v>2739</v>
      </c>
      <c r="G722" t="s">
        <v>2740</v>
      </c>
      <c r="H722" t="s">
        <v>2741</v>
      </c>
      <c r="I722" t="s">
        <v>2742</v>
      </c>
      <c r="J722">
        <v>291.72624814189402</v>
      </c>
      <c r="K722">
        <v>1</v>
      </c>
      <c r="L722">
        <v>1</v>
      </c>
      <c r="M722">
        <v>1</v>
      </c>
      <c r="N722" s="6">
        <v>1716589.26594574</v>
      </c>
      <c r="O722" s="6">
        <v>572794.11733544804</v>
      </c>
      <c r="P722" s="6">
        <v>625859.14586833795</v>
      </c>
      <c r="Q722" s="6">
        <v>142236.42567461499</v>
      </c>
      <c r="R722" s="6">
        <v>115693.727629095</v>
      </c>
      <c r="S722" s="6">
        <v>165179.89592076701</v>
      </c>
      <c r="T722" s="6">
        <v>1872312.97</v>
      </c>
      <c r="U722" s="6">
        <v>1300859.7124532401</v>
      </c>
      <c r="V722" s="6">
        <v>2961523.04064517</v>
      </c>
      <c r="W722" s="6">
        <v>208514.892576746</v>
      </c>
      <c r="X722" s="6">
        <v>0</v>
      </c>
      <c r="Y722" s="6">
        <v>0</v>
      </c>
      <c r="Z722" s="6">
        <v>0</v>
      </c>
      <c r="AA722" s="6">
        <v>1904.5804571890501</v>
      </c>
      <c r="AB722" s="6">
        <v>1230.16877413625</v>
      </c>
      <c r="AC722" s="6">
        <v>145419.85535861299</v>
      </c>
      <c r="AD722" s="6">
        <v>19760.040562154001</v>
      </c>
      <c r="AE722" s="6">
        <v>0</v>
      </c>
      <c r="AF722" s="6">
        <v>0</v>
      </c>
      <c r="AG722" s="6">
        <v>0</v>
      </c>
      <c r="AH722" s="6">
        <v>0</v>
      </c>
      <c r="AI722" s="6">
        <v>0</v>
      </c>
      <c r="AJ722" s="6">
        <v>3338352.57837401</v>
      </c>
      <c r="AK722" s="6">
        <v>11443.4426097656</v>
      </c>
      <c r="AL722" s="6">
        <v>330.98244656580999</v>
      </c>
      <c r="AM722" s="6">
        <v>93035.839999999997</v>
      </c>
      <c r="AN722" s="6">
        <v>5025.3949300473496</v>
      </c>
      <c r="AO722" s="6">
        <v>13456.850804567999</v>
      </c>
      <c r="AP722" s="6">
        <v>330.98244656580999</v>
      </c>
      <c r="AQ722" s="6">
        <v>93035.839999999997</v>
      </c>
      <c r="AR722" s="6">
        <v>5025.3949300473596</v>
      </c>
      <c r="AS722" s="6">
        <v>12319.7268805485</v>
      </c>
      <c r="AT722" s="6">
        <v>0</v>
      </c>
      <c r="AU722" t="s">
        <v>2973</v>
      </c>
      <c r="AV722" t="s">
        <v>2973</v>
      </c>
    </row>
    <row r="723" spans="1:48" x14ac:dyDescent="0.45">
      <c r="A723" s="5" t="s">
        <v>1455</v>
      </c>
      <c r="B723">
        <v>1925</v>
      </c>
      <c r="C723" t="s">
        <v>1442</v>
      </c>
      <c r="D723">
        <v>4818</v>
      </c>
      <c r="E723" t="s">
        <v>1456</v>
      </c>
      <c r="F723" t="s">
        <v>3</v>
      </c>
      <c r="G723" t="s">
        <v>2748</v>
      </c>
      <c r="H723" t="s">
        <v>2741</v>
      </c>
      <c r="I723" t="s">
        <v>2742</v>
      </c>
      <c r="J723">
        <v>94.899278871722004</v>
      </c>
      <c r="K723">
        <v>1</v>
      </c>
      <c r="L723">
        <v>1</v>
      </c>
      <c r="M723">
        <v>1</v>
      </c>
      <c r="N723" s="6">
        <v>116530.743072503</v>
      </c>
      <c r="O723" s="6">
        <v>61503.9513067226</v>
      </c>
      <c r="P723" s="6">
        <v>161232.90223811299</v>
      </c>
      <c r="Q723" s="6">
        <v>46269.865367914601</v>
      </c>
      <c r="R723" s="6">
        <v>37635.459242743003</v>
      </c>
      <c r="S723" s="6">
        <v>53733.4336791061</v>
      </c>
      <c r="T723" s="6">
        <v>0</v>
      </c>
      <c r="U723" s="6">
        <v>423172.921227996</v>
      </c>
      <c r="V723" s="6">
        <v>358228.855454979</v>
      </c>
      <c r="W723" s="6">
        <v>63924.324000066001</v>
      </c>
      <c r="X723" s="6">
        <v>0</v>
      </c>
      <c r="Y723" s="6">
        <v>0</v>
      </c>
      <c r="Z723" s="6">
        <v>0</v>
      </c>
      <c r="AA723" s="6">
        <v>619.56479093545101</v>
      </c>
      <c r="AB723" s="6">
        <v>400.17698201520199</v>
      </c>
      <c r="AC723" s="6">
        <v>47305.443013993601</v>
      </c>
      <c r="AD723" s="6">
        <v>6427.9906651125302</v>
      </c>
      <c r="AE723" s="6">
        <v>0</v>
      </c>
      <c r="AF723" s="6">
        <v>0</v>
      </c>
      <c r="AG723" s="6">
        <v>0</v>
      </c>
      <c r="AH723" s="6">
        <v>0</v>
      </c>
      <c r="AI723" s="6">
        <v>0</v>
      </c>
      <c r="AJ723" s="6">
        <v>476906.35490710201</v>
      </c>
      <c r="AK723" s="6">
        <v>5025.3949300473496</v>
      </c>
      <c r="AL723" s="6">
        <v>330.98244656580999</v>
      </c>
      <c r="AM723" s="6">
        <v>93035.839999999997</v>
      </c>
      <c r="AN723" s="6">
        <v>5025.3949300473496</v>
      </c>
      <c r="AO723" s="6">
        <v>13456.850804567999</v>
      </c>
      <c r="AP723" s="6">
        <v>330.98244656580999</v>
      </c>
      <c r="AQ723" s="6">
        <v>56162.493707719797</v>
      </c>
      <c r="AR723" s="6">
        <v>5025.3949300473496</v>
      </c>
      <c r="AS723" s="6">
        <v>5025.3949300473496</v>
      </c>
      <c r="AT723" s="6">
        <v>0</v>
      </c>
      <c r="AU723" t="s">
        <v>2973</v>
      </c>
      <c r="AV723" t="s">
        <v>2976</v>
      </c>
    </row>
    <row r="724" spans="1:48" x14ac:dyDescent="0.45">
      <c r="A724" s="5" t="s">
        <v>1457</v>
      </c>
      <c r="B724">
        <v>1925</v>
      </c>
      <c r="C724" t="s">
        <v>1442</v>
      </c>
      <c r="D724">
        <v>128</v>
      </c>
      <c r="E724" t="s">
        <v>1458</v>
      </c>
      <c r="F724" t="s">
        <v>2739</v>
      </c>
      <c r="G724" t="s">
        <v>2740</v>
      </c>
      <c r="H724" t="s">
        <v>2741</v>
      </c>
      <c r="I724" t="s">
        <v>2742</v>
      </c>
      <c r="J724">
        <v>253.52409638551899</v>
      </c>
      <c r="K724">
        <v>1</v>
      </c>
      <c r="L724">
        <v>1</v>
      </c>
      <c r="M724">
        <v>1</v>
      </c>
      <c r="N724" s="6">
        <v>1448382.45637498</v>
      </c>
      <c r="O724" s="6">
        <v>465389.74200732802</v>
      </c>
      <c r="P724" s="6">
        <v>572939.02154485695</v>
      </c>
      <c r="Q724" s="6">
        <v>123610.27340509801</v>
      </c>
      <c r="R724" s="6">
        <v>100543.39621977499</v>
      </c>
      <c r="S724" s="6">
        <v>143549.24906859201</v>
      </c>
      <c r="T724" s="6">
        <v>1580355.43</v>
      </c>
      <c r="U724" s="6">
        <v>1130509.4595520301</v>
      </c>
      <c r="V724" s="6">
        <v>2520272.6073560002</v>
      </c>
      <c r="W724" s="6">
        <v>187868.034819155</v>
      </c>
      <c r="X724" s="6">
        <v>0</v>
      </c>
      <c r="Y724" s="6">
        <v>0</v>
      </c>
      <c r="Z724" s="6">
        <v>0</v>
      </c>
      <c r="AA724" s="6">
        <v>1655.17173198455</v>
      </c>
      <c r="AB724" s="6">
        <v>1069.07564489322</v>
      </c>
      <c r="AC724" s="6">
        <v>126376.82642932099</v>
      </c>
      <c r="AD724" s="6">
        <v>17172.422639270499</v>
      </c>
      <c r="AE724" s="6">
        <v>0</v>
      </c>
      <c r="AF724" s="6">
        <v>0</v>
      </c>
      <c r="AG724" s="6">
        <v>0</v>
      </c>
      <c r="AH724" s="6">
        <v>0</v>
      </c>
      <c r="AI724" s="6">
        <v>0</v>
      </c>
      <c r="AJ724" s="6">
        <v>2854414.1386206299</v>
      </c>
      <c r="AK724" s="6">
        <v>11258.946109328001</v>
      </c>
      <c r="AL724" s="6">
        <v>330.98244656580999</v>
      </c>
      <c r="AM724" s="6">
        <v>93035.839999999997</v>
      </c>
      <c r="AN724" s="6">
        <v>5025.3949300473496</v>
      </c>
      <c r="AO724" s="6">
        <v>13456.850804567999</v>
      </c>
      <c r="AP724" s="6">
        <v>330.98244656580999</v>
      </c>
      <c r="AQ724" s="6">
        <v>93035.839999999997</v>
      </c>
      <c r="AR724" s="6">
        <v>5025.3949300473596</v>
      </c>
      <c r="AS724" s="6">
        <v>12319.7268805485</v>
      </c>
      <c r="AT724" s="6">
        <v>0</v>
      </c>
      <c r="AU724" t="s">
        <v>2973</v>
      </c>
      <c r="AV724" t="s">
        <v>2973</v>
      </c>
    </row>
    <row r="725" spans="1:48" x14ac:dyDescent="0.45">
      <c r="A725" s="5" t="s">
        <v>1459</v>
      </c>
      <c r="B725">
        <v>1898</v>
      </c>
      <c r="C725" t="s">
        <v>1460</v>
      </c>
      <c r="D725">
        <v>1321</v>
      </c>
      <c r="E725" t="s">
        <v>1461</v>
      </c>
      <c r="F725" t="s">
        <v>2739</v>
      </c>
      <c r="G725" t="s">
        <v>2740</v>
      </c>
      <c r="H725" t="s">
        <v>2741</v>
      </c>
      <c r="I725" t="s">
        <v>2742</v>
      </c>
      <c r="J725">
        <v>258.85161290319701</v>
      </c>
      <c r="K725">
        <v>1</v>
      </c>
      <c r="L725">
        <v>1</v>
      </c>
      <c r="M725">
        <v>3</v>
      </c>
      <c r="N725" s="6">
        <v>1796755.5488082599</v>
      </c>
      <c r="O725" s="6">
        <v>408055.29595703899</v>
      </c>
      <c r="P725" s="6">
        <v>931627.86142192106</v>
      </c>
      <c r="Q725" s="6">
        <v>351302.10665092402</v>
      </c>
      <c r="R725" s="6">
        <v>209616.866042651</v>
      </c>
      <c r="S725" s="6">
        <v>117630.360377777</v>
      </c>
      <c r="T725" s="6">
        <v>1731706.68</v>
      </c>
      <c r="U725" s="6">
        <v>1965650.9988807901</v>
      </c>
      <c r="V725" s="6">
        <v>3151385.4803712</v>
      </c>
      <c r="W725" s="6">
        <v>545972.19850959606</v>
      </c>
      <c r="X725" s="6">
        <v>0</v>
      </c>
      <c r="Y725" s="6">
        <v>0</v>
      </c>
      <c r="Z725" s="6">
        <v>0</v>
      </c>
      <c r="AA725" s="6">
        <v>0</v>
      </c>
      <c r="AB725" s="6">
        <v>0</v>
      </c>
      <c r="AC725" s="6">
        <v>117630.360377777</v>
      </c>
      <c r="AD725" s="6">
        <v>0</v>
      </c>
      <c r="AE725" s="6">
        <v>0</v>
      </c>
      <c r="AF725" s="6">
        <v>0</v>
      </c>
      <c r="AG725" s="6">
        <v>0</v>
      </c>
      <c r="AH725" s="6">
        <v>0</v>
      </c>
      <c r="AI725" s="6">
        <v>0</v>
      </c>
      <c r="AJ725" s="6">
        <v>3814988.0392585699</v>
      </c>
      <c r="AK725" s="6">
        <v>14738.1273636694</v>
      </c>
      <c r="AL725" s="6">
        <v>330.98244656580999</v>
      </c>
      <c r="AM725" s="6">
        <v>93035.839999999997</v>
      </c>
      <c r="AN725" s="6">
        <v>14738.1273636694</v>
      </c>
      <c r="AO725" s="6">
        <v>21674.990653409699</v>
      </c>
      <c r="AP725" s="6">
        <v>330.98244656580999</v>
      </c>
      <c r="AQ725" s="6">
        <v>93035.839999999997</v>
      </c>
      <c r="AR725" s="6">
        <v>14738.1273636694</v>
      </c>
      <c r="AS725" s="6">
        <v>14738.1273636694</v>
      </c>
      <c r="AT725" s="6">
        <v>0</v>
      </c>
      <c r="AU725" t="s">
        <v>2973</v>
      </c>
      <c r="AV725" t="s">
        <v>2973</v>
      </c>
    </row>
    <row r="726" spans="1:48" x14ac:dyDescent="0.45">
      <c r="A726" s="5" t="s">
        <v>1462</v>
      </c>
      <c r="B726">
        <v>1898</v>
      </c>
      <c r="C726" t="s">
        <v>1460</v>
      </c>
      <c r="D726">
        <v>43</v>
      </c>
      <c r="E726" t="s">
        <v>1463</v>
      </c>
      <c r="F726" t="s">
        <v>2739</v>
      </c>
      <c r="G726" t="s">
        <v>2744</v>
      </c>
      <c r="H726" t="s">
        <v>2745</v>
      </c>
      <c r="I726" t="s">
        <v>2742</v>
      </c>
      <c r="J726">
        <v>112.67402232338399</v>
      </c>
      <c r="K726">
        <v>1</v>
      </c>
      <c r="L726">
        <v>1</v>
      </c>
      <c r="M726">
        <v>3</v>
      </c>
      <c r="N726" s="6">
        <v>1165850.84119174</v>
      </c>
      <c r="O726" s="6">
        <v>415242.634042961</v>
      </c>
      <c r="P726" s="6">
        <v>555823.83857807901</v>
      </c>
      <c r="Q726" s="6">
        <v>152916.26334907601</v>
      </c>
      <c r="R726" s="6">
        <v>101172.163957349</v>
      </c>
      <c r="S726" s="6">
        <v>51202.639622222603</v>
      </c>
      <c r="T726" s="6">
        <v>1535388.88</v>
      </c>
      <c r="U726" s="6">
        <v>855616.86111920699</v>
      </c>
      <c r="V726" s="6">
        <v>1935559.9996288</v>
      </c>
      <c r="W726" s="6">
        <v>455445.74149040499</v>
      </c>
      <c r="X726" s="6">
        <v>0</v>
      </c>
      <c r="Y726" s="6">
        <v>0</v>
      </c>
      <c r="Z726" s="6">
        <v>0</v>
      </c>
      <c r="AA726" s="6">
        <v>0</v>
      </c>
      <c r="AB726" s="6">
        <v>0</v>
      </c>
      <c r="AC726" s="6">
        <v>51202.639622222603</v>
      </c>
      <c r="AD726" s="6">
        <v>0</v>
      </c>
      <c r="AE726" s="6">
        <v>0</v>
      </c>
      <c r="AF726" s="6">
        <v>0</v>
      </c>
      <c r="AG726" s="6">
        <v>0</v>
      </c>
      <c r="AH726" s="6">
        <v>0</v>
      </c>
      <c r="AI726" s="6">
        <v>0</v>
      </c>
      <c r="AJ726" s="6">
        <v>2442208.38074143</v>
      </c>
      <c r="AK726" s="6">
        <v>21674.990653409699</v>
      </c>
      <c r="AL726" s="6">
        <v>330.98244656580999</v>
      </c>
      <c r="AM726" s="6">
        <v>93035.839999999997</v>
      </c>
      <c r="AN726" s="6">
        <v>14738.1273636694</v>
      </c>
      <c r="AO726" s="6">
        <v>21674.990653409699</v>
      </c>
      <c r="AP726" s="6">
        <v>330.98244656580999</v>
      </c>
      <c r="AQ726" s="6">
        <v>40734.411818744898</v>
      </c>
      <c r="AR726" s="6">
        <v>21674.990653409699</v>
      </c>
      <c r="AS726" s="6">
        <v>21674.990653409699</v>
      </c>
      <c r="AT726" s="6">
        <v>0</v>
      </c>
      <c r="AU726" t="s">
        <v>2973</v>
      </c>
      <c r="AV726" t="s">
        <v>2973</v>
      </c>
    </row>
    <row r="727" spans="1:48" x14ac:dyDescent="0.45">
      <c r="A727" s="5" t="s">
        <v>1464</v>
      </c>
      <c r="B727">
        <v>2010</v>
      </c>
      <c r="C727" t="s">
        <v>1465</v>
      </c>
      <c r="D727">
        <v>3350</v>
      </c>
      <c r="E727" t="s">
        <v>1466</v>
      </c>
      <c r="F727" t="s">
        <v>2739</v>
      </c>
      <c r="G727" t="s">
        <v>2748</v>
      </c>
      <c r="H727" t="s">
        <v>2745</v>
      </c>
      <c r="I727" t="s">
        <v>2742</v>
      </c>
      <c r="J727">
        <v>50.441083395371997</v>
      </c>
      <c r="K727">
        <v>1</v>
      </c>
      <c r="L727">
        <v>1</v>
      </c>
      <c r="M727">
        <v>2</v>
      </c>
      <c r="N727" s="6">
        <v>649297.06999999995</v>
      </c>
      <c r="O727" s="6">
        <v>195737.98</v>
      </c>
      <c r="P727" s="6">
        <v>386573.89</v>
      </c>
      <c r="Q727" s="6">
        <v>108751.09</v>
      </c>
      <c r="R727" s="6">
        <v>13384.76</v>
      </c>
      <c r="S727" s="6">
        <v>211698.13</v>
      </c>
      <c r="T727" s="6">
        <v>693641.44</v>
      </c>
      <c r="U727" s="6">
        <v>660103.35</v>
      </c>
      <c r="V727" s="6">
        <v>1199288.54</v>
      </c>
      <c r="W727" s="6">
        <v>154456.25</v>
      </c>
      <c r="X727" s="6">
        <v>0</v>
      </c>
      <c r="Y727" s="6">
        <v>0</v>
      </c>
      <c r="Z727" s="6">
        <v>0</v>
      </c>
      <c r="AA727" s="6">
        <v>0</v>
      </c>
      <c r="AB727" s="6">
        <v>0</v>
      </c>
      <c r="AC727" s="6">
        <v>201717.51</v>
      </c>
      <c r="AD727" s="6">
        <v>9980.6200000000008</v>
      </c>
      <c r="AE727" s="6">
        <v>0</v>
      </c>
      <c r="AF727" s="6">
        <v>0</v>
      </c>
      <c r="AG727" s="6">
        <v>0</v>
      </c>
      <c r="AH727" s="6">
        <v>0</v>
      </c>
      <c r="AI727" s="6">
        <v>0</v>
      </c>
      <c r="AJ727" s="6">
        <v>1565442.92</v>
      </c>
      <c r="AK727" s="6">
        <v>31035.0772549748</v>
      </c>
      <c r="AL727" s="6">
        <v>330.98244656580999</v>
      </c>
      <c r="AM727" s="6">
        <v>93035.839999999997</v>
      </c>
      <c r="AN727" s="6">
        <v>31035.0772549748</v>
      </c>
      <c r="AO727" s="6">
        <v>31035.0772549748</v>
      </c>
      <c r="AP727" s="6">
        <v>330.98244656580999</v>
      </c>
      <c r="AQ727" s="6">
        <v>56162.493707719797</v>
      </c>
      <c r="AR727" s="6">
        <v>31035.0772549748</v>
      </c>
      <c r="AS727" s="6">
        <v>31035.0772549748</v>
      </c>
      <c r="AT727" s="6">
        <v>0</v>
      </c>
      <c r="AU727" t="s">
        <v>2973</v>
      </c>
      <c r="AV727" t="s">
        <v>2973</v>
      </c>
    </row>
    <row r="728" spans="1:48" x14ac:dyDescent="0.45">
      <c r="A728" s="5" t="s">
        <v>1467</v>
      </c>
      <c r="B728">
        <v>2147</v>
      </c>
      <c r="C728" t="s">
        <v>1468</v>
      </c>
      <c r="D728">
        <v>813</v>
      </c>
      <c r="E728" t="s">
        <v>1469</v>
      </c>
      <c r="F728" t="s">
        <v>2739</v>
      </c>
      <c r="G728" t="s">
        <v>2740</v>
      </c>
      <c r="H728" t="s">
        <v>2741</v>
      </c>
      <c r="I728" t="s">
        <v>2742</v>
      </c>
      <c r="J728">
        <v>257.97214548199503</v>
      </c>
      <c r="K728">
        <v>3</v>
      </c>
      <c r="L728">
        <v>1</v>
      </c>
      <c r="M728">
        <v>2</v>
      </c>
      <c r="N728" s="6">
        <v>2047770.0246939601</v>
      </c>
      <c r="O728" s="6">
        <v>523175.86857465102</v>
      </c>
      <c r="P728" s="6">
        <v>785682.92456542805</v>
      </c>
      <c r="Q728" s="6">
        <v>127713.77494862799</v>
      </c>
      <c r="R728" s="6">
        <v>127048.042994583</v>
      </c>
      <c r="S728" s="6">
        <v>117812.65737674999</v>
      </c>
      <c r="T728" s="6">
        <v>2396609.27</v>
      </c>
      <c r="U728" s="6">
        <v>1214781.3657772499</v>
      </c>
      <c r="V728" s="6">
        <v>3144798.4853078998</v>
      </c>
      <c r="W728" s="6">
        <v>466592.150469343</v>
      </c>
      <c r="X728" s="6">
        <v>0</v>
      </c>
      <c r="Y728" s="6">
        <v>0</v>
      </c>
      <c r="Z728" s="6">
        <v>0</v>
      </c>
      <c r="AA728" s="6">
        <v>0</v>
      </c>
      <c r="AB728" s="6">
        <v>0</v>
      </c>
      <c r="AC728" s="6">
        <v>117812.65737674999</v>
      </c>
      <c r="AD728" s="6">
        <v>0</v>
      </c>
      <c r="AE728" s="6">
        <v>0</v>
      </c>
      <c r="AF728" s="6">
        <v>0</v>
      </c>
      <c r="AG728" s="6">
        <v>0</v>
      </c>
      <c r="AH728" s="6">
        <v>0</v>
      </c>
      <c r="AI728" s="6">
        <v>0</v>
      </c>
      <c r="AJ728" s="6">
        <v>3729203.2931539998</v>
      </c>
      <c r="AK728" s="6">
        <v>14455.837029173699</v>
      </c>
      <c r="AL728" s="6">
        <v>330.98244656580999</v>
      </c>
      <c r="AM728" s="6">
        <v>93035.839999999997</v>
      </c>
      <c r="AN728" s="6">
        <v>5165.6508134402702</v>
      </c>
      <c r="AO728" s="6">
        <v>19578.520181088199</v>
      </c>
      <c r="AP728" s="6">
        <v>330.98244656580999</v>
      </c>
      <c r="AQ728" s="6">
        <v>93035.839999999997</v>
      </c>
      <c r="AR728" s="6">
        <v>12665.687982818899</v>
      </c>
      <c r="AS728" s="6">
        <v>14645.3913004265</v>
      </c>
      <c r="AT728" s="6">
        <v>0</v>
      </c>
      <c r="AU728" t="s">
        <v>2973</v>
      </c>
      <c r="AV728" t="s">
        <v>2973</v>
      </c>
    </row>
    <row r="729" spans="1:48" x14ac:dyDescent="0.45">
      <c r="A729" s="5" t="s">
        <v>1470</v>
      </c>
      <c r="B729">
        <v>2147</v>
      </c>
      <c r="C729" t="s">
        <v>1468</v>
      </c>
      <c r="D729">
        <v>815</v>
      </c>
      <c r="E729" t="s">
        <v>1471</v>
      </c>
      <c r="F729" t="s">
        <v>2739</v>
      </c>
      <c r="G729" t="s">
        <v>2740</v>
      </c>
      <c r="H729" t="s">
        <v>2745</v>
      </c>
      <c r="I729" t="s">
        <v>2742</v>
      </c>
      <c r="J729">
        <v>172.455844360329</v>
      </c>
      <c r="K729">
        <v>1</v>
      </c>
      <c r="L729">
        <v>1</v>
      </c>
      <c r="M729">
        <v>2</v>
      </c>
      <c r="N729" s="6">
        <v>1324325.44460357</v>
      </c>
      <c r="O729" s="6">
        <v>390519.19555895898</v>
      </c>
      <c r="P729" s="6">
        <v>561770.52981995698</v>
      </c>
      <c r="Q729" s="6">
        <v>85377.383880182999</v>
      </c>
      <c r="R729" s="6">
        <v>84932.338288001294</v>
      </c>
      <c r="S729" s="6">
        <v>78758.430551796497</v>
      </c>
      <c r="T729" s="6">
        <v>1634836.65</v>
      </c>
      <c r="U729" s="6">
        <v>812088.24215066596</v>
      </c>
      <c r="V729" s="6">
        <v>2185559.5273447102</v>
      </c>
      <c r="W729" s="6">
        <v>261365.364805958</v>
      </c>
      <c r="X729" s="6">
        <v>0</v>
      </c>
      <c r="Y729" s="6">
        <v>0</v>
      </c>
      <c r="Z729" s="6">
        <v>0</v>
      </c>
      <c r="AA729" s="6">
        <v>0</v>
      </c>
      <c r="AB729" s="6">
        <v>0</v>
      </c>
      <c r="AC729" s="6">
        <v>78758.430551796497</v>
      </c>
      <c r="AD729" s="6">
        <v>0</v>
      </c>
      <c r="AE729" s="6">
        <v>0</v>
      </c>
      <c r="AF729" s="6">
        <v>0</v>
      </c>
      <c r="AG729" s="6">
        <v>0</v>
      </c>
      <c r="AH729" s="6">
        <v>0</v>
      </c>
      <c r="AI729" s="6">
        <v>0</v>
      </c>
      <c r="AJ729" s="6">
        <v>2525683.32270246</v>
      </c>
      <c r="AK729" s="6">
        <v>14645.3913004265</v>
      </c>
      <c r="AL729" s="6">
        <v>330.98244656580999</v>
      </c>
      <c r="AM729" s="6">
        <v>93035.839999999997</v>
      </c>
      <c r="AN729" s="6">
        <v>5165.6508134402702</v>
      </c>
      <c r="AO729" s="6">
        <v>19578.520181088199</v>
      </c>
      <c r="AP729" s="6">
        <v>330.98244656580999</v>
      </c>
      <c r="AQ729" s="6">
        <v>93035.839999999997</v>
      </c>
      <c r="AR729" s="6">
        <v>12665.687982818899</v>
      </c>
      <c r="AS729" s="6">
        <v>14645.3913004265</v>
      </c>
      <c r="AT729" s="6">
        <v>0</v>
      </c>
      <c r="AU729" t="s">
        <v>2973</v>
      </c>
      <c r="AV729" t="s">
        <v>2973</v>
      </c>
    </row>
    <row r="730" spans="1:48" x14ac:dyDescent="0.45">
      <c r="A730" s="5" t="s">
        <v>1472</v>
      </c>
      <c r="B730">
        <v>2147</v>
      </c>
      <c r="C730" t="s">
        <v>1468</v>
      </c>
      <c r="D730">
        <v>818</v>
      </c>
      <c r="E730" t="s">
        <v>1473</v>
      </c>
      <c r="F730" t="s">
        <v>2739</v>
      </c>
      <c r="G730" t="s">
        <v>2744</v>
      </c>
      <c r="H730" t="s">
        <v>2745</v>
      </c>
      <c r="I730" t="s">
        <v>2742</v>
      </c>
      <c r="J730">
        <v>166.530612244888</v>
      </c>
      <c r="K730">
        <v>1</v>
      </c>
      <c r="L730">
        <v>1</v>
      </c>
      <c r="M730">
        <v>2</v>
      </c>
      <c r="N730" s="6">
        <v>1538968.0642541901</v>
      </c>
      <c r="O730" s="6">
        <v>825767.74458281498</v>
      </c>
      <c r="P730" s="6">
        <v>655176.46628459694</v>
      </c>
      <c r="Q730" s="6">
        <v>82443.990588841698</v>
      </c>
      <c r="R730" s="6">
        <v>82014.235858186803</v>
      </c>
      <c r="S730" s="6">
        <v>76052.451036876693</v>
      </c>
      <c r="T730" s="6">
        <v>2400183.96</v>
      </c>
      <c r="U730" s="6">
        <v>784186.54156863503</v>
      </c>
      <c r="V730" s="6">
        <v>2445553.8110921299</v>
      </c>
      <c r="W730" s="6">
        <v>738816.69047650299</v>
      </c>
      <c r="X730" s="6">
        <v>0</v>
      </c>
      <c r="Y730" s="6">
        <v>0</v>
      </c>
      <c r="Z730" s="6">
        <v>0</v>
      </c>
      <c r="AA730" s="6">
        <v>0</v>
      </c>
      <c r="AB730" s="6">
        <v>0</v>
      </c>
      <c r="AC730" s="6">
        <v>76052.451036876693</v>
      </c>
      <c r="AD730" s="6">
        <v>0</v>
      </c>
      <c r="AE730" s="6">
        <v>0</v>
      </c>
      <c r="AF730" s="6">
        <v>0</v>
      </c>
      <c r="AG730" s="6">
        <v>0</v>
      </c>
      <c r="AH730" s="6">
        <v>0</v>
      </c>
      <c r="AI730" s="6">
        <v>0</v>
      </c>
      <c r="AJ730" s="6">
        <v>3260422.9526055101</v>
      </c>
      <c r="AK730" s="6">
        <v>19578.520181088199</v>
      </c>
      <c r="AL730" s="6">
        <v>330.98244656580999</v>
      </c>
      <c r="AM730" s="6">
        <v>93035.839999999997</v>
      </c>
      <c r="AN730" s="6">
        <v>5165.6508134402702</v>
      </c>
      <c r="AO730" s="6">
        <v>19578.520181088199</v>
      </c>
      <c r="AP730" s="6">
        <v>330.98244656580999</v>
      </c>
      <c r="AQ730" s="6">
        <v>40734.411818744898</v>
      </c>
      <c r="AR730" s="6">
        <v>14092.9975531737</v>
      </c>
      <c r="AS730" s="6">
        <v>19578.520181088199</v>
      </c>
      <c r="AT730" s="6">
        <v>0</v>
      </c>
      <c r="AU730" t="s">
        <v>2973</v>
      </c>
      <c r="AV730" t="s">
        <v>2973</v>
      </c>
    </row>
    <row r="731" spans="1:48" x14ac:dyDescent="0.45">
      <c r="A731" s="5" t="s">
        <v>1474</v>
      </c>
      <c r="B731">
        <v>2147</v>
      </c>
      <c r="C731" t="s">
        <v>1468</v>
      </c>
      <c r="D731">
        <v>4048</v>
      </c>
      <c r="E731" t="s">
        <v>1475</v>
      </c>
      <c r="F731" t="s">
        <v>2739</v>
      </c>
      <c r="G731" t="s">
        <v>2740</v>
      </c>
      <c r="H731" t="s">
        <v>2745</v>
      </c>
      <c r="I731" t="s">
        <v>2742</v>
      </c>
      <c r="J731">
        <v>215.86123726547001</v>
      </c>
      <c r="K731">
        <v>3</v>
      </c>
      <c r="L731">
        <v>1</v>
      </c>
      <c r="M731">
        <v>2</v>
      </c>
      <c r="N731" s="6">
        <v>1559725.4139455699</v>
      </c>
      <c r="O731" s="6">
        <v>540333.19653846603</v>
      </c>
      <c r="P731" s="6">
        <v>618678.096116398</v>
      </c>
      <c r="Q731" s="6">
        <v>106866.008439577</v>
      </c>
      <c r="R731" s="6">
        <v>106308.9493702</v>
      </c>
      <c r="S731" s="6">
        <v>98581.131460385499</v>
      </c>
      <c r="T731" s="6">
        <v>1915429.02</v>
      </c>
      <c r="U731" s="6">
        <v>1016482.64441021</v>
      </c>
      <c r="V731" s="6">
        <v>2588313.16840711</v>
      </c>
      <c r="W731" s="6">
        <v>343598.49600310501</v>
      </c>
      <c r="X731" s="6">
        <v>0</v>
      </c>
      <c r="Y731" s="6">
        <v>0</v>
      </c>
      <c r="Z731" s="6">
        <v>0</v>
      </c>
      <c r="AA731" s="6">
        <v>0</v>
      </c>
      <c r="AB731" s="6">
        <v>0</v>
      </c>
      <c r="AC731" s="6">
        <v>98581.131460385499</v>
      </c>
      <c r="AD731" s="6">
        <v>0</v>
      </c>
      <c r="AE731" s="6">
        <v>0</v>
      </c>
      <c r="AF731" s="6">
        <v>0</v>
      </c>
      <c r="AG731" s="6">
        <v>0</v>
      </c>
      <c r="AH731" s="6">
        <v>0</v>
      </c>
      <c r="AI731" s="6">
        <v>0</v>
      </c>
      <c r="AJ731" s="6">
        <v>3030492.7958705998</v>
      </c>
      <c r="AK731" s="6">
        <v>14039.078225719801</v>
      </c>
      <c r="AL731" s="6">
        <v>330.98244656580999</v>
      </c>
      <c r="AM731" s="6">
        <v>93035.839999999997</v>
      </c>
      <c r="AN731" s="6">
        <v>5165.6508134402702</v>
      </c>
      <c r="AO731" s="6">
        <v>19578.520181088199</v>
      </c>
      <c r="AP731" s="6">
        <v>330.98244656580999</v>
      </c>
      <c r="AQ731" s="6">
        <v>93035.839999999997</v>
      </c>
      <c r="AR731" s="6">
        <v>12665.687982818899</v>
      </c>
      <c r="AS731" s="6">
        <v>14645.3913004265</v>
      </c>
      <c r="AT731" s="6">
        <v>0</v>
      </c>
      <c r="AU731" t="s">
        <v>2973</v>
      </c>
      <c r="AV731" t="s">
        <v>2973</v>
      </c>
    </row>
    <row r="732" spans="1:48" x14ac:dyDescent="0.45">
      <c r="A732" s="5" t="s">
        <v>1476</v>
      </c>
      <c r="B732">
        <v>2147</v>
      </c>
      <c r="C732" t="s">
        <v>1468</v>
      </c>
      <c r="D732">
        <v>817</v>
      </c>
      <c r="E732" t="s">
        <v>1477</v>
      </c>
      <c r="F732" t="s">
        <v>2739</v>
      </c>
      <c r="G732" t="s">
        <v>2744</v>
      </c>
      <c r="H732" t="s">
        <v>2745</v>
      </c>
      <c r="I732" t="s">
        <v>2742</v>
      </c>
      <c r="J732">
        <v>367.10704933343601</v>
      </c>
      <c r="K732">
        <v>1</v>
      </c>
      <c r="L732">
        <v>1</v>
      </c>
      <c r="M732">
        <v>2</v>
      </c>
      <c r="N732" s="6">
        <v>2449239.7929246998</v>
      </c>
      <c r="O732" s="6">
        <v>1097497.90506499</v>
      </c>
      <c r="P732" s="6">
        <v>1035874.24952032</v>
      </c>
      <c r="Q732" s="6">
        <v>181742.982340307</v>
      </c>
      <c r="R732" s="6">
        <v>241630.61303095901</v>
      </c>
      <c r="S732" s="6">
        <v>167653.205127639</v>
      </c>
      <c r="T732" s="6">
        <v>3277291.92</v>
      </c>
      <c r="U732" s="6">
        <v>1728693.62288128</v>
      </c>
      <c r="V732" s="6">
        <v>4065989.1004564399</v>
      </c>
      <c r="W732" s="6">
        <v>939996.44242484402</v>
      </c>
      <c r="X732" s="6">
        <v>0</v>
      </c>
      <c r="Y732" s="6">
        <v>0</v>
      </c>
      <c r="Z732" s="6">
        <v>0</v>
      </c>
      <c r="AA732" s="6">
        <v>0</v>
      </c>
      <c r="AB732" s="6">
        <v>0</v>
      </c>
      <c r="AC732" s="6">
        <v>167653.205127639</v>
      </c>
      <c r="AD732" s="6">
        <v>0</v>
      </c>
      <c r="AE732" s="6">
        <v>0</v>
      </c>
      <c r="AF732" s="6">
        <v>0</v>
      </c>
      <c r="AG732" s="6">
        <v>0</v>
      </c>
      <c r="AH732" s="6">
        <v>0</v>
      </c>
      <c r="AI732" s="6">
        <v>0</v>
      </c>
      <c r="AJ732" s="6">
        <v>5173638.7480089301</v>
      </c>
      <c r="AK732" s="6">
        <v>14092.9975531737</v>
      </c>
      <c r="AL732" s="6">
        <v>330.98244656580999</v>
      </c>
      <c r="AM732" s="6">
        <v>93035.839999999997</v>
      </c>
      <c r="AN732" s="6">
        <v>5165.6508134402702</v>
      </c>
      <c r="AO732" s="6">
        <v>19578.520181088199</v>
      </c>
      <c r="AP732" s="6">
        <v>330.98244656580999</v>
      </c>
      <c r="AQ732" s="6">
        <v>40734.411818744898</v>
      </c>
      <c r="AR732" s="6">
        <v>14092.9975531737</v>
      </c>
      <c r="AS732" s="6">
        <v>19578.520181088199</v>
      </c>
      <c r="AT732" s="6">
        <v>0</v>
      </c>
      <c r="AU732" t="s">
        <v>2973</v>
      </c>
      <c r="AV732" t="s">
        <v>2973</v>
      </c>
    </row>
    <row r="733" spans="1:48" x14ac:dyDescent="0.45">
      <c r="A733" s="5" t="s">
        <v>2958</v>
      </c>
      <c r="B733">
        <v>2147</v>
      </c>
      <c r="C733" t="s">
        <v>1468</v>
      </c>
      <c r="D733">
        <v>5433</v>
      </c>
      <c r="E733" t="s">
        <v>2959</v>
      </c>
      <c r="F733" t="s">
        <v>2750</v>
      </c>
      <c r="G733" t="s">
        <v>2748</v>
      </c>
      <c r="H733" t="s">
        <v>2749</v>
      </c>
      <c r="I733" t="s">
        <v>2742</v>
      </c>
      <c r="J733">
        <v>51.5939702302149</v>
      </c>
      <c r="K733">
        <v>1</v>
      </c>
      <c r="L733">
        <v>1</v>
      </c>
      <c r="M733">
        <v>2</v>
      </c>
      <c r="N733" s="6">
        <v>78396.603695485202</v>
      </c>
      <c r="O733" s="6">
        <v>25557.3104134559</v>
      </c>
      <c r="P733" s="6">
        <v>88048.287829681401</v>
      </c>
      <c r="Q733" s="6">
        <v>25542.527819724601</v>
      </c>
      <c r="R733" s="6">
        <v>25409.3826130817</v>
      </c>
      <c r="S733" s="6">
        <v>23562.321916894001</v>
      </c>
      <c r="T733" s="6">
        <v>0</v>
      </c>
      <c r="U733" s="6">
        <v>242954.11237142899</v>
      </c>
      <c r="V733" s="6">
        <v>193011.32645845</v>
      </c>
      <c r="W733" s="6">
        <v>49942.785912979103</v>
      </c>
      <c r="X733" s="6">
        <v>0</v>
      </c>
      <c r="Y733" s="6">
        <v>0</v>
      </c>
      <c r="Z733" s="6">
        <v>0</v>
      </c>
      <c r="AA733" s="6">
        <v>0</v>
      </c>
      <c r="AB733" s="6">
        <v>0</v>
      </c>
      <c r="AC733" s="6">
        <v>23562.321916894001</v>
      </c>
      <c r="AD733" s="6">
        <v>0</v>
      </c>
      <c r="AE733" s="6">
        <v>0</v>
      </c>
      <c r="AF733" s="6">
        <v>0</v>
      </c>
      <c r="AG733" s="6">
        <v>0</v>
      </c>
      <c r="AH733" s="6">
        <v>0</v>
      </c>
      <c r="AI733" s="6">
        <v>0</v>
      </c>
      <c r="AJ733" s="6">
        <v>266516.43428832298</v>
      </c>
      <c r="AK733" s="6">
        <v>5165.6508134402702</v>
      </c>
      <c r="AL733" s="6">
        <v>330.98244656580999</v>
      </c>
      <c r="AM733" s="6">
        <v>93035.839999999997</v>
      </c>
      <c r="AN733" s="6">
        <v>5165.6508134402702</v>
      </c>
      <c r="AO733" s="6">
        <v>19578.520181088199</v>
      </c>
      <c r="AP733" s="6">
        <v>330.98244656580999</v>
      </c>
      <c r="AQ733" s="6">
        <v>56162.493707719797</v>
      </c>
      <c r="AR733" s="6">
        <v>5165.6508134402702</v>
      </c>
      <c r="AS733" s="6">
        <v>5165.6508134402702</v>
      </c>
      <c r="AT733" s="6">
        <v>0</v>
      </c>
      <c r="AU733" t="s">
        <v>2973</v>
      </c>
      <c r="AV733" t="s">
        <v>2976</v>
      </c>
    </row>
    <row r="734" spans="1:48" x14ac:dyDescent="0.45">
      <c r="A734" s="5" t="s">
        <v>1478</v>
      </c>
      <c r="B734">
        <v>2147</v>
      </c>
      <c r="C734" t="s">
        <v>1468</v>
      </c>
      <c r="D734">
        <v>2147</v>
      </c>
      <c r="E734" t="s">
        <v>1468</v>
      </c>
      <c r="F734" t="s">
        <v>1</v>
      </c>
      <c r="G734" t="s">
        <v>1</v>
      </c>
      <c r="H734" t="s">
        <v>2743</v>
      </c>
      <c r="I734" t="s">
        <v>2742</v>
      </c>
      <c r="J734">
        <v>20.229729729721001</v>
      </c>
      <c r="K734">
        <v>10</v>
      </c>
      <c r="L734">
        <v>1</v>
      </c>
      <c r="M734">
        <v>2</v>
      </c>
      <c r="N734" s="6">
        <v>30738.9041279661</v>
      </c>
      <c r="O734" s="6">
        <v>10020.889650008299</v>
      </c>
      <c r="P734" s="6">
        <v>34523.279716822799</v>
      </c>
      <c r="Q734" s="6">
        <v>10015.093471219299</v>
      </c>
      <c r="R734" s="6">
        <v>9962.8879221372299</v>
      </c>
      <c r="S734" s="6">
        <v>9238.6649458564298</v>
      </c>
      <c r="T734" s="6">
        <v>0</v>
      </c>
      <c r="U734" s="6">
        <v>95261.054888153696</v>
      </c>
      <c r="V734" s="6">
        <v>75678.746016385398</v>
      </c>
      <c r="W734" s="6">
        <v>19582.308871768299</v>
      </c>
      <c r="X734" s="6">
        <v>0</v>
      </c>
      <c r="Y734" s="6">
        <v>0</v>
      </c>
      <c r="Z734" s="6">
        <v>0</v>
      </c>
      <c r="AA734" s="6">
        <v>0</v>
      </c>
      <c r="AB734" s="6">
        <v>0</v>
      </c>
      <c r="AC734" s="6">
        <v>9238.6649458564298</v>
      </c>
      <c r="AD734" s="6">
        <v>0</v>
      </c>
      <c r="AE734" s="6">
        <v>0</v>
      </c>
      <c r="AF734" s="6">
        <v>0</v>
      </c>
      <c r="AG734" s="6">
        <v>0</v>
      </c>
      <c r="AH734" s="6">
        <v>0</v>
      </c>
      <c r="AI734" s="6">
        <v>0</v>
      </c>
      <c r="AJ734" s="6">
        <v>104499.71983401</v>
      </c>
      <c r="AK734" s="6">
        <v>5165.6508134402702</v>
      </c>
      <c r="AL734" s="6">
        <v>330.98244656580999</v>
      </c>
      <c r="AM734" s="6">
        <v>93035.839999999997</v>
      </c>
      <c r="AN734" s="6">
        <v>5165.6508134402702</v>
      </c>
      <c r="AO734" s="6">
        <v>19578.520181088199</v>
      </c>
      <c r="AP734" s="6">
        <v>634.54287297753501</v>
      </c>
      <c r="AQ734" s="6">
        <v>40331.279999999999</v>
      </c>
      <c r="AR734" s="6">
        <v>5165.6508134402702</v>
      </c>
      <c r="AS734" s="6">
        <v>5165.6508134402702</v>
      </c>
      <c r="AT734" s="6">
        <v>0</v>
      </c>
      <c r="AU734" t="s">
        <v>2973</v>
      </c>
      <c r="AV734" t="s">
        <v>2977</v>
      </c>
    </row>
    <row r="735" spans="1:48" x14ac:dyDescent="0.45">
      <c r="A735" s="5" t="s">
        <v>1479</v>
      </c>
      <c r="B735">
        <v>2147</v>
      </c>
      <c r="C735" t="s">
        <v>1468</v>
      </c>
      <c r="D735">
        <v>820</v>
      </c>
      <c r="E735" t="s">
        <v>1480</v>
      </c>
      <c r="F735" t="s">
        <v>2739</v>
      </c>
      <c r="G735" t="s">
        <v>2744</v>
      </c>
      <c r="H735" t="s">
        <v>2745</v>
      </c>
      <c r="I735" t="s">
        <v>2742</v>
      </c>
      <c r="J735">
        <v>406.96885627345802</v>
      </c>
      <c r="K735">
        <v>1</v>
      </c>
      <c r="L735">
        <v>1</v>
      </c>
      <c r="M735">
        <v>2</v>
      </c>
      <c r="N735" s="6">
        <v>2948262.85320553</v>
      </c>
      <c r="O735" s="6">
        <v>1141959.5944411501</v>
      </c>
      <c r="P735" s="6">
        <v>1259923.58812063</v>
      </c>
      <c r="Q735" s="6">
        <v>201477.29059700601</v>
      </c>
      <c r="R735" s="6">
        <v>200427.05251251801</v>
      </c>
      <c r="S735" s="6">
        <v>185857.59457700499</v>
      </c>
      <c r="T735" s="6">
        <v>3835648.97</v>
      </c>
      <c r="U735" s="6">
        <v>1916401.40887684</v>
      </c>
      <c r="V735" s="6">
        <v>4770688.6342938105</v>
      </c>
      <c r="W735" s="6">
        <v>981361.74458303396</v>
      </c>
      <c r="X735" s="6">
        <v>0</v>
      </c>
      <c r="Y735" s="6">
        <v>0</v>
      </c>
      <c r="Z735" s="6">
        <v>0</v>
      </c>
      <c r="AA735" s="6">
        <v>0</v>
      </c>
      <c r="AB735" s="6">
        <v>0</v>
      </c>
      <c r="AC735" s="6">
        <v>185857.59457700499</v>
      </c>
      <c r="AD735" s="6">
        <v>0</v>
      </c>
      <c r="AE735" s="6">
        <v>0</v>
      </c>
      <c r="AF735" s="6">
        <v>0</v>
      </c>
      <c r="AG735" s="6">
        <v>0</v>
      </c>
      <c r="AH735" s="6">
        <v>0</v>
      </c>
      <c r="AI735" s="6">
        <v>0</v>
      </c>
      <c r="AJ735" s="6">
        <v>5937907.9734538496</v>
      </c>
      <c r="AK735" s="6">
        <v>14590.5709538224</v>
      </c>
      <c r="AL735" s="6">
        <v>330.98244656580999</v>
      </c>
      <c r="AM735" s="6">
        <v>93035.839999999997</v>
      </c>
      <c r="AN735" s="6">
        <v>5165.6508134402702</v>
      </c>
      <c r="AO735" s="6">
        <v>19578.520181088199</v>
      </c>
      <c r="AP735" s="6">
        <v>330.98244656580999</v>
      </c>
      <c r="AQ735" s="6">
        <v>40734.411818744898</v>
      </c>
      <c r="AR735" s="6">
        <v>14092.9975531737</v>
      </c>
      <c r="AS735" s="6">
        <v>19578.520181088199</v>
      </c>
      <c r="AT735" s="6">
        <v>0</v>
      </c>
      <c r="AU735" t="s">
        <v>2973</v>
      </c>
      <c r="AV735" t="s">
        <v>2973</v>
      </c>
    </row>
    <row r="736" spans="1:48" x14ac:dyDescent="0.45">
      <c r="A736" s="5" t="s">
        <v>1481</v>
      </c>
      <c r="B736">
        <v>2147</v>
      </c>
      <c r="C736" t="s">
        <v>1468</v>
      </c>
      <c r="D736">
        <v>814</v>
      </c>
      <c r="E736" t="s">
        <v>1482</v>
      </c>
      <c r="F736" t="s">
        <v>2739</v>
      </c>
      <c r="G736" t="s">
        <v>2740</v>
      </c>
      <c r="H736" t="s">
        <v>2741</v>
      </c>
      <c r="I736" t="s">
        <v>2742</v>
      </c>
      <c r="J736">
        <v>332.28837605442402</v>
      </c>
      <c r="K736">
        <v>5</v>
      </c>
      <c r="L736">
        <v>1</v>
      </c>
      <c r="M736">
        <v>2</v>
      </c>
      <c r="N736" s="6">
        <v>2712077.0218129801</v>
      </c>
      <c r="O736" s="6">
        <v>645080.99513915996</v>
      </c>
      <c r="P736" s="6">
        <v>901986.96911514201</v>
      </c>
      <c r="Q736" s="6">
        <v>164505.368586089</v>
      </c>
      <c r="R736" s="6">
        <v>163647.85356452101</v>
      </c>
      <c r="S736" s="6">
        <v>151751.951844386</v>
      </c>
      <c r="T736" s="6">
        <v>3022564.44</v>
      </c>
      <c r="U736" s="6">
        <v>1564733.7682179001</v>
      </c>
      <c r="V736" s="6">
        <v>3962752.10189491</v>
      </c>
      <c r="W736" s="6">
        <v>624546.10632298805</v>
      </c>
      <c r="X736" s="6">
        <v>0</v>
      </c>
      <c r="Y736" s="6">
        <v>0</v>
      </c>
      <c r="Z736" s="6">
        <v>0</v>
      </c>
      <c r="AA736" s="6">
        <v>0</v>
      </c>
      <c r="AB736" s="6">
        <v>0</v>
      </c>
      <c r="AC736" s="6">
        <v>151751.951844386</v>
      </c>
      <c r="AD736" s="6">
        <v>0</v>
      </c>
      <c r="AE736" s="6">
        <v>0</v>
      </c>
      <c r="AF736" s="6">
        <v>0</v>
      </c>
      <c r="AG736" s="6">
        <v>0</v>
      </c>
      <c r="AH736" s="6">
        <v>0</v>
      </c>
      <c r="AI736" s="6">
        <v>0</v>
      </c>
      <c r="AJ736" s="6">
        <v>4739050.1600622796</v>
      </c>
      <c r="AK736" s="6">
        <v>14261.859582130201</v>
      </c>
      <c r="AL736" s="6">
        <v>330.98244656580999</v>
      </c>
      <c r="AM736" s="6">
        <v>93035.839999999997</v>
      </c>
      <c r="AN736" s="6">
        <v>5165.6508134402702</v>
      </c>
      <c r="AO736" s="6">
        <v>19578.520181088199</v>
      </c>
      <c r="AP736" s="6">
        <v>330.98244656580999</v>
      </c>
      <c r="AQ736" s="6">
        <v>93035.839999999997</v>
      </c>
      <c r="AR736" s="6">
        <v>12665.687982818899</v>
      </c>
      <c r="AS736" s="6">
        <v>14645.3913004265</v>
      </c>
      <c r="AT736" s="6">
        <v>0</v>
      </c>
      <c r="AU736" t="s">
        <v>2973</v>
      </c>
      <c r="AV736" t="s">
        <v>2973</v>
      </c>
    </row>
    <row r="737" spans="1:48" x14ac:dyDescent="0.45">
      <c r="A737" s="5" t="s">
        <v>1483</v>
      </c>
      <c r="B737">
        <v>2147</v>
      </c>
      <c r="C737" t="s">
        <v>1468</v>
      </c>
      <c r="D737">
        <v>4047</v>
      </c>
      <c r="E737" t="s">
        <v>1484</v>
      </c>
      <c r="F737" t="s">
        <v>2739</v>
      </c>
      <c r="G737" t="s">
        <v>2740</v>
      </c>
      <c r="H737" t="s">
        <v>2745</v>
      </c>
      <c r="I737" t="s">
        <v>2742</v>
      </c>
      <c r="J737">
        <v>288.25675675673</v>
      </c>
      <c r="K737">
        <v>4</v>
      </c>
      <c r="L737">
        <v>1</v>
      </c>
      <c r="M737">
        <v>2</v>
      </c>
      <c r="N737" s="6">
        <v>1976797.5467360499</v>
      </c>
      <c r="O737" s="6">
        <v>501751.28003633901</v>
      </c>
      <c r="P737" s="6">
        <v>756108.49891102</v>
      </c>
      <c r="Q737" s="6">
        <v>142706.71932842399</v>
      </c>
      <c r="R737" s="6">
        <v>141962.83384581201</v>
      </c>
      <c r="S737" s="6">
        <v>131643.261162412</v>
      </c>
      <c r="T737" s="6">
        <v>2161936.39</v>
      </c>
      <c r="U737" s="6">
        <v>1357390.48885764</v>
      </c>
      <c r="V737" s="6">
        <v>3019303.1387281599</v>
      </c>
      <c r="W737" s="6">
        <v>500023.74012948002</v>
      </c>
      <c r="X737" s="6">
        <v>0</v>
      </c>
      <c r="Y737" s="6">
        <v>0</v>
      </c>
      <c r="Z737" s="6">
        <v>0</v>
      </c>
      <c r="AA737" s="6">
        <v>0</v>
      </c>
      <c r="AB737" s="6">
        <v>0</v>
      </c>
      <c r="AC737" s="6">
        <v>131643.261162412</v>
      </c>
      <c r="AD737" s="6">
        <v>0</v>
      </c>
      <c r="AE737" s="6">
        <v>0</v>
      </c>
      <c r="AF737" s="6">
        <v>0</v>
      </c>
      <c r="AG737" s="6">
        <v>0</v>
      </c>
      <c r="AH737" s="6">
        <v>0</v>
      </c>
      <c r="AI737" s="6">
        <v>0</v>
      </c>
      <c r="AJ737" s="6">
        <v>3650970.1400200501</v>
      </c>
      <c r="AK737" s="6">
        <v>12665.687982818899</v>
      </c>
      <c r="AL737" s="6">
        <v>330.98244656580999</v>
      </c>
      <c r="AM737" s="6">
        <v>93035.839999999997</v>
      </c>
      <c r="AN737" s="6">
        <v>5165.6508134402702</v>
      </c>
      <c r="AO737" s="6">
        <v>19578.520181088199</v>
      </c>
      <c r="AP737" s="6">
        <v>330.98244656580999</v>
      </c>
      <c r="AQ737" s="6">
        <v>93035.839999999997</v>
      </c>
      <c r="AR737" s="6">
        <v>12665.687982818899</v>
      </c>
      <c r="AS737" s="6">
        <v>14645.3913004265</v>
      </c>
      <c r="AT737" s="6">
        <v>0</v>
      </c>
      <c r="AU737" t="s">
        <v>2973</v>
      </c>
      <c r="AV737" t="s">
        <v>2973</v>
      </c>
    </row>
    <row r="738" spans="1:48" x14ac:dyDescent="0.45">
      <c r="A738" s="5" t="s">
        <v>1485</v>
      </c>
      <c r="B738">
        <v>2145</v>
      </c>
      <c r="C738" t="s">
        <v>1486</v>
      </c>
      <c r="D738">
        <v>794</v>
      </c>
      <c r="E738" t="s">
        <v>1487</v>
      </c>
      <c r="F738" t="s">
        <v>2739</v>
      </c>
      <c r="G738" t="s">
        <v>2744</v>
      </c>
      <c r="H738" t="s">
        <v>2741</v>
      </c>
      <c r="I738" t="s">
        <v>2742</v>
      </c>
      <c r="J738">
        <v>175.52825497218799</v>
      </c>
      <c r="K738">
        <v>1</v>
      </c>
      <c r="L738">
        <v>1</v>
      </c>
      <c r="M738">
        <v>1</v>
      </c>
      <c r="N738" s="6">
        <v>1659640.3379918099</v>
      </c>
      <c r="O738" s="6">
        <v>685000.37050235795</v>
      </c>
      <c r="P738" s="6">
        <v>452868.80377357302</v>
      </c>
      <c r="Q738" s="6">
        <v>189268.603348676</v>
      </c>
      <c r="R738" s="6">
        <v>131375.471381877</v>
      </c>
      <c r="S738" s="6">
        <v>94079.610787941507</v>
      </c>
      <c r="T738" s="6">
        <v>2013297.45</v>
      </c>
      <c r="U738" s="6">
        <v>1104856.1369983</v>
      </c>
      <c r="V738" s="6">
        <v>2663816.4394314601</v>
      </c>
      <c r="W738" s="6">
        <v>454337.14756684197</v>
      </c>
      <c r="X738" s="6">
        <v>0</v>
      </c>
      <c r="Y738" s="6">
        <v>0</v>
      </c>
      <c r="Z738" s="6">
        <v>0</v>
      </c>
      <c r="AA738" s="6">
        <v>0</v>
      </c>
      <c r="AB738" s="6">
        <v>0</v>
      </c>
      <c r="AC738" s="6">
        <v>26708.870856913101</v>
      </c>
      <c r="AD738" s="6">
        <v>67370.739931028394</v>
      </c>
      <c r="AE738" s="6">
        <v>0</v>
      </c>
      <c r="AF738" s="6">
        <v>0</v>
      </c>
      <c r="AG738" s="6">
        <v>0</v>
      </c>
      <c r="AH738" s="6">
        <v>0</v>
      </c>
      <c r="AI738" s="6">
        <v>0</v>
      </c>
      <c r="AJ738" s="6">
        <v>3212233.1977862399</v>
      </c>
      <c r="AK738" s="6">
        <v>18300.376758688799</v>
      </c>
      <c r="AL738" s="6">
        <v>330.98244656580999</v>
      </c>
      <c r="AM738" s="6">
        <v>93035.839999999997</v>
      </c>
      <c r="AN738" s="6">
        <v>6830.4430416413798</v>
      </c>
      <c r="AO738" s="6">
        <v>18300.376758688799</v>
      </c>
      <c r="AP738" s="6">
        <v>330.98244656580999</v>
      </c>
      <c r="AQ738" s="6">
        <v>40734.411818744898</v>
      </c>
      <c r="AR738" s="6">
        <v>18300.376758688799</v>
      </c>
      <c r="AS738" s="6">
        <v>18300.376758688799</v>
      </c>
      <c r="AT738" s="6">
        <v>0</v>
      </c>
      <c r="AU738" t="s">
        <v>2973</v>
      </c>
      <c r="AV738" t="s">
        <v>2973</v>
      </c>
    </row>
    <row r="739" spans="1:48" x14ac:dyDescent="0.45">
      <c r="A739" s="5" t="s">
        <v>1488</v>
      </c>
      <c r="B739">
        <v>2145</v>
      </c>
      <c r="C739" t="s">
        <v>1486</v>
      </c>
      <c r="D739">
        <v>792</v>
      </c>
      <c r="E739" t="s">
        <v>1489</v>
      </c>
      <c r="F739" t="s">
        <v>2739</v>
      </c>
      <c r="G739" t="s">
        <v>2747</v>
      </c>
      <c r="H739" t="s">
        <v>2741</v>
      </c>
      <c r="I739" t="s">
        <v>2742</v>
      </c>
      <c r="J739">
        <v>193.23645742256201</v>
      </c>
      <c r="K739">
        <v>1</v>
      </c>
      <c r="L739">
        <v>1</v>
      </c>
      <c r="M739">
        <v>1</v>
      </c>
      <c r="N739" s="6">
        <v>1165131.0207738201</v>
      </c>
      <c r="O739" s="6">
        <v>410342.94163803902</v>
      </c>
      <c r="P739" s="6">
        <v>435450.11669667403</v>
      </c>
      <c r="Q739" s="6">
        <v>208363.00354156201</v>
      </c>
      <c r="R739" s="6">
        <v>58438.442557824499</v>
      </c>
      <c r="S739" s="6">
        <v>103570.850785452</v>
      </c>
      <c r="T739" s="6">
        <v>1061405.76</v>
      </c>
      <c r="U739" s="6">
        <v>1216319.76520792</v>
      </c>
      <c r="V739" s="6">
        <v>2010129.0319509001</v>
      </c>
      <c r="W739" s="6">
        <v>267596.49325702002</v>
      </c>
      <c r="X739" s="6">
        <v>0</v>
      </c>
      <c r="Y739" s="6">
        <v>0</v>
      </c>
      <c r="Z739" s="6">
        <v>0</v>
      </c>
      <c r="AA739" s="6">
        <v>0</v>
      </c>
      <c r="AB739" s="6">
        <v>0</v>
      </c>
      <c r="AC739" s="6">
        <v>29403.400534941498</v>
      </c>
      <c r="AD739" s="6">
        <v>74167.450250510199</v>
      </c>
      <c r="AE739" s="6">
        <v>0</v>
      </c>
      <c r="AF739" s="6">
        <v>0</v>
      </c>
      <c r="AG739" s="6">
        <v>0</v>
      </c>
      <c r="AH739" s="6">
        <v>0</v>
      </c>
      <c r="AI739" s="6">
        <v>0</v>
      </c>
      <c r="AJ739" s="6">
        <v>2381296.3759933701</v>
      </c>
      <c r="AK739" s="6">
        <v>12323.2251706314</v>
      </c>
      <c r="AL739" s="6">
        <v>330.98244656580999</v>
      </c>
      <c r="AM739" s="6">
        <v>93035.839999999997</v>
      </c>
      <c r="AN739" s="6">
        <v>6830.4430416413798</v>
      </c>
      <c r="AO739" s="6">
        <v>18300.376758688799</v>
      </c>
      <c r="AP739" s="6">
        <v>3753.1860850462999</v>
      </c>
      <c r="AQ739" s="6">
        <v>20687.885194392002</v>
      </c>
      <c r="AR739" s="6">
        <v>12323.2251706314</v>
      </c>
      <c r="AS739" s="6">
        <v>12323.2251706314</v>
      </c>
      <c r="AT739" s="6">
        <v>0</v>
      </c>
      <c r="AU739" t="s">
        <v>2973</v>
      </c>
      <c r="AV739" t="s">
        <v>2973</v>
      </c>
    </row>
    <row r="740" spans="1:48" x14ac:dyDescent="0.45">
      <c r="A740" s="5" t="s">
        <v>2772</v>
      </c>
      <c r="B740">
        <v>2145</v>
      </c>
      <c r="C740" t="s">
        <v>1486</v>
      </c>
      <c r="D740">
        <v>2145</v>
      </c>
      <c r="E740" t="s">
        <v>1486</v>
      </c>
      <c r="F740" t="s">
        <v>1</v>
      </c>
      <c r="G740" t="s">
        <v>1</v>
      </c>
      <c r="H740" t="s">
        <v>2743</v>
      </c>
      <c r="I740" t="s">
        <v>2742</v>
      </c>
      <c r="J740">
        <v>1.9653179190750001</v>
      </c>
      <c r="K740">
        <v>0</v>
      </c>
      <c r="L740">
        <v>0</v>
      </c>
      <c r="M740">
        <v>1</v>
      </c>
      <c r="N740" s="6">
        <v>2892.74696083254</v>
      </c>
      <c r="O740" s="6">
        <v>3088.5882255890201</v>
      </c>
      <c r="P740" s="6">
        <v>3829.6439820575101</v>
      </c>
      <c r="Q740" s="6">
        <v>2119.16296745723</v>
      </c>
      <c r="R740" s="6">
        <v>440.47913177232601</v>
      </c>
      <c r="S740" s="6">
        <v>1053.3708372503299</v>
      </c>
      <c r="T740" s="6">
        <v>0</v>
      </c>
      <c r="U740" s="6">
        <v>12370.6212677086</v>
      </c>
      <c r="V740" s="6">
        <v>10433.1054604539</v>
      </c>
      <c r="W740" s="6">
        <v>1937.5158072547099</v>
      </c>
      <c r="X740" s="6">
        <v>0</v>
      </c>
      <c r="Y740" s="6">
        <v>0</v>
      </c>
      <c r="Z740" s="6">
        <v>0</v>
      </c>
      <c r="AA740" s="6">
        <v>0</v>
      </c>
      <c r="AB740" s="6">
        <v>0</v>
      </c>
      <c r="AC740" s="6">
        <v>299.04827859006798</v>
      </c>
      <c r="AD740" s="6">
        <v>754.32255866026003</v>
      </c>
      <c r="AE740" s="6">
        <v>0</v>
      </c>
      <c r="AF740" s="6">
        <v>0</v>
      </c>
      <c r="AG740" s="6">
        <v>0</v>
      </c>
      <c r="AH740" s="6">
        <v>0</v>
      </c>
      <c r="AI740" s="6">
        <v>0</v>
      </c>
      <c r="AJ740" s="6">
        <v>13423.992104958999</v>
      </c>
      <c r="AK740" s="6">
        <v>6830.4430416413798</v>
      </c>
      <c r="AL740" s="6">
        <v>330.98244656580999</v>
      </c>
      <c r="AM740" s="6">
        <v>93035.839999999997</v>
      </c>
      <c r="AN740" s="6">
        <v>6830.4430416413798</v>
      </c>
      <c r="AO740" s="6">
        <v>18300.376758688799</v>
      </c>
      <c r="AP740" s="6">
        <v>634.54287297753501</v>
      </c>
      <c r="AQ740" s="6">
        <v>40331.279999999999</v>
      </c>
      <c r="AR740" s="6">
        <v>6830.4430416413798</v>
      </c>
      <c r="AS740" s="6">
        <v>6830.4430416413798</v>
      </c>
      <c r="AT740" s="6">
        <v>0</v>
      </c>
      <c r="AU740" t="s">
        <v>2973</v>
      </c>
      <c r="AV740" t="s">
        <v>2977</v>
      </c>
    </row>
    <row r="741" spans="1:48" x14ac:dyDescent="0.45">
      <c r="A741" s="5" t="s">
        <v>1490</v>
      </c>
      <c r="B741">
        <v>2145</v>
      </c>
      <c r="C741" t="s">
        <v>1486</v>
      </c>
      <c r="D741">
        <v>793</v>
      </c>
      <c r="E741" t="s">
        <v>1491</v>
      </c>
      <c r="F741" t="s">
        <v>2739</v>
      </c>
      <c r="G741" t="s">
        <v>2740</v>
      </c>
      <c r="H741" t="s">
        <v>2741</v>
      </c>
      <c r="I741" t="s">
        <v>2742</v>
      </c>
      <c r="J741">
        <v>360.43928030820899</v>
      </c>
      <c r="K741">
        <v>2</v>
      </c>
      <c r="L741">
        <v>1</v>
      </c>
      <c r="M741">
        <v>1</v>
      </c>
      <c r="N741" s="6">
        <v>2447183.2042735401</v>
      </c>
      <c r="O741" s="6">
        <v>635898.07963401405</v>
      </c>
      <c r="P741" s="6">
        <v>826062.12554769497</v>
      </c>
      <c r="Q741" s="6">
        <v>388654.460142305</v>
      </c>
      <c r="R741" s="6">
        <v>101408.646928526</v>
      </c>
      <c r="S741" s="6">
        <v>193188.19758935599</v>
      </c>
      <c r="T741" s="6">
        <v>2130434.7400000002</v>
      </c>
      <c r="U741" s="6">
        <v>2268771.77652608</v>
      </c>
      <c r="V741" s="6">
        <v>3960942.6231571902</v>
      </c>
      <c r="W741" s="6">
        <v>438263.893368883</v>
      </c>
      <c r="X741" s="6">
        <v>0</v>
      </c>
      <c r="Y741" s="6">
        <v>0</v>
      </c>
      <c r="Z741" s="6">
        <v>0</v>
      </c>
      <c r="AA741" s="6">
        <v>0</v>
      </c>
      <c r="AB741" s="6">
        <v>0</v>
      </c>
      <c r="AC741" s="6">
        <v>54845.450329555199</v>
      </c>
      <c r="AD741" s="6">
        <v>138342.74725980099</v>
      </c>
      <c r="AE741" s="6">
        <v>0</v>
      </c>
      <c r="AF741" s="6">
        <v>0</v>
      </c>
      <c r="AG741" s="6">
        <v>0</v>
      </c>
      <c r="AH741" s="6">
        <v>0</v>
      </c>
      <c r="AI741" s="6">
        <v>0</v>
      </c>
      <c r="AJ741" s="6">
        <v>4592394.7141154297</v>
      </c>
      <c r="AK741" s="6">
        <v>12741.1049932974</v>
      </c>
      <c r="AL741" s="6">
        <v>330.98244656580999</v>
      </c>
      <c r="AM741" s="6">
        <v>93035.839999999997</v>
      </c>
      <c r="AN741" s="6">
        <v>6830.4430416413798</v>
      </c>
      <c r="AO741" s="6">
        <v>18300.376758688799</v>
      </c>
      <c r="AP741" s="6">
        <v>330.98244656580999</v>
      </c>
      <c r="AQ741" s="6">
        <v>93035.839999999997</v>
      </c>
      <c r="AR741" s="6">
        <v>12741.1049932974</v>
      </c>
      <c r="AS741" s="6">
        <v>12741.1049932974</v>
      </c>
      <c r="AT741" s="6">
        <v>0</v>
      </c>
      <c r="AU741" t="s">
        <v>2973</v>
      </c>
      <c r="AV741" t="s">
        <v>2973</v>
      </c>
    </row>
    <row r="742" spans="1:48" x14ac:dyDescent="0.45">
      <c r="A742" s="5" t="s">
        <v>1498</v>
      </c>
      <c r="B742">
        <v>1968</v>
      </c>
      <c r="C742" t="s">
        <v>1499</v>
      </c>
      <c r="D742">
        <v>214</v>
      </c>
      <c r="E742" t="s">
        <v>1500</v>
      </c>
      <c r="F742" t="s">
        <v>2739</v>
      </c>
      <c r="G742" t="s">
        <v>2740</v>
      </c>
      <c r="H742" t="s">
        <v>2741</v>
      </c>
      <c r="I742" t="s">
        <v>2742</v>
      </c>
      <c r="J742">
        <v>303.14226439598599</v>
      </c>
      <c r="K742">
        <v>1</v>
      </c>
      <c r="L742">
        <v>1</v>
      </c>
      <c r="M742">
        <v>3</v>
      </c>
      <c r="N742" s="6">
        <v>2053803.5227628499</v>
      </c>
      <c r="O742" s="6">
        <v>446576.61748784903</v>
      </c>
      <c r="P742" s="6">
        <v>1111125.6265632601</v>
      </c>
      <c r="Q742" s="6">
        <v>339114.77463958599</v>
      </c>
      <c r="R742" s="6">
        <v>463942.16641341802</v>
      </c>
      <c r="S742" s="6">
        <v>133424.265272277</v>
      </c>
      <c r="T742" s="6">
        <v>2539176.27</v>
      </c>
      <c r="U742" s="6">
        <v>1875386.43786697</v>
      </c>
      <c r="V742" s="6">
        <v>3594541.8410137598</v>
      </c>
      <c r="W742" s="6">
        <v>820020.86685321003</v>
      </c>
      <c r="X742" s="6">
        <v>0</v>
      </c>
      <c r="Y742" s="6">
        <v>0</v>
      </c>
      <c r="Z742" s="6">
        <v>0</v>
      </c>
      <c r="AA742" s="6">
        <v>0</v>
      </c>
      <c r="AB742" s="6">
        <v>0</v>
      </c>
      <c r="AC742" s="6">
        <v>117148.424487276</v>
      </c>
      <c r="AD742" s="6">
        <v>16275.840785001201</v>
      </c>
      <c r="AE742" s="6">
        <v>0</v>
      </c>
      <c r="AF742" s="6">
        <v>0</v>
      </c>
      <c r="AG742" s="6">
        <v>0</v>
      </c>
      <c r="AH742" s="6">
        <v>0</v>
      </c>
      <c r="AI742" s="6">
        <v>0</v>
      </c>
      <c r="AJ742" s="6">
        <v>4547986.9731392404</v>
      </c>
      <c r="AK742" s="6">
        <v>15002.813884105401</v>
      </c>
      <c r="AL742" s="6">
        <v>330.98244656580999</v>
      </c>
      <c r="AM742" s="6">
        <v>93035.839999999997</v>
      </c>
      <c r="AN742" s="6">
        <v>15002.813884105401</v>
      </c>
      <c r="AO742" s="6">
        <v>19689.927255544899</v>
      </c>
      <c r="AP742" s="6">
        <v>330.98244656580999</v>
      </c>
      <c r="AQ742" s="6">
        <v>93035.839999999997</v>
      </c>
      <c r="AR742" s="6">
        <v>15002.813884105401</v>
      </c>
      <c r="AS742" s="6">
        <v>15002.813884105401</v>
      </c>
      <c r="AT742" s="6">
        <v>0</v>
      </c>
      <c r="AU742" t="s">
        <v>2973</v>
      </c>
      <c r="AV742" t="s">
        <v>2973</v>
      </c>
    </row>
    <row r="743" spans="1:48" x14ac:dyDescent="0.45">
      <c r="A743" s="5" t="s">
        <v>1501</v>
      </c>
      <c r="B743">
        <v>1968</v>
      </c>
      <c r="C743" t="s">
        <v>1499</v>
      </c>
      <c r="D743">
        <v>215</v>
      </c>
      <c r="E743" t="s">
        <v>1502</v>
      </c>
      <c r="F743" t="s">
        <v>2739</v>
      </c>
      <c r="G743" t="s">
        <v>2744</v>
      </c>
      <c r="H743" t="s">
        <v>2745</v>
      </c>
      <c r="I743" t="s">
        <v>2742</v>
      </c>
      <c r="J743">
        <v>215.66706782346799</v>
      </c>
      <c r="K743">
        <v>1</v>
      </c>
      <c r="L743">
        <v>1</v>
      </c>
      <c r="M743">
        <v>3</v>
      </c>
      <c r="N743" s="6">
        <v>1701114.9872371501</v>
      </c>
      <c r="O743" s="6">
        <v>942614.18251215096</v>
      </c>
      <c r="P743" s="6">
        <v>922361.80343673902</v>
      </c>
      <c r="Q743" s="6">
        <v>241259.29536041399</v>
      </c>
      <c r="R743" s="6">
        <v>344195.45358658198</v>
      </c>
      <c r="S743" s="6">
        <v>94923.1547277231</v>
      </c>
      <c r="T743" s="6">
        <v>2817323.67</v>
      </c>
      <c r="U743" s="6">
        <v>1334222.05213303</v>
      </c>
      <c r="V743" s="6">
        <v>3417026.6289862501</v>
      </c>
      <c r="W743" s="6">
        <v>720389.94314679003</v>
      </c>
      <c r="X743" s="6">
        <v>0</v>
      </c>
      <c r="Y743" s="6">
        <v>0</v>
      </c>
      <c r="Z743" s="6">
        <v>0</v>
      </c>
      <c r="AA743" s="6">
        <v>0</v>
      </c>
      <c r="AB743" s="6">
        <v>14129.15</v>
      </c>
      <c r="AC743" s="6">
        <v>83343.895512724295</v>
      </c>
      <c r="AD743" s="6">
        <v>11579.2592149988</v>
      </c>
      <c r="AE743" s="6">
        <v>0</v>
      </c>
      <c r="AF743" s="6">
        <v>0</v>
      </c>
      <c r="AG743" s="6">
        <v>0</v>
      </c>
      <c r="AH743" s="6">
        <v>0</v>
      </c>
      <c r="AI743" s="6">
        <v>0</v>
      </c>
      <c r="AJ743" s="6">
        <v>4246468.8768607602</v>
      </c>
      <c r="AK743" s="6">
        <v>19689.927255544899</v>
      </c>
      <c r="AL743" s="6">
        <v>330.98244656580999</v>
      </c>
      <c r="AM743" s="6">
        <v>93035.839999999997</v>
      </c>
      <c r="AN743" s="6">
        <v>15002.813884105401</v>
      </c>
      <c r="AO743" s="6">
        <v>19689.927255544899</v>
      </c>
      <c r="AP743" s="6">
        <v>330.98244656580999</v>
      </c>
      <c r="AQ743" s="6">
        <v>40734.411818744898</v>
      </c>
      <c r="AR743" s="6">
        <v>19689.927255544899</v>
      </c>
      <c r="AS743" s="6">
        <v>19689.927255544899</v>
      </c>
      <c r="AT743" s="6">
        <v>0</v>
      </c>
      <c r="AU743" t="s">
        <v>2973</v>
      </c>
      <c r="AV743" t="s">
        <v>2973</v>
      </c>
    </row>
    <row r="744" spans="1:48" x14ac:dyDescent="0.45">
      <c r="A744" s="5" t="s">
        <v>1503</v>
      </c>
      <c r="B744">
        <v>2198</v>
      </c>
      <c r="C744" t="s">
        <v>1504</v>
      </c>
      <c r="D744">
        <v>1020</v>
      </c>
      <c r="E744" t="s">
        <v>1505</v>
      </c>
      <c r="F744" t="s">
        <v>2739</v>
      </c>
      <c r="G744" t="s">
        <v>2740</v>
      </c>
      <c r="H744" t="s">
        <v>2745</v>
      </c>
      <c r="I744" t="s">
        <v>2742</v>
      </c>
      <c r="J744">
        <v>165.98567179264501</v>
      </c>
      <c r="K744">
        <v>1</v>
      </c>
      <c r="L744">
        <v>1</v>
      </c>
      <c r="M744">
        <v>2</v>
      </c>
      <c r="N744" s="6">
        <v>1655385.7107881899</v>
      </c>
      <c r="O744" s="6">
        <v>637955.88116299396</v>
      </c>
      <c r="P744" s="6">
        <v>616177.86979202705</v>
      </c>
      <c r="Q744" s="6">
        <v>236560.86348369301</v>
      </c>
      <c r="R744" s="6">
        <v>276785.20608116599</v>
      </c>
      <c r="S744" s="6">
        <v>66803.347618193395</v>
      </c>
      <c r="T744" s="6">
        <v>2677726.38</v>
      </c>
      <c r="U744" s="6">
        <v>745139.15130806796</v>
      </c>
      <c r="V744" s="6">
        <v>3024837.9149288698</v>
      </c>
      <c r="W744" s="6">
        <v>398027.616379196</v>
      </c>
      <c r="X744" s="6">
        <v>0</v>
      </c>
      <c r="Y744" s="6">
        <v>0</v>
      </c>
      <c r="Z744" s="6">
        <v>0</v>
      </c>
      <c r="AA744" s="6">
        <v>0</v>
      </c>
      <c r="AB744" s="6">
        <v>0</v>
      </c>
      <c r="AC744" s="6">
        <v>66803.347618193395</v>
      </c>
      <c r="AD744" s="6">
        <v>0</v>
      </c>
      <c r="AE744" s="6">
        <v>0</v>
      </c>
      <c r="AF744" s="6">
        <v>0</v>
      </c>
      <c r="AG744" s="6">
        <v>0</v>
      </c>
      <c r="AH744" s="6">
        <v>0</v>
      </c>
      <c r="AI744" s="6">
        <v>0</v>
      </c>
      <c r="AJ744" s="6">
        <v>3489668.8789262599</v>
      </c>
      <c r="AK744" s="6">
        <v>21023.916349151401</v>
      </c>
      <c r="AL744" s="6">
        <v>330.98244656580999</v>
      </c>
      <c r="AM744" s="6">
        <v>93035.839999999997</v>
      </c>
      <c r="AN744" s="6">
        <v>17162.7534488032</v>
      </c>
      <c r="AO744" s="6">
        <v>23898.909853036599</v>
      </c>
      <c r="AP744" s="6">
        <v>330.98244656580999</v>
      </c>
      <c r="AQ744" s="6">
        <v>93035.839999999997</v>
      </c>
      <c r="AR744" s="6">
        <v>18818.832728627</v>
      </c>
      <c r="AS744" s="6">
        <v>21023.916349151401</v>
      </c>
      <c r="AT744" s="6">
        <v>0</v>
      </c>
      <c r="AU744" t="s">
        <v>2973</v>
      </c>
      <c r="AV744" t="s">
        <v>2973</v>
      </c>
    </row>
    <row r="745" spans="1:48" x14ac:dyDescent="0.45">
      <c r="A745" s="5" t="s">
        <v>1506</v>
      </c>
      <c r="B745">
        <v>2198</v>
      </c>
      <c r="C745" t="s">
        <v>1504</v>
      </c>
      <c r="D745">
        <v>1022</v>
      </c>
      <c r="E745" t="s">
        <v>1507</v>
      </c>
      <c r="F745" t="s">
        <v>2739</v>
      </c>
      <c r="G745" t="s">
        <v>2744</v>
      </c>
      <c r="H745" t="s">
        <v>2745</v>
      </c>
      <c r="I745" t="s">
        <v>2742</v>
      </c>
      <c r="J745">
        <v>211.77328118668299</v>
      </c>
      <c r="K745">
        <v>1</v>
      </c>
      <c r="L745">
        <v>1</v>
      </c>
      <c r="M745">
        <v>2</v>
      </c>
      <c r="N745" s="6">
        <v>2180979.6494179401</v>
      </c>
      <c r="O745" s="6">
        <v>1064163.24806664</v>
      </c>
      <c r="P745" s="6">
        <v>1105784.2510786899</v>
      </c>
      <c r="Q745" s="6">
        <v>258963.88557851801</v>
      </c>
      <c r="R745" s="6">
        <v>366028.28529164498</v>
      </c>
      <c r="S745" s="6">
        <v>85231.236928886996</v>
      </c>
      <c r="T745" s="6">
        <v>4025231.46</v>
      </c>
      <c r="U745" s="6">
        <v>950687.85943343095</v>
      </c>
      <c r="V745" s="6">
        <v>4096723.0165335699</v>
      </c>
      <c r="W745" s="6">
        <v>879196.302899856</v>
      </c>
      <c r="X745" s="6">
        <v>0</v>
      </c>
      <c r="Y745" s="6">
        <v>0</v>
      </c>
      <c r="Z745" s="6">
        <v>0</v>
      </c>
      <c r="AA745" s="6">
        <v>0</v>
      </c>
      <c r="AB745" s="6">
        <v>0</v>
      </c>
      <c r="AC745" s="6">
        <v>85231.236928886996</v>
      </c>
      <c r="AD745" s="6">
        <v>0</v>
      </c>
      <c r="AE745" s="6">
        <v>0</v>
      </c>
      <c r="AF745" s="6">
        <v>0</v>
      </c>
      <c r="AG745" s="6">
        <v>0</v>
      </c>
      <c r="AH745" s="6">
        <v>0</v>
      </c>
      <c r="AI745" s="6">
        <v>0</v>
      </c>
      <c r="AJ745" s="6">
        <v>5061150.5563623197</v>
      </c>
      <c r="AK745" s="6">
        <v>23898.909853036599</v>
      </c>
      <c r="AL745" s="6">
        <v>330.98244656580999</v>
      </c>
      <c r="AM745" s="6">
        <v>93035.839999999997</v>
      </c>
      <c r="AN745" s="6">
        <v>17162.7534488032</v>
      </c>
      <c r="AO745" s="6">
        <v>23898.909853036599</v>
      </c>
      <c r="AP745" s="6">
        <v>330.98244656580999</v>
      </c>
      <c r="AQ745" s="6">
        <v>40734.411818744898</v>
      </c>
      <c r="AR745" s="6">
        <v>23898.909853036599</v>
      </c>
      <c r="AS745" s="6">
        <v>23898.909853036599</v>
      </c>
      <c r="AT745" s="6">
        <v>0</v>
      </c>
      <c r="AU745" t="s">
        <v>2973</v>
      </c>
      <c r="AV745" t="s">
        <v>2973</v>
      </c>
    </row>
    <row r="746" spans="1:48" x14ac:dyDescent="0.45">
      <c r="A746" s="5" t="s">
        <v>1508</v>
      </c>
      <c r="B746">
        <v>2198</v>
      </c>
      <c r="C746" t="s">
        <v>1504</v>
      </c>
      <c r="D746">
        <v>4481</v>
      </c>
      <c r="E746" t="s">
        <v>1509</v>
      </c>
      <c r="F746" t="s">
        <v>2739</v>
      </c>
      <c r="G746" t="s">
        <v>2747</v>
      </c>
      <c r="H746" t="s">
        <v>2745</v>
      </c>
      <c r="I746" t="s">
        <v>2742</v>
      </c>
      <c r="J746">
        <v>214.47796402657099</v>
      </c>
      <c r="K746">
        <v>1</v>
      </c>
      <c r="L746">
        <v>1</v>
      </c>
      <c r="M746">
        <v>2</v>
      </c>
      <c r="N746" s="6">
        <v>1814279.17961021</v>
      </c>
      <c r="O746" s="6">
        <v>667278.764684311</v>
      </c>
      <c r="P746" s="6">
        <v>527138.35350160406</v>
      </c>
      <c r="Q746" s="6">
        <v>228369.042411245</v>
      </c>
      <c r="R746" s="6">
        <v>357647.30070872197</v>
      </c>
      <c r="S746" s="6">
        <v>86319.775873234699</v>
      </c>
      <c r="T746" s="6">
        <v>2631882.98</v>
      </c>
      <c r="U746" s="6">
        <v>962829.66091608803</v>
      </c>
      <c r="V746" s="6">
        <v>3386401.1985283298</v>
      </c>
      <c r="W746" s="6">
        <v>208311.44238775401</v>
      </c>
      <c r="X746" s="6">
        <v>0</v>
      </c>
      <c r="Y746" s="6">
        <v>0</v>
      </c>
      <c r="Z746" s="6">
        <v>0</v>
      </c>
      <c r="AA746" s="6">
        <v>0</v>
      </c>
      <c r="AB746" s="6">
        <v>0</v>
      </c>
      <c r="AC746" s="6">
        <v>86319.775873234699</v>
      </c>
      <c r="AD746" s="6">
        <v>0</v>
      </c>
      <c r="AE746" s="6">
        <v>0</v>
      </c>
      <c r="AF746" s="6">
        <v>0</v>
      </c>
      <c r="AG746" s="6">
        <v>0</v>
      </c>
      <c r="AH746" s="6">
        <v>0</v>
      </c>
      <c r="AI746" s="6">
        <v>0</v>
      </c>
      <c r="AJ746" s="6">
        <v>3681032.4167893198</v>
      </c>
      <c r="AK746" s="6">
        <v>17162.7534488032</v>
      </c>
      <c r="AL746" s="6">
        <v>330.98244656580999</v>
      </c>
      <c r="AM746" s="6">
        <v>93035.839999999997</v>
      </c>
      <c r="AN746" s="6">
        <v>17162.7534488032</v>
      </c>
      <c r="AO746" s="6">
        <v>23898.909853036599</v>
      </c>
      <c r="AP746" s="6">
        <v>3753.1860850462999</v>
      </c>
      <c r="AQ746" s="6">
        <v>20687.885194392002</v>
      </c>
      <c r="AR746" s="6">
        <v>17162.7534488032</v>
      </c>
      <c r="AS746" s="6">
        <v>17162.7534488032</v>
      </c>
      <c r="AT746" s="6">
        <v>0</v>
      </c>
      <c r="AU746" t="s">
        <v>2973</v>
      </c>
      <c r="AV746" t="s">
        <v>2973</v>
      </c>
    </row>
    <row r="747" spans="1:48" x14ac:dyDescent="0.45">
      <c r="A747" s="5" t="s">
        <v>1510</v>
      </c>
      <c r="B747">
        <v>2198</v>
      </c>
      <c r="C747" t="s">
        <v>1504</v>
      </c>
      <c r="D747">
        <v>1021</v>
      </c>
      <c r="E747" t="s">
        <v>1511</v>
      </c>
      <c r="F747" t="s">
        <v>2739</v>
      </c>
      <c r="G747" t="s">
        <v>2740</v>
      </c>
      <c r="H747" t="s">
        <v>2745</v>
      </c>
      <c r="I747" t="s">
        <v>2742</v>
      </c>
      <c r="J747">
        <v>191.45944862144401</v>
      </c>
      <c r="K747">
        <v>1</v>
      </c>
      <c r="L747">
        <v>1</v>
      </c>
      <c r="M747">
        <v>2</v>
      </c>
      <c r="N747" s="6">
        <v>1758758.17018367</v>
      </c>
      <c r="O747" s="6">
        <v>598950.86608605098</v>
      </c>
      <c r="P747" s="6">
        <v>644970.60562768299</v>
      </c>
      <c r="Q747" s="6">
        <v>204044.698526544</v>
      </c>
      <c r="R747" s="6">
        <v>319263.357918469</v>
      </c>
      <c r="S747" s="6">
        <v>77055.639579685099</v>
      </c>
      <c r="T747" s="6">
        <v>2666492.2400000002</v>
      </c>
      <c r="U747" s="6">
        <v>859495.45834241598</v>
      </c>
      <c r="V747" s="6">
        <v>3123261.0800092202</v>
      </c>
      <c r="W747" s="6">
        <v>402726.61833319301</v>
      </c>
      <c r="X747" s="6">
        <v>0</v>
      </c>
      <c r="Y747" s="6">
        <v>0</v>
      </c>
      <c r="Z747" s="6">
        <v>0</v>
      </c>
      <c r="AA747" s="6">
        <v>0</v>
      </c>
      <c r="AB747" s="6">
        <v>0</v>
      </c>
      <c r="AC747" s="6">
        <v>77055.639579685099</v>
      </c>
      <c r="AD747" s="6">
        <v>0</v>
      </c>
      <c r="AE747" s="6">
        <v>0</v>
      </c>
      <c r="AF747" s="6">
        <v>0</v>
      </c>
      <c r="AG747" s="6">
        <v>0</v>
      </c>
      <c r="AH747" s="6">
        <v>0</v>
      </c>
      <c r="AI747" s="6">
        <v>0</v>
      </c>
      <c r="AJ747" s="6">
        <v>3603043.3379221</v>
      </c>
      <c r="AK747" s="6">
        <v>18818.832728627</v>
      </c>
      <c r="AL747" s="6">
        <v>330.98244656580999</v>
      </c>
      <c r="AM747" s="6">
        <v>93035.839999999997</v>
      </c>
      <c r="AN747" s="6">
        <v>17162.7534488032</v>
      </c>
      <c r="AO747" s="6">
        <v>23898.909853036599</v>
      </c>
      <c r="AP747" s="6">
        <v>330.98244656580999</v>
      </c>
      <c r="AQ747" s="6">
        <v>93035.839999999997</v>
      </c>
      <c r="AR747" s="6">
        <v>18818.832728627</v>
      </c>
      <c r="AS747" s="6">
        <v>21023.916349151401</v>
      </c>
      <c r="AT747" s="6">
        <v>0</v>
      </c>
      <c r="AU747" t="s">
        <v>2973</v>
      </c>
      <c r="AV747" t="s">
        <v>2973</v>
      </c>
    </row>
    <row r="748" spans="1:48" x14ac:dyDescent="0.45">
      <c r="A748" s="5" t="s">
        <v>1512</v>
      </c>
      <c r="B748">
        <v>2199</v>
      </c>
      <c r="C748" t="s">
        <v>1513</v>
      </c>
      <c r="D748">
        <v>1023</v>
      </c>
      <c r="E748" t="s">
        <v>1514</v>
      </c>
      <c r="F748" t="s">
        <v>2739</v>
      </c>
      <c r="G748" t="s">
        <v>2744</v>
      </c>
      <c r="H748" t="s">
        <v>2745</v>
      </c>
      <c r="I748" t="s">
        <v>2742</v>
      </c>
      <c r="J748">
        <v>223.69333995688899</v>
      </c>
      <c r="K748">
        <v>2</v>
      </c>
      <c r="L748">
        <v>1</v>
      </c>
      <c r="M748">
        <v>2</v>
      </c>
      <c r="N748" s="6">
        <v>2054954.74565083</v>
      </c>
      <c r="O748" s="6">
        <v>891977.27266050596</v>
      </c>
      <c r="P748" s="6">
        <v>1132219.2704251001</v>
      </c>
      <c r="Q748" s="6">
        <v>255152.66401991801</v>
      </c>
      <c r="R748" s="6">
        <v>363292.10636016901</v>
      </c>
      <c r="S748" s="6">
        <v>107170.795982646</v>
      </c>
      <c r="T748" s="6">
        <v>2845007.54</v>
      </c>
      <c r="U748" s="6">
        <v>1852588.51911652</v>
      </c>
      <c r="V748" s="6">
        <v>3760379.9170157402</v>
      </c>
      <c r="W748" s="6">
        <v>937216.14210078702</v>
      </c>
      <c r="X748" s="6">
        <v>0</v>
      </c>
      <c r="Y748" s="6">
        <v>0</v>
      </c>
      <c r="Z748" s="6">
        <v>0</v>
      </c>
      <c r="AA748" s="6">
        <v>0</v>
      </c>
      <c r="AB748" s="6">
        <v>0</v>
      </c>
      <c r="AC748" s="6">
        <v>107170.795982646</v>
      </c>
      <c r="AD748" s="6">
        <v>0</v>
      </c>
      <c r="AE748" s="6">
        <v>0</v>
      </c>
      <c r="AF748" s="6">
        <v>0</v>
      </c>
      <c r="AG748" s="6">
        <v>0</v>
      </c>
      <c r="AH748" s="6">
        <v>0</v>
      </c>
      <c r="AI748" s="6">
        <v>0</v>
      </c>
      <c r="AJ748" s="6">
        <v>4804766.8550991695</v>
      </c>
      <c r="AK748" s="6">
        <v>21479.257522933702</v>
      </c>
      <c r="AL748" s="6">
        <v>330.98244656580999</v>
      </c>
      <c r="AM748" s="6">
        <v>93035.839999999997</v>
      </c>
      <c r="AN748" s="6">
        <v>8760.9193705850394</v>
      </c>
      <c r="AO748" s="6">
        <v>21479.257522933702</v>
      </c>
      <c r="AP748" s="6">
        <v>330.98244656580999</v>
      </c>
      <c r="AQ748" s="6">
        <v>40734.411818744898</v>
      </c>
      <c r="AR748" s="6">
        <v>21479.257522933702</v>
      </c>
      <c r="AS748" s="6">
        <v>21479.257522933702</v>
      </c>
      <c r="AT748" s="6">
        <v>0</v>
      </c>
      <c r="AU748" t="s">
        <v>2973</v>
      </c>
      <c r="AV748" t="s">
        <v>2973</v>
      </c>
    </row>
    <row r="749" spans="1:48" x14ac:dyDescent="0.45">
      <c r="A749" s="5" t="s">
        <v>1515</v>
      </c>
      <c r="B749">
        <v>2199</v>
      </c>
      <c r="C749" t="s">
        <v>1513</v>
      </c>
      <c r="D749">
        <v>1019</v>
      </c>
      <c r="E749" t="s">
        <v>1516</v>
      </c>
      <c r="F749" t="s">
        <v>2739</v>
      </c>
      <c r="G749" t="s">
        <v>2740</v>
      </c>
      <c r="H749" t="s">
        <v>2741</v>
      </c>
      <c r="I749" t="s">
        <v>2742</v>
      </c>
      <c r="J749">
        <v>258.81927740694999</v>
      </c>
      <c r="K749">
        <v>2</v>
      </c>
      <c r="L749">
        <v>1</v>
      </c>
      <c r="M749">
        <v>2</v>
      </c>
      <c r="N749" s="6">
        <v>1940998.8186381301</v>
      </c>
      <c r="O749" s="6">
        <v>457172.14696986799</v>
      </c>
      <c r="P749" s="6">
        <v>1071361.9827652699</v>
      </c>
      <c r="Q749" s="6">
        <v>295218.57084712799</v>
      </c>
      <c r="R749" s="6">
        <v>420338.84635952499</v>
      </c>
      <c r="S749" s="6">
        <v>123999.525335452</v>
      </c>
      <c r="T749" s="6">
        <v>2041595.07</v>
      </c>
      <c r="U749" s="6">
        <v>2143495.2955799201</v>
      </c>
      <c r="V749" s="6">
        <v>3318206.7493028701</v>
      </c>
      <c r="W749" s="6">
        <v>866883.61627705104</v>
      </c>
      <c r="X749" s="6">
        <v>0</v>
      </c>
      <c r="Y749" s="6">
        <v>0</v>
      </c>
      <c r="Z749" s="6">
        <v>0</v>
      </c>
      <c r="AA749" s="6">
        <v>0</v>
      </c>
      <c r="AB749" s="6">
        <v>0</v>
      </c>
      <c r="AC749" s="6">
        <v>123999.525335452</v>
      </c>
      <c r="AD749" s="6">
        <v>0</v>
      </c>
      <c r="AE749" s="6">
        <v>0</v>
      </c>
      <c r="AF749" s="6">
        <v>0</v>
      </c>
      <c r="AG749" s="6">
        <v>0</v>
      </c>
      <c r="AH749" s="6">
        <v>0</v>
      </c>
      <c r="AI749" s="6">
        <v>0</v>
      </c>
      <c r="AJ749" s="6">
        <v>4309089.8909153696</v>
      </c>
      <c r="AK749" s="6">
        <v>16649.029910318699</v>
      </c>
      <c r="AL749" s="6">
        <v>330.98244656580999</v>
      </c>
      <c r="AM749" s="6">
        <v>93035.839999999997</v>
      </c>
      <c r="AN749" s="6">
        <v>8760.9193705850394</v>
      </c>
      <c r="AO749" s="6">
        <v>21479.257522933702</v>
      </c>
      <c r="AP749" s="6">
        <v>330.98244656580999</v>
      </c>
      <c r="AQ749" s="6">
        <v>93035.839999999997</v>
      </c>
      <c r="AR749" s="6">
        <v>16649.029910318699</v>
      </c>
      <c r="AS749" s="6">
        <v>16649.029910318699</v>
      </c>
      <c r="AT749" s="6">
        <v>0</v>
      </c>
      <c r="AU749" t="s">
        <v>2973</v>
      </c>
      <c r="AV749" t="s">
        <v>2973</v>
      </c>
    </row>
    <row r="750" spans="1:48" x14ac:dyDescent="0.45">
      <c r="A750" s="5" t="s">
        <v>1517</v>
      </c>
      <c r="B750">
        <v>2199</v>
      </c>
      <c r="C750" t="s">
        <v>1513</v>
      </c>
      <c r="D750">
        <v>2199</v>
      </c>
      <c r="E750" t="s">
        <v>1513</v>
      </c>
      <c r="F750" t="s">
        <v>1</v>
      </c>
      <c r="G750" t="s">
        <v>1</v>
      </c>
      <c r="H750" t="s">
        <v>2743</v>
      </c>
      <c r="I750" t="s">
        <v>2742</v>
      </c>
      <c r="J750">
        <v>2.9590643274840001</v>
      </c>
      <c r="K750">
        <v>0</v>
      </c>
      <c r="L750">
        <v>0</v>
      </c>
      <c r="M750">
        <v>2</v>
      </c>
      <c r="N750" s="6">
        <v>5863.45571103774</v>
      </c>
      <c r="O750" s="6">
        <v>1262.0503696257199</v>
      </c>
      <c r="P750" s="6">
        <v>9200.0168096344405</v>
      </c>
      <c r="Q750" s="6">
        <v>3375.2151329554899</v>
      </c>
      <c r="R750" s="6">
        <v>4805.7072803065103</v>
      </c>
      <c r="S750" s="6">
        <v>1417.6786819018901</v>
      </c>
      <c r="T750" s="6">
        <v>0</v>
      </c>
      <c r="U750" s="6">
        <v>24506.4453035599</v>
      </c>
      <c r="V750" s="6">
        <v>18212.543681397601</v>
      </c>
      <c r="W750" s="6">
        <v>6293.9016221622696</v>
      </c>
      <c r="X750" s="6">
        <v>0</v>
      </c>
      <c r="Y750" s="6">
        <v>0</v>
      </c>
      <c r="Z750" s="6">
        <v>0</v>
      </c>
      <c r="AA750" s="6">
        <v>0</v>
      </c>
      <c r="AB750" s="6">
        <v>0</v>
      </c>
      <c r="AC750" s="6">
        <v>1417.6786819018901</v>
      </c>
      <c r="AD750" s="6">
        <v>0</v>
      </c>
      <c r="AE750" s="6">
        <v>0</v>
      </c>
      <c r="AF750" s="6">
        <v>0</v>
      </c>
      <c r="AG750" s="6">
        <v>0</v>
      </c>
      <c r="AH750" s="6">
        <v>0</v>
      </c>
      <c r="AI750" s="6">
        <v>0</v>
      </c>
      <c r="AJ750" s="6">
        <v>25924.1239854618</v>
      </c>
      <c r="AK750" s="6">
        <v>8760.9193705850394</v>
      </c>
      <c r="AL750" s="6">
        <v>330.98244656580999</v>
      </c>
      <c r="AM750" s="6">
        <v>93035.839999999997</v>
      </c>
      <c r="AN750" s="6">
        <v>8760.9193705850394</v>
      </c>
      <c r="AO750" s="6">
        <v>21479.257522933702</v>
      </c>
      <c r="AP750" s="6">
        <v>634.54287297753501</v>
      </c>
      <c r="AQ750" s="6">
        <v>40331.279999999999</v>
      </c>
      <c r="AR750" s="6">
        <v>8760.9193705850394</v>
      </c>
      <c r="AS750" s="6">
        <v>8760.9193705850394</v>
      </c>
      <c r="AT750" s="6">
        <v>0</v>
      </c>
      <c r="AU750" t="s">
        <v>2973</v>
      </c>
      <c r="AV750" t="s">
        <v>2977</v>
      </c>
    </row>
    <row r="751" spans="1:48" x14ac:dyDescent="0.45">
      <c r="A751" s="5" t="s">
        <v>1518</v>
      </c>
      <c r="B751">
        <v>2254</v>
      </c>
      <c r="C751" t="s">
        <v>1519</v>
      </c>
      <c r="D751">
        <v>1335</v>
      </c>
      <c r="E751" t="s">
        <v>1520</v>
      </c>
      <c r="F751" t="s">
        <v>2739</v>
      </c>
      <c r="G751" t="s">
        <v>2740</v>
      </c>
      <c r="H751" t="s">
        <v>2741</v>
      </c>
      <c r="I751" t="s">
        <v>2742</v>
      </c>
      <c r="J751">
        <v>453.72023809521602</v>
      </c>
      <c r="K751">
        <v>1</v>
      </c>
      <c r="L751">
        <v>1</v>
      </c>
      <c r="M751">
        <v>2</v>
      </c>
      <c r="N751" s="6">
        <v>3045828.9795493898</v>
      </c>
      <c r="O751" s="6">
        <v>659810.41348362295</v>
      </c>
      <c r="P751" s="6">
        <v>900387.06491574203</v>
      </c>
      <c r="Q751" s="6">
        <v>171317.72936904899</v>
      </c>
      <c r="R751" s="6">
        <v>1100.1710319828401</v>
      </c>
      <c r="S751" s="6">
        <v>227824.66080655801</v>
      </c>
      <c r="T751" s="6">
        <v>3612900.93</v>
      </c>
      <c r="U751" s="6">
        <v>1165543.4283497899</v>
      </c>
      <c r="V751" s="6">
        <v>4389610.8829693403</v>
      </c>
      <c r="W751" s="6">
        <v>388833.47538044502</v>
      </c>
      <c r="X751" s="6">
        <v>0</v>
      </c>
      <c r="Y751" s="6">
        <v>0</v>
      </c>
      <c r="Z751" s="6">
        <v>0</v>
      </c>
      <c r="AA751" s="6">
        <v>0</v>
      </c>
      <c r="AB751" s="6">
        <v>0</v>
      </c>
      <c r="AC751" s="6">
        <v>166393.76274725201</v>
      </c>
      <c r="AD751" s="6">
        <v>61430.898059305597</v>
      </c>
      <c r="AE751" s="6">
        <v>0</v>
      </c>
      <c r="AF751" s="6">
        <v>0</v>
      </c>
      <c r="AG751" s="6">
        <v>0</v>
      </c>
      <c r="AH751" s="6">
        <v>0</v>
      </c>
      <c r="AI751" s="6">
        <v>0</v>
      </c>
      <c r="AJ751" s="6">
        <v>5006269.0191563498</v>
      </c>
      <c r="AK751" s="6">
        <v>11033.8234859732</v>
      </c>
      <c r="AL751" s="6">
        <v>330.98244656580999</v>
      </c>
      <c r="AM751" s="6">
        <v>93035.839999999997</v>
      </c>
      <c r="AN751" s="6">
        <v>3070.98509646806</v>
      </c>
      <c r="AO751" s="6">
        <v>14449.9360892405</v>
      </c>
      <c r="AP751" s="6">
        <v>330.98244656580999</v>
      </c>
      <c r="AQ751" s="6">
        <v>93035.839999999997</v>
      </c>
      <c r="AR751" s="6">
        <v>11033.8234859732</v>
      </c>
      <c r="AS751" s="6">
        <v>14449.9360892405</v>
      </c>
      <c r="AT751" s="6">
        <v>0</v>
      </c>
      <c r="AU751" t="s">
        <v>2973</v>
      </c>
      <c r="AV751" t="s">
        <v>2973</v>
      </c>
    </row>
    <row r="752" spans="1:48" x14ac:dyDescent="0.45">
      <c r="A752" s="5" t="s">
        <v>1521</v>
      </c>
      <c r="B752">
        <v>2254</v>
      </c>
      <c r="C752" t="s">
        <v>1519</v>
      </c>
      <c r="D752">
        <v>1336</v>
      </c>
      <c r="E752" t="s">
        <v>1522</v>
      </c>
      <c r="F752" t="s">
        <v>2739</v>
      </c>
      <c r="G752" t="s">
        <v>2747</v>
      </c>
      <c r="H752" t="s">
        <v>2745</v>
      </c>
      <c r="I752" t="s">
        <v>2742</v>
      </c>
      <c r="J752">
        <v>601.84866207553898</v>
      </c>
      <c r="K752">
        <v>1</v>
      </c>
      <c r="L752">
        <v>1</v>
      </c>
      <c r="M752">
        <v>2</v>
      </c>
      <c r="N752" s="6">
        <v>3805008.9998916602</v>
      </c>
      <c r="O752" s="6">
        <v>1032922.24684178</v>
      </c>
      <c r="P752" s="6">
        <v>1332153.55708027</v>
      </c>
      <c r="Q752" s="6">
        <v>227248.72631523199</v>
      </c>
      <c r="R752" s="6">
        <v>1459.34963455209</v>
      </c>
      <c r="S752" s="6">
        <v>302203.77179971797</v>
      </c>
      <c r="T752" s="6">
        <v>4852728.38</v>
      </c>
      <c r="U752" s="6">
        <v>1546064.4997634999</v>
      </c>
      <c r="V752" s="6">
        <v>5793629.8106494304</v>
      </c>
      <c r="W752" s="6">
        <v>605163.06911407597</v>
      </c>
      <c r="X752" s="6">
        <v>0</v>
      </c>
      <c r="Y752" s="6">
        <v>0</v>
      </c>
      <c r="Z752" s="6">
        <v>0</v>
      </c>
      <c r="AA752" s="6">
        <v>0</v>
      </c>
      <c r="AB752" s="6">
        <v>0</v>
      </c>
      <c r="AC752" s="6">
        <v>220717.20650497501</v>
      </c>
      <c r="AD752" s="6">
        <v>81486.565294742395</v>
      </c>
      <c r="AE752" s="6">
        <v>0</v>
      </c>
      <c r="AF752" s="6">
        <v>0</v>
      </c>
      <c r="AG752" s="6">
        <v>0</v>
      </c>
      <c r="AH752" s="6">
        <v>0</v>
      </c>
      <c r="AI752" s="6">
        <v>0</v>
      </c>
      <c r="AJ752" s="6">
        <v>6700996.65156323</v>
      </c>
      <c r="AK752" s="6">
        <v>11134.022676820699</v>
      </c>
      <c r="AL752" s="6">
        <v>330.98244656580999</v>
      </c>
      <c r="AM752" s="6">
        <v>93035.839999999997</v>
      </c>
      <c r="AN752" s="6">
        <v>3070.98509646806</v>
      </c>
      <c r="AO752" s="6">
        <v>14449.9360892405</v>
      </c>
      <c r="AP752" s="6">
        <v>3753.1860850462999</v>
      </c>
      <c r="AQ752" s="6">
        <v>20687.885194392002</v>
      </c>
      <c r="AR752" s="6">
        <v>10613.2434935655</v>
      </c>
      <c r="AS752" s="6">
        <v>11134.022676820699</v>
      </c>
      <c r="AT752" s="6">
        <v>0</v>
      </c>
      <c r="AU752" t="s">
        <v>2973</v>
      </c>
      <c r="AV752" t="s">
        <v>2973</v>
      </c>
    </row>
    <row r="753" spans="1:48" x14ac:dyDescent="0.45">
      <c r="A753" s="5" t="s">
        <v>1523</v>
      </c>
      <c r="B753">
        <v>2254</v>
      </c>
      <c r="C753" t="s">
        <v>1519</v>
      </c>
      <c r="D753">
        <v>1216</v>
      </c>
      <c r="E753" t="s">
        <v>1524</v>
      </c>
      <c r="F753" t="s">
        <v>2739</v>
      </c>
      <c r="G753" t="s">
        <v>2740</v>
      </c>
      <c r="H753" t="s">
        <v>2741</v>
      </c>
      <c r="I753" t="s">
        <v>2742</v>
      </c>
      <c r="J753">
        <v>258.30219515550101</v>
      </c>
      <c r="K753">
        <v>1</v>
      </c>
      <c r="L753">
        <v>2</v>
      </c>
      <c r="M753">
        <v>2</v>
      </c>
      <c r="N753" s="6">
        <v>2428745.21894451</v>
      </c>
      <c r="O753" s="6">
        <v>482329.65240674798</v>
      </c>
      <c r="P753" s="6">
        <v>592577.899858132</v>
      </c>
      <c r="Q753" s="6">
        <v>98470.905279554703</v>
      </c>
      <c r="R753" s="6">
        <v>626.32558292016301</v>
      </c>
      <c r="S753" s="6">
        <v>129700.209635661</v>
      </c>
      <c r="T753" s="6">
        <v>2939208.02</v>
      </c>
      <c r="U753" s="6">
        <v>663541.98207186698</v>
      </c>
      <c r="V753" s="6">
        <v>3368862.78540903</v>
      </c>
      <c r="W753" s="6">
        <v>233887.216662839</v>
      </c>
      <c r="X753" s="6">
        <v>0</v>
      </c>
      <c r="Y753" s="6">
        <v>0</v>
      </c>
      <c r="Z753" s="6">
        <v>0</v>
      </c>
      <c r="AA753" s="6">
        <v>0</v>
      </c>
      <c r="AB753" s="6">
        <v>0</v>
      </c>
      <c r="AC753" s="6">
        <v>94727.699073408497</v>
      </c>
      <c r="AD753" s="6">
        <v>34972.510562251999</v>
      </c>
      <c r="AE753" s="6">
        <v>0</v>
      </c>
      <c r="AF753" s="6">
        <v>0</v>
      </c>
      <c r="AG753" s="6">
        <v>0</v>
      </c>
      <c r="AH753" s="6">
        <v>0</v>
      </c>
      <c r="AI753" s="6">
        <v>0</v>
      </c>
      <c r="AJ753" s="6">
        <v>3732450.2117075301</v>
      </c>
      <c r="AK753" s="6">
        <v>14449.9360892405</v>
      </c>
      <c r="AL753" s="6">
        <v>330.98244656580999</v>
      </c>
      <c r="AM753" s="6">
        <v>93035.839999999997</v>
      </c>
      <c r="AN753" s="6">
        <v>3070.98509646806</v>
      </c>
      <c r="AO753" s="6">
        <v>14449.9360892405</v>
      </c>
      <c r="AP753" s="6">
        <v>330.98244656580999</v>
      </c>
      <c r="AQ753" s="6">
        <v>93035.839999999997</v>
      </c>
      <c r="AR753" s="6">
        <v>11033.8234859732</v>
      </c>
      <c r="AS753" s="6">
        <v>14449.9360892405</v>
      </c>
      <c r="AT753" s="6">
        <v>0</v>
      </c>
      <c r="AU753" t="s">
        <v>2973</v>
      </c>
      <c r="AV753" t="s">
        <v>2973</v>
      </c>
    </row>
    <row r="754" spans="1:48" x14ac:dyDescent="0.45">
      <c r="A754" s="5" t="s">
        <v>1525</v>
      </c>
      <c r="B754">
        <v>2254</v>
      </c>
      <c r="C754" t="s">
        <v>1519</v>
      </c>
      <c r="D754">
        <v>1217</v>
      </c>
      <c r="E754" t="s">
        <v>1526</v>
      </c>
      <c r="F754" t="s">
        <v>2739</v>
      </c>
      <c r="G754" t="s">
        <v>2740</v>
      </c>
      <c r="H754" t="s">
        <v>2741</v>
      </c>
      <c r="I754" t="s">
        <v>2742</v>
      </c>
      <c r="J754">
        <v>562.38095238092501</v>
      </c>
      <c r="K754">
        <v>3</v>
      </c>
      <c r="L754">
        <v>1</v>
      </c>
      <c r="M754">
        <v>2</v>
      </c>
      <c r="N754" s="6">
        <v>4014494.3791987798</v>
      </c>
      <c r="O754" s="6">
        <v>833931.94047993002</v>
      </c>
      <c r="P754" s="6">
        <v>1280683.9790926799</v>
      </c>
      <c r="Q754" s="6">
        <v>212346.33087291301</v>
      </c>
      <c r="R754" s="6">
        <v>1363.64918467352</v>
      </c>
      <c r="S754" s="6">
        <v>282386.01447036501</v>
      </c>
      <c r="T754" s="6">
        <v>4898142.7699999996</v>
      </c>
      <c r="U754" s="6">
        <v>1444677.5088289699</v>
      </c>
      <c r="V754" s="6">
        <v>5076537.23404977</v>
      </c>
      <c r="W754" s="6">
        <v>1266283.0447792001</v>
      </c>
      <c r="X754" s="6">
        <v>0</v>
      </c>
      <c r="Y754" s="6">
        <v>0</v>
      </c>
      <c r="Z754" s="6">
        <v>0</v>
      </c>
      <c r="AA754" s="6">
        <v>0</v>
      </c>
      <c r="AB754" s="6">
        <v>0</v>
      </c>
      <c r="AC754" s="6">
        <v>206243.13157573499</v>
      </c>
      <c r="AD754" s="6">
        <v>76142.882894630297</v>
      </c>
      <c r="AE754" s="6">
        <v>0</v>
      </c>
      <c r="AF754" s="6">
        <v>0</v>
      </c>
      <c r="AG754" s="6">
        <v>0</v>
      </c>
      <c r="AH754" s="6">
        <v>0</v>
      </c>
      <c r="AI754" s="6">
        <v>0</v>
      </c>
      <c r="AJ754" s="6">
        <v>6625206.2932993304</v>
      </c>
      <c r="AK754" s="6">
        <v>11780.6377780942</v>
      </c>
      <c r="AL754" s="6">
        <v>330.98244656580999</v>
      </c>
      <c r="AM754" s="6">
        <v>93035.839999999997</v>
      </c>
      <c r="AN754" s="6">
        <v>3070.98509646806</v>
      </c>
      <c r="AO754" s="6">
        <v>14449.9360892405</v>
      </c>
      <c r="AP754" s="6">
        <v>330.98244656580999</v>
      </c>
      <c r="AQ754" s="6">
        <v>93035.839999999997</v>
      </c>
      <c r="AR754" s="6">
        <v>11033.8234859732</v>
      </c>
      <c r="AS754" s="6">
        <v>14449.9360892405</v>
      </c>
      <c r="AT754" s="6">
        <v>0</v>
      </c>
      <c r="AU754" t="s">
        <v>2973</v>
      </c>
      <c r="AV754" t="s">
        <v>2973</v>
      </c>
    </row>
    <row r="755" spans="1:48" x14ac:dyDescent="0.45">
      <c r="A755" s="5" t="s">
        <v>1527</v>
      </c>
      <c r="B755">
        <v>2254</v>
      </c>
      <c r="C755" t="s">
        <v>1519</v>
      </c>
      <c r="D755">
        <v>1218</v>
      </c>
      <c r="E755" t="s">
        <v>1528</v>
      </c>
      <c r="F755" t="s">
        <v>2739</v>
      </c>
      <c r="G755" t="s">
        <v>2740</v>
      </c>
      <c r="H755" t="s">
        <v>2745</v>
      </c>
      <c r="I755" t="s">
        <v>2742</v>
      </c>
      <c r="J755">
        <v>184.85119047617701</v>
      </c>
      <c r="K755">
        <v>1</v>
      </c>
      <c r="L755">
        <v>1</v>
      </c>
      <c r="M755">
        <v>2</v>
      </c>
      <c r="N755" s="6">
        <v>1163315.8089735101</v>
      </c>
      <c r="O755" s="6">
        <v>307800.687738718</v>
      </c>
      <c r="P755" s="6">
        <v>432900.65536645398</v>
      </c>
      <c r="Q755" s="6">
        <v>69796.944382495203</v>
      </c>
      <c r="R755" s="6">
        <v>448.22317347623903</v>
      </c>
      <c r="S755" s="6">
        <v>92818.561382059401</v>
      </c>
      <c r="T755" s="6">
        <v>1499405.63</v>
      </c>
      <c r="U755" s="6">
        <v>474856.68963465898</v>
      </c>
      <c r="V755" s="6">
        <v>1819438.0716544699</v>
      </c>
      <c r="W755" s="6">
        <v>154824.247980185</v>
      </c>
      <c r="X755" s="6">
        <v>0</v>
      </c>
      <c r="Y755" s="6">
        <v>0</v>
      </c>
      <c r="Z755" s="6">
        <v>0</v>
      </c>
      <c r="AA755" s="6">
        <v>0</v>
      </c>
      <c r="AB755" s="6">
        <v>0</v>
      </c>
      <c r="AC755" s="6">
        <v>67790.859981840505</v>
      </c>
      <c r="AD755" s="6">
        <v>25027.701400218899</v>
      </c>
      <c r="AE755" s="6">
        <v>0</v>
      </c>
      <c r="AF755" s="6">
        <v>0</v>
      </c>
      <c r="AG755" s="6">
        <v>0</v>
      </c>
      <c r="AH755" s="6">
        <v>0</v>
      </c>
      <c r="AI755" s="6">
        <v>0</v>
      </c>
      <c r="AJ755" s="6">
        <v>2067080.8810167201</v>
      </c>
      <c r="AK755" s="6">
        <v>11182.4050236945</v>
      </c>
      <c r="AL755" s="6">
        <v>330.98244656580999</v>
      </c>
      <c r="AM755" s="6">
        <v>93035.839999999997</v>
      </c>
      <c r="AN755" s="6">
        <v>3070.98509646806</v>
      </c>
      <c r="AO755" s="6">
        <v>14449.9360892405</v>
      </c>
      <c r="AP755" s="6">
        <v>330.98244656580999</v>
      </c>
      <c r="AQ755" s="6">
        <v>93035.839999999997</v>
      </c>
      <c r="AR755" s="6">
        <v>11033.8234859732</v>
      </c>
      <c r="AS755" s="6">
        <v>14449.9360892405</v>
      </c>
      <c r="AT755" s="6">
        <v>0</v>
      </c>
      <c r="AU755" t="s">
        <v>2973</v>
      </c>
      <c r="AV755" t="s">
        <v>2973</v>
      </c>
    </row>
    <row r="756" spans="1:48" x14ac:dyDescent="0.45">
      <c r="A756" s="5" t="s">
        <v>1529</v>
      </c>
      <c r="B756">
        <v>2254</v>
      </c>
      <c r="C756" t="s">
        <v>1519</v>
      </c>
      <c r="D756">
        <v>4342</v>
      </c>
      <c r="E756" t="s">
        <v>1530</v>
      </c>
      <c r="F756" t="s">
        <v>2739</v>
      </c>
      <c r="G756" t="s">
        <v>2740</v>
      </c>
      <c r="H756" t="s">
        <v>2741</v>
      </c>
      <c r="I756" t="s">
        <v>2742</v>
      </c>
      <c r="J756">
        <v>304.08523809509899</v>
      </c>
      <c r="K756">
        <v>1</v>
      </c>
      <c r="L756">
        <v>1</v>
      </c>
      <c r="M756">
        <v>2</v>
      </c>
      <c r="N756" s="6">
        <v>2668165.8948132801</v>
      </c>
      <c r="O756" s="6">
        <v>571637.72529800597</v>
      </c>
      <c r="P756" s="6">
        <v>744563.79310208</v>
      </c>
      <c r="Q756" s="6">
        <v>114817.872669296</v>
      </c>
      <c r="R756" s="6">
        <v>737.339316426143</v>
      </c>
      <c r="S756" s="6">
        <v>152689.059046907</v>
      </c>
      <c r="T756" s="6">
        <v>3318770.45</v>
      </c>
      <c r="U756" s="6">
        <v>781152.17519908305</v>
      </c>
      <c r="V756" s="6">
        <v>3531665.4981860602</v>
      </c>
      <c r="W756" s="6">
        <v>568257.12701302697</v>
      </c>
      <c r="X756" s="6">
        <v>0</v>
      </c>
      <c r="Y756" s="6">
        <v>0</v>
      </c>
      <c r="Z756" s="6">
        <v>0</v>
      </c>
      <c r="AA756" s="6">
        <v>0</v>
      </c>
      <c r="AB756" s="6">
        <v>0</v>
      </c>
      <c r="AC756" s="6">
        <v>111517.809245087</v>
      </c>
      <c r="AD756" s="6">
        <v>41171.249801820697</v>
      </c>
      <c r="AE756" s="6">
        <v>0</v>
      </c>
      <c r="AF756" s="6">
        <v>0</v>
      </c>
      <c r="AG756" s="6">
        <v>0</v>
      </c>
      <c r="AH756" s="6">
        <v>0</v>
      </c>
      <c r="AI756" s="6">
        <v>0</v>
      </c>
      <c r="AJ756" s="6">
        <v>4252611.6842459999</v>
      </c>
      <c r="AK756" s="6">
        <v>13984.9330105135</v>
      </c>
      <c r="AL756" s="6">
        <v>330.98244656580999</v>
      </c>
      <c r="AM756" s="6">
        <v>93035.839999999997</v>
      </c>
      <c r="AN756" s="6">
        <v>3070.98509646806</v>
      </c>
      <c r="AO756" s="6">
        <v>14449.9360892405</v>
      </c>
      <c r="AP756" s="6">
        <v>330.98244656580999</v>
      </c>
      <c r="AQ756" s="6">
        <v>93035.839999999997</v>
      </c>
      <c r="AR756" s="6">
        <v>11033.8234859732</v>
      </c>
      <c r="AS756" s="6">
        <v>14449.9360892405</v>
      </c>
      <c r="AT756" s="6">
        <v>0</v>
      </c>
      <c r="AU756" t="s">
        <v>2973</v>
      </c>
      <c r="AV756" t="s">
        <v>2973</v>
      </c>
    </row>
    <row r="757" spans="1:48" x14ac:dyDescent="0.45">
      <c r="A757" s="5" t="s">
        <v>1531</v>
      </c>
      <c r="B757">
        <v>2254</v>
      </c>
      <c r="C757" t="s">
        <v>1519</v>
      </c>
      <c r="D757">
        <v>1219</v>
      </c>
      <c r="E757" t="s">
        <v>1532</v>
      </c>
      <c r="F757" t="s">
        <v>2739</v>
      </c>
      <c r="G757" t="s">
        <v>2740</v>
      </c>
      <c r="H757" t="s">
        <v>2741</v>
      </c>
      <c r="I757" t="s">
        <v>2742</v>
      </c>
      <c r="J757">
        <v>445.54166666663701</v>
      </c>
      <c r="K757">
        <v>1</v>
      </c>
      <c r="L757">
        <v>1</v>
      </c>
      <c r="M757">
        <v>2</v>
      </c>
      <c r="N757" s="6">
        <v>3142646.9465453802</v>
      </c>
      <c r="O757" s="6">
        <v>706332.53952892602</v>
      </c>
      <c r="P757" s="6">
        <v>995238.13607710705</v>
      </c>
      <c r="Q757" s="6">
        <v>168229.627563168</v>
      </c>
      <c r="R757" s="6">
        <v>1080.33980865787</v>
      </c>
      <c r="S757" s="6">
        <v>223717.98866554699</v>
      </c>
      <c r="T757" s="6">
        <v>3868993.76</v>
      </c>
      <c r="U757" s="6">
        <v>1144533.82952324</v>
      </c>
      <c r="V757" s="6">
        <v>4629325.31303427</v>
      </c>
      <c r="W757" s="6">
        <v>384202.27648896602</v>
      </c>
      <c r="X757" s="6">
        <v>0</v>
      </c>
      <c r="Y757" s="6">
        <v>0</v>
      </c>
      <c r="Z757" s="6">
        <v>0</v>
      </c>
      <c r="AA757" s="6">
        <v>0</v>
      </c>
      <c r="AB757" s="6">
        <v>0</v>
      </c>
      <c r="AC757" s="6">
        <v>163394.418306256</v>
      </c>
      <c r="AD757" s="6">
        <v>60323.570359291603</v>
      </c>
      <c r="AE757" s="6">
        <v>0</v>
      </c>
      <c r="AF757" s="6">
        <v>0</v>
      </c>
      <c r="AG757" s="6">
        <v>0</v>
      </c>
      <c r="AH757" s="6">
        <v>0</v>
      </c>
      <c r="AI757" s="6">
        <v>0</v>
      </c>
      <c r="AJ757" s="6">
        <v>5237245.5781887798</v>
      </c>
      <c r="AK757" s="6">
        <v>11754.7829305657</v>
      </c>
      <c r="AL757" s="6">
        <v>330.98244656580999</v>
      </c>
      <c r="AM757" s="6">
        <v>93035.839999999997</v>
      </c>
      <c r="AN757" s="6">
        <v>3070.98509646806</v>
      </c>
      <c r="AO757" s="6">
        <v>14449.9360892405</v>
      </c>
      <c r="AP757" s="6">
        <v>330.98244656580999</v>
      </c>
      <c r="AQ757" s="6">
        <v>93035.839999999997</v>
      </c>
      <c r="AR757" s="6">
        <v>11033.8234859732</v>
      </c>
      <c r="AS757" s="6">
        <v>14449.9360892405</v>
      </c>
      <c r="AT757" s="6">
        <v>0</v>
      </c>
      <c r="AU757" t="s">
        <v>2973</v>
      </c>
      <c r="AV757" t="s">
        <v>2973</v>
      </c>
    </row>
    <row r="758" spans="1:48" x14ac:dyDescent="0.45">
      <c r="A758" s="5" t="s">
        <v>1533</v>
      </c>
      <c r="B758">
        <v>2254</v>
      </c>
      <c r="C758" t="s">
        <v>1519</v>
      </c>
      <c r="D758">
        <v>1221</v>
      </c>
      <c r="E758" t="s">
        <v>182</v>
      </c>
      <c r="F758" t="s">
        <v>2739</v>
      </c>
      <c r="G758" t="s">
        <v>2747</v>
      </c>
      <c r="H758" t="s">
        <v>2741</v>
      </c>
      <c r="I758" t="s">
        <v>2742</v>
      </c>
      <c r="J758">
        <v>521.41634812106497</v>
      </c>
      <c r="K758">
        <v>1</v>
      </c>
      <c r="L758">
        <v>1</v>
      </c>
      <c r="M758">
        <v>2</v>
      </c>
      <c r="N758" s="6">
        <v>2941102.9694209401</v>
      </c>
      <c r="O758" s="6">
        <v>983426.63928085996</v>
      </c>
      <c r="P758" s="6">
        <v>1149429.37740828</v>
      </c>
      <c r="Q758" s="6">
        <v>196878.7312442</v>
      </c>
      <c r="R758" s="6">
        <v>1264.31909718934</v>
      </c>
      <c r="S758" s="6">
        <v>261816.62768312899</v>
      </c>
      <c r="T758" s="6">
        <v>3932656.83</v>
      </c>
      <c r="U758" s="6">
        <v>1339445.20645146</v>
      </c>
      <c r="V758" s="6">
        <v>4801810.9038295802</v>
      </c>
      <c r="W758" s="6">
        <v>470291.13262188598</v>
      </c>
      <c r="X758" s="6">
        <v>0</v>
      </c>
      <c r="Y758" s="6">
        <v>0</v>
      </c>
      <c r="Z758" s="6">
        <v>0</v>
      </c>
      <c r="AA758" s="6">
        <v>0</v>
      </c>
      <c r="AB758" s="6">
        <v>0</v>
      </c>
      <c r="AC758" s="6">
        <v>191220.097401932</v>
      </c>
      <c r="AD758" s="6">
        <v>70596.530281196407</v>
      </c>
      <c r="AE758" s="6">
        <v>0</v>
      </c>
      <c r="AF758" s="6">
        <v>0</v>
      </c>
      <c r="AG758" s="6">
        <v>0</v>
      </c>
      <c r="AH758" s="6">
        <v>0</v>
      </c>
      <c r="AI758" s="6">
        <v>0</v>
      </c>
      <c r="AJ758" s="6">
        <v>5533918.66413459</v>
      </c>
      <c r="AK758" s="6">
        <v>10613.2434935655</v>
      </c>
      <c r="AL758" s="6">
        <v>330.98244656580999</v>
      </c>
      <c r="AM758" s="6">
        <v>93035.839999999997</v>
      </c>
      <c r="AN758" s="6">
        <v>3070.98509646806</v>
      </c>
      <c r="AO758" s="6">
        <v>14449.9360892405</v>
      </c>
      <c r="AP758" s="6">
        <v>3753.1860850462999</v>
      </c>
      <c r="AQ758" s="6">
        <v>20687.885194392002</v>
      </c>
      <c r="AR758" s="6">
        <v>10613.2434935655</v>
      </c>
      <c r="AS758" s="6">
        <v>11134.022676820699</v>
      </c>
      <c r="AT758" s="6">
        <v>0</v>
      </c>
      <c r="AU758" t="s">
        <v>2973</v>
      </c>
      <c r="AV758" t="s">
        <v>2973</v>
      </c>
    </row>
    <row r="759" spans="1:48" x14ac:dyDescent="0.45">
      <c r="A759" s="5" t="s">
        <v>1534</v>
      </c>
      <c r="B759">
        <v>2254</v>
      </c>
      <c r="C759" t="s">
        <v>1519</v>
      </c>
      <c r="D759">
        <v>2254</v>
      </c>
      <c r="E759" t="s">
        <v>1519</v>
      </c>
      <c r="F759" t="s">
        <v>1</v>
      </c>
      <c r="G759" t="s">
        <v>1</v>
      </c>
      <c r="H759" t="s">
        <v>2743</v>
      </c>
      <c r="I759" t="s">
        <v>2742</v>
      </c>
      <c r="J759">
        <v>26.305725348658999</v>
      </c>
      <c r="K759">
        <v>1</v>
      </c>
      <c r="L759">
        <v>1</v>
      </c>
      <c r="M759">
        <v>2</v>
      </c>
      <c r="N759" s="6">
        <v>17512.712035044198</v>
      </c>
      <c r="O759" s="6">
        <v>10460.9059856902</v>
      </c>
      <c r="P759" s="6">
        <v>29605.668027069201</v>
      </c>
      <c r="Q759" s="6">
        <v>9932.6341603310993</v>
      </c>
      <c r="R759" s="6">
        <v>63.785554564171697</v>
      </c>
      <c r="S759" s="6">
        <v>13208.784734815001</v>
      </c>
      <c r="T759" s="6">
        <v>0</v>
      </c>
      <c r="U759" s="6">
        <v>67575.705762698897</v>
      </c>
      <c r="V759" s="6">
        <v>56661.525911988298</v>
      </c>
      <c r="W759" s="6">
        <v>10914.1798507106</v>
      </c>
      <c r="X759" s="6">
        <v>0</v>
      </c>
      <c r="Y759" s="6">
        <v>0</v>
      </c>
      <c r="Z759" s="6">
        <v>0</v>
      </c>
      <c r="AA759" s="6">
        <v>0</v>
      </c>
      <c r="AB759" s="6">
        <v>0</v>
      </c>
      <c r="AC759" s="6">
        <v>9647.15314647388</v>
      </c>
      <c r="AD759" s="6">
        <v>3561.6315883410898</v>
      </c>
      <c r="AE759" s="6">
        <v>0</v>
      </c>
      <c r="AF759" s="6">
        <v>0</v>
      </c>
      <c r="AG759" s="6">
        <v>0</v>
      </c>
      <c r="AH759" s="6">
        <v>0</v>
      </c>
      <c r="AI759" s="6">
        <v>0</v>
      </c>
      <c r="AJ759" s="6">
        <v>80784.490497513805</v>
      </c>
      <c r="AK759" s="6">
        <v>3070.98509646806</v>
      </c>
      <c r="AL759" s="6">
        <v>330.98244656580999</v>
      </c>
      <c r="AM759" s="6">
        <v>93035.839999999997</v>
      </c>
      <c r="AN759" s="6">
        <v>3070.98509646806</v>
      </c>
      <c r="AO759" s="6">
        <v>14449.9360892405</v>
      </c>
      <c r="AP759" s="6">
        <v>634.54287297753501</v>
      </c>
      <c r="AQ759" s="6">
        <v>40331.279999999999</v>
      </c>
      <c r="AR759" s="6">
        <v>3070.98509646806</v>
      </c>
      <c r="AS759" s="6">
        <v>3070.98509646806</v>
      </c>
      <c r="AT759" s="6">
        <v>0</v>
      </c>
      <c r="AU759" t="s">
        <v>2973</v>
      </c>
      <c r="AV759" t="s">
        <v>2977</v>
      </c>
    </row>
    <row r="760" spans="1:48" x14ac:dyDescent="0.45">
      <c r="A760" s="5" t="s">
        <v>1535</v>
      </c>
      <c r="B760">
        <v>2254</v>
      </c>
      <c r="C760" t="s">
        <v>1519</v>
      </c>
      <c r="D760">
        <v>1222</v>
      </c>
      <c r="E760" t="s">
        <v>1536</v>
      </c>
      <c r="F760" t="s">
        <v>2739</v>
      </c>
      <c r="G760" t="s">
        <v>2744</v>
      </c>
      <c r="H760" t="s">
        <v>2745</v>
      </c>
      <c r="I760" t="s">
        <v>2742</v>
      </c>
      <c r="J760">
        <v>1553.0234098742801</v>
      </c>
      <c r="K760">
        <v>1</v>
      </c>
      <c r="L760">
        <v>1</v>
      </c>
      <c r="M760">
        <v>2</v>
      </c>
      <c r="N760" s="6">
        <v>8528493.3906274997</v>
      </c>
      <c r="O760" s="6">
        <v>4363103.69895571</v>
      </c>
      <c r="P760" s="6">
        <v>3234944.2890721802</v>
      </c>
      <c r="Q760" s="6">
        <v>587092.56814375601</v>
      </c>
      <c r="R760" s="6">
        <v>4765.7376155576003</v>
      </c>
      <c r="S760" s="6">
        <v>779813.20177523501</v>
      </c>
      <c r="T760" s="6">
        <v>12728901.140000001</v>
      </c>
      <c r="U760" s="6">
        <v>3989498.5444147</v>
      </c>
      <c r="V760" s="6">
        <v>13880840.064306</v>
      </c>
      <c r="W760" s="6">
        <v>2837559.6201086598</v>
      </c>
      <c r="X760" s="6">
        <v>0</v>
      </c>
      <c r="Y760" s="6">
        <v>0</v>
      </c>
      <c r="Z760" s="6">
        <v>0</v>
      </c>
      <c r="AA760" s="6">
        <v>0</v>
      </c>
      <c r="AB760" s="6">
        <v>0</v>
      </c>
      <c r="AC760" s="6">
        <v>569543.49201703595</v>
      </c>
      <c r="AD760" s="6">
        <v>210269.70975820001</v>
      </c>
      <c r="AE760" s="6">
        <v>0</v>
      </c>
      <c r="AF760" s="6">
        <v>0</v>
      </c>
      <c r="AG760" s="6">
        <v>0</v>
      </c>
      <c r="AH760" s="6">
        <v>0</v>
      </c>
      <c r="AI760" s="6">
        <v>0</v>
      </c>
      <c r="AJ760" s="6">
        <v>17498212.8861899</v>
      </c>
      <c r="AK760" s="6">
        <v>11267.1919656423</v>
      </c>
      <c r="AL760" s="6">
        <v>330.98244656580999</v>
      </c>
      <c r="AM760" s="6">
        <v>93035.839999999997</v>
      </c>
      <c r="AN760" s="6">
        <v>3070.98509646806</v>
      </c>
      <c r="AO760" s="6">
        <v>14449.9360892405</v>
      </c>
      <c r="AP760" s="6">
        <v>330.98244656580999</v>
      </c>
      <c r="AQ760" s="6">
        <v>40734.411818744898</v>
      </c>
      <c r="AR760" s="6">
        <v>11267.1919656423</v>
      </c>
      <c r="AS760" s="6">
        <v>11267.1919656423</v>
      </c>
      <c r="AT760" s="6">
        <v>0</v>
      </c>
      <c r="AU760" t="s">
        <v>2973</v>
      </c>
      <c r="AV760" t="s">
        <v>2973</v>
      </c>
    </row>
    <row r="761" spans="1:48" x14ac:dyDescent="0.45">
      <c r="A761" s="5" t="s">
        <v>1537</v>
      </c>
      <c r="B761">
        <v>1966</v>
      </c>
      <c r="C761" t="s">
        <v>1538</v>
      </c>
      <c r="D761">
        <v>204</v>
      </c>
      <c r="E761" t="s">
        <v>1539</v>
      </c>
      <c r="F761" t="s">
        <v>2739</v>
      </c>
      <c r="G761" t="s">
        <v>2740</v>
      </c>
      <c r="H761" t="s">
        <v>2741</v>
      </c>
      <c r="I761" t="s">
        <v>2742</v>
      </c>
      <c r="J761">
        <v>458.22101776576301</v>
      </c>
      <c r="K761">
        <v>1</v>
      </c>
      <c r="L761">
        <v>1</v>
      </c>
      <c r="M761">
        <v>1</v>
      </c>
      <c r="N761" s="6">
        <v>3221269.6429447499</v>
      </c>
      <c r="O761" s="6">
        <v>667868.116745729</v>
      </c>
      <c r="P761" s="6">
        <v>898569.19356977695</v>
      </c>
      <c r="Q761" s="6">
        <v>143612.09110859499</v>
      </c>
      <c r="R761" s="6">
        <v>278702.34548933298</v>
      </c>
      <c r="S761" s="6">
        <v>203092.69995148701</v>
      </c>
      <c r="T761" s="6">
        <v>4109627.92</v>
      </c>
      <c r="U761" s="6">
        <v>1100393.46985818</v>
      </c>
      <c r="V761" s="6">
        <v>4395960.4415192204</v>
      </c>
      <c r="W761" s="6">
        <v>814060.94833896705</v>
      </c>
      <c r="X761" s="6">
        <v>0</v>
      </c>
      <c r="Y761" s="6">
        <v>0</v>
      </c>
      <c r="Z761" s="6">
        <v>0</v>
      </c>
      <c r="AA761" s="6">
        <v>0</v>
      </c>
      <c r="AB761" s="6">
        <v>0</v>
      </c>
      <c r="AC761" s="6">
        <v>170521.29287211801</v>
      </c>
      <c r="AD761" s="6">
        <v>32571.407079369299</v>
      </c>
      <c r="AE761" s="6">
        <v>0</v>
      </c>
      <c r="AF761" s="6">
        <v>0</v>
      </c>
      <c r="AG761" s="6">
        <v>0</v>
      </c>
      <c r="AH761" s="6">
        <v>0</v>
      </c>
      <c r="AI761" s="6">
        <v>0</v>
      </c>
      <c r="AJ761" s="6">
        <v>5413114.0898096701</v>
      </c>
      <c r="AK761" s="6">
        <v>11813.325622214899</v>
      </c>
      <c r="AL761" s="6">
        <v>330.98244656580999</v>
      </c>
      <c r="AM761" s="6">
        <v>93035.839999999997</v>
      </c>
      <c r="AN761" s="6">
        <v>2844.6669167759501</v>
      </c>
      <c r="AO761" s="6">
        <v>14002.746708578799</v>
      </c>
      <c r="AP761" s="6">
        <v>330.98244656580999</v>
      </c>
      <c r="AQ761" s="6">
        <v>93035.839999999997</v>
      </c>
      <c r="AR761" s="6">
        <v>10692.227996166501</v>
      </c>
      <c r="AS761" s="6">
        <v>11813.325622214899</v>
      </c>
      <c r="AT761" s="6">
        <v>0</v>
      </c>
      <c r="AU761" t="s">
        <v>2973</v>
      </c>
      <c r="AV761" t="s">
        <v>2973</v>
      </c>
    </row>
    <row r="762" spans="1:48" x14ac:dyDescent="0.45">
      <c r="A762" s="5" t="s">
        <v>1543</v>
      </c>
      <c r="B762">
        <v>1966</v>
      </c>
      <c r="C762" t="s">
        <v>1538</v>
      </c>
      <c r="D762">
        <v>205</v>
      </c>
      <c r="E762" t="s">
        <v>1544</v>
      </c>
      <c r="F762" t="s">
        <v>2739</v>
      </c>
      <c r="G762" t="s">
        <v>2740</v>
      </c>
      <c r="H762" t="s">
        <v>2741</v>
      </c>
      <c r="I762" t="s">
        <v>2742</v>
      </c>
      <c r="J762">
        <v>503.99224293863801</v>
      </c>
      <c r="K762">
        <v>1</v>
      </c>
      <c r="L762">
        <v>1</v>
      </c>
      <c r="M762">
        <v>1</v>
      </c>
      <c r="N762" s="6">
        <v>3123162.2659315402</v>
      </c>
      <c r="O762" s="6">
        <v>669624.38367922197</v>
      </c>
      <c r="P762" s="6">
        <v>911921.06263128703</v>
      </c>
      <c r="Q762" s="6">
        <v>154171.20161696299</v>
      </c>
      <c r="R762" s="6">
        <v>306541.63551972102</v>
      </c>
      <c r="S762" s="6">
        <v>223379.42042051299</v>
      </c>
      <c r="T762" s="6">
        <v>3955109.91</v>
      </c>
      <c r="U762" s="6">
        <v>1210310.63937874</v>
      </c>
      <c r="V762" s="6">
        <v>4291151.3902180204</v>
      </c>
      <c r="W762" s="6">
        <v>874269.15916071797</v>
      </c>
      <c r="X762" s="6">
        <v>0</v>
      </c>
      <c r="Y762" s="6">
        <v>0</v>
      </c>
      <c r="Z762" s="6">
        <v>0</v>
      </c>
      <c r="AA762" s="6">
        <v>0</v>
      </c>
      <c r="AB762" s="6">
        <v>0</v>
      </c>
      <c r="AC762" s="6">
        <v>187554.48905957301</v>
      </c>
      <c r="AD762" s="6">
        <v>35824.9313609405</v>
      </c>
      <c r="AE762" s="6">
        <v>0</v>
      </c>
      <c r="AF762" s="6">
        <v>0</v>
      </c>
      <c r="AG762" s="6">
        <v>0</v>
      </c>
      <c r="AH762" s="6">
        <v>0</v>
      </c>
      <c r="AI762" s="6">
        <v>0</v>
      </c>
      <c r="AJ762" s="6">
        <v>5388799.9697992504</v>
      </c>
      <c r="AK762" s="6">
        <v>10692.227996166501</v>
      </c>
      <c r="AL762" s="6">
        <v>330.98244656580999</v>
      </c>
      <c r="AM762" s="6">
        <v>93035.839999999997</v>
      </c>
      <c r="AN762" s="6">
        <v>2844.6669167759501</v>
      </c>
      <c r="AO762" s="6">
        <v>14002.746708578799</v>
      </c>
      <c r="AP762" s="6">
        <v>330.98244656580999</v>
      </c>
      <c r="AQ762" s="6">
        <v>93035.839999999997</v>
      </c>
      <c r="AR762" s="6">
        <v>10692.227996166501</v>
      </c>
      <c r="AS762" s="6">
        <v>11813.325622214899</v>
      </c>
      <c r="AT762" s="6">
        <v>0</v>
      </c>
      <c r="AU762" t="s">
        <v>2973</v>
      </c>
      <c r="AV762" t="s">
        <v>2973</v>
      </c>
    </row>
    <row r="763" spans="1:48" x14ac:dyDescent="0.45">
      <c r="A763" s="5" t="s">
        <v>1545</v>
      </c>
      <c r="B763">
        <v>1966</v>
      </c>
      <c r="C763" t="s">
        <v>1538</v>
      </c>
      <c r="D763">
        <v>208</v>
      </c>
      <c r="E763" t="s">
        <v>1546</v>
      </c>
      <c r="F763" t="s">
        <v>2739</v>
      </c>
      <c r="G763" t="s">
        <v>2747</v>
      </c>
      <c r="H763" t="s">
        <v>2745</v>
      </c>
      <c r="I763" t="s">
        <v>2742</v>
      </c>
      <c r="J763">
        <v>549.14614068041203</v>
      </c>
      <c r="K763">
        <v>1</v>
      </c>
      <c r="L763">
        <v>1</v>
      </c>
      <c r="M763">
        <v>1</v>
      </c>
      <c r="N763" s="6">
        <v>3143220.2546404698</v>
      </c>
      <c r="O763" s="6">
        <v>1208756.62241573</v>
      </c>
      <c r="P763" s="6">
        <v>1082322.86174904</v>
      </c>
      <c r="Q763" s="6">
        <v>165964.250606327</v>
      </c>
      <c r="R763" s="6">
        <v>334005.45040533802</v>
      </c>
      <c r="S763" s="6">
        <v>243392.529051855</v>
      </c>
      <c r="T763" s="6">
        <v>4615524.1100000003</v>
      </c>
      <c r="U763" s="6">
        <v>1318745.3298169</v>
      </c>
      <c r="V763" s="6">
        <v>5086887.5387735097</v>
      </c>
      <c r="W763" s="6">
        <v>847381.90104339295</v>
      </c>
      <c r="X763" s="6">
        <v>0</v>
      </c>
      <c r="Y763" s="6">
        <v>0</v>
      </c>
      <c r="Z763" s="6">
        <v>0</v>
      </c>
      <c r="AA763" s="6">
        <v>0</v>
      </c>
      <c r="AB763" s="6">
        <v>0</v>
      </c>
      <c r="AC763" s="6">
        <v>204357.95446734899</v>
      </c>
      <c r="AD763" s="6">
        <v>39034.574584506801</v>
      </c>
      <c r="AE763" s="6">
        <v>0</v>
      </c>
      <c r="AF763" s="6">
        <v>0</v>
      </c>
      <c r="AG763" s="6">
        <v>0</v>
      </c>
      <c r="AH763" s="6">
        <v>0</v>
      </c>
      <c r="AI763" s="6">
        <v>0</v>
      </c>
      <c r="AJ763" s="6">
        <v>6177661.9688687604</v>
      </c>
      <c r="AK763" s="6">
        <v>11249.5773187342</v>
      </c>
      <c r="AL763" s="6">
        <v>330.98244656580999</v>
      </c>
      <c r="AM763" s="6">
        <v>93035.839999999997</v>
      </c>
      <c r="AN763" s="6">
        <v>2844.6669167759501</v>
      </c>
      <c r="AO763" s="6">
        <v>14002.746708578799</v>
      </c>
      <c r="AP763" s="6">
        <v>3753.1860850462999</v>
      </c>
      <c r="AQ763" s="6">
        <v>20687.885194392002</v>
      </c>
      <c r="AR763" s="6">
        <v>11249.5773187342</v>
      </c>
      <c r="AS763" s="6">
        <v>11249.5773187342</v>
      </c>
      <c r="AT763" s="6">
        <v>0</v>
      </c>
      <c r="AU763" t="s">
        <v>2973</v>
      </c>
      <c r="AV763" t="s">
        <v>2973</v>
      </c>
    </row>
    <row r="764" spans="1:48" x14ac:dyDescent="0.45">
      <c r="A764" s="5" t="s">
        <v>1547</v>
      </c>
      <c r="B764">
        <v>1966</v>
      </c>
      <c r="C764" t="s">
        <v>1538</v>
      </c>
      <c r="D764">
        <v>1966</v>
      </c>
      <c r="E764" t="s">
        <v>1538</v>
      </c>
      <c r="F764" t="s">
        <v>1</v>
      </c>
      <c r="G764" t="s">
        <v>1</v>
      </c>
      <c r="H764" t="s">
        <v>2743</v>
      </c>
      <c r="I764" t="s">
        <v>2742</v>
      </c>
      <c r="J764">
        <v>0.7</v>
      </c>
      <c r="K764">
        <v>0</v>
      </c>
      <c r="L764">
        <v>0</v>
      </c>
      <c r="M764">
        <v>1</v>
      </c>
      <c r="N764" s="6">
        <v>132.90028981702801</v>
      </c>
      <c r="O764" s="6">
        <v>242.57748861888899</v>
      </c>
      <c r="P764" s="6">
        <v>673.08358530272699</v>
      </c>
      <c r="Q764" s="6">
        <v>206.692683451791</v>
      </c>
      <c r="R764" s="6">
        <v>425.75882440700701</v>
      </c>
      <c r="S764" s="6">
        <v>310.25397014572201</v>
      </c>
      <c r="T764" s="6">
        <v>0</v>
      </c>
      <c r="U764" s="6">
        <v>1681.0128715974399</v>
      </c>
      <c r="V764" s="6">
        <v>1181.23877796487</v>
      </c>
      <c r="W764" s="6">
        <v>499.774093632568</v>
      </c>
      <c r="X764" s="6">
        <v>0</v>
      </c>
      <c r="Y764" s="6">
        <v>0</v>
      </c>
      <c r="Z764" s="6">
        <v>0</v>
      </c>
      <c r="AA764" s="6">
        <v>0</v>
      </c>
      <c r="AB764" s="6">
        <v>0</v>
      </c>
      <c r="AC764" s="6">
        <v>260.49635521411301</v>
      </c>
      <c r="AD764" s="6">
        <v>49.757614931608302</v>
      </c>
      <c r="AE764" s="6">
        <v>0</v>
      </c>
      <c r="AF764" s="6">
        <v>0</v>
      </c>
      <c r="AG764" s="6">
        <v>0</v>
      </c>
      <c r="AH764" s="6">
        <v>0</v>
      </c>
      <c r="AI764" s="6">
        <v>0</v>
      </c>
      <c r="AJ764" s="6">
        <v>1991.2668417431601</v>
      </c>
      <c r="AK764" s="6">
        <v>2844.6669167759501</v>
      </c>
      <c r="AL764" s="6">
        <v>330.98244656580999</v>
      </c>
      <c r="AM764" s="6">
        <v>93035.839999999997</v>
      </c>
      <c r="AN764" s="6">
        <v>2844.6669167759501</v>
      </c>
      <c r="AO764" s="6">
        <v>14002.746708578799</v>
      </c>
      <c r="AP764" s="6">
        <v>634.54287297753501</v>
      </c>
      <c r="AQ764" s="6">
        <v>40331.279999999999</v>
      </c>
      <c r="AR764" s="6">
        <v>2844.6669167759501</v>
      </c>
      <c r="AS764" s="6">
        <v>2844.6669167759501</v>
      </c>
      <c r="AT764" s="6">
        <v>0</v>
      </c>
      <c r="AU764" t="s">
        <v>2973</v>
      </c>
      <c r="AV764" t="s">
        <v>2977</v>
      </c>
    </row>
    <row r="765" spans="1:48" x14ac:dyDescent="0.45">
      <c r="A765" s="5" t="s">
        <v>1548</v>
      </c>
      <c r="B765">
        <v>1966</v>
      </c>
      <c r="C765" t="s">
        <v>1538</v>
      </c>
      <c r="D765">
        <v>209</v>
      </c>
      <c r="E765" t="s">
        <v>1549</v>
      </c>
      <c r="F765" t="s">
        <v>2739</v>
      </c>
      <c r="G765" t="s">
        <v>2744</v>
      </c>
      <c r="H765" t="s">
        <v>2745</v>
      </c>
      <c r="I765" t="s">
        <v>2742</v>
      </c>
      <c r="J765">
        <v>770.07228755546305</v>
      </c>
      <c r="K765">
        <v>1</v>
      </c>
      <c r="L765">
        <v>1</v>
      </c>
      <c r="M765">
        <v>1</v>
      </c>
      <c r="N765" s="6">
        <v>4630689.6331374096</v>
      </c>
      <c r="O765" s="6">
        <v>2439219.8479574402</v>
      </c>
      <c r="P765" s="6">
        <v>1795242.6617858601</v>
      </c>
      <c r="Q765" s="6">
        <v>235784.47652385401</v>
      </c>
      <c r="R765" s="6">
        <v>1340879.1640828999</v>
      </c>
      <c r="S765" s="6">
        <v>341311.40644754301</v>
      </c>
      <c r="T765" s="6">
        <v>8592528.0299999993</v>
      </c>
      <c r="U765" s="6">
        <v>1849287.7534874601</v>
      </c>
      <c r="V765" s="6">
        <v>7648407.8398523303</v>
      </c>
      <c r="W765" s="6">
        <v>2793407.9436351298</v>
      </c>
      <c r="X765" s="6">
        <v>0</v>
      </c>
      <c r="Y765" s="6">
        <v>0</v>
      </c>
      <c r="Z765" s="6">
        <v>0</v>
      </c>
      <c r="AA765" s="6">
        <v>0</v>
      </c>
      <c r="AB765" s="6">
        <v>0</v>
      </c>
      <c r="AC765" s="6">
        <v>286572.891656561</v>
      </c>
      <c r="AD765" s="6">
        <v>54738.514790982103</v>
      </c>
      <c r="AE765" s="6">
        <v>0</v>
      </c>
      <c r="AF765" s="6">
        <v>0</v>
      </c>
      <c r="AG765" s="6">
        <v>0</v>
      </c>
      <c r="AH765" s="6">
        <v>0</v>
      </c>
      <c r="AI765" s="6">
        <v>0</v>
      </c>
      <c r="AJ765" s="6">
        <v>10783127.189935001</v>
      </c>
      <c r="AK765" s="6">
        <v>14002.746708578799</v>
      </c>
      <c r="AL765" s="6">
        <v>330.98244656580999</v>
      </c>
      <c r="AM765" s="6">
        <v>93035.839999999997</v>
      </c>
      <c r="AN765" s="6">
        <v>2844.6669167759501</v>
      </c>
      <c r="AO765" s="6">
        <v>14002.746708578799</v>
      </c>
      <c r="AP765" s="6">
        <v>330.98244656580999</v>
      </c>
      <c r="AQ765" s="6">
        <v>40734.411818744898</v>
      </c>
      <c r="AR765" s="6">
        <v>14002.746708578799</v>
      </c>
      <c r="AS765" s="6">
        <v>14002.746708578799</v>
      </c>
      <c r="AT765" s="6">
        <v>0</v>
      </c>
      <c r="AU765" t="s">
        <v>2973</v>
      </c>
      <c r="AV765" t="s">
        <v>2973</v>
      </c>
    </row>
    <row r="766" spans="1:48" x14ac:dyDescent="0.45">
      <c r="A766" s="5" t="s">
        <v>1550</v>
      </c>
      <c r="B766">
        <v>1966</v>
      </c>
      <c r="C766" t="s">
        <v>1538</v>
      </c>
      <c r="D766">
        <v>4690</v>
      </c>
      <c r="E766" t="s">
        <v>1551</v>
      </c>
      <c r="F766" t="s">
        <v>3</v>
      </c>
      <c r="G766" t="s">
        <v>2748</v>
      </c>
      <c r="H766" t="s">
        <v>2743</v>
      </c>
      <c r="I766" t="s">
        <v>2742</v>
      </c>
      <c r="J766">
        <v>1944.4594627670899</v>
      </c>
      <c r="K766">
        <v>1</v>
      </c>
      <c r="L766">
        <v>1</v>
      </c>
      <c r="M766">
        <v>1</v>
      </c>
      <c r="N766" s="6">
        <v>369170.32305601297</v>
      </c>
      <c r="O766" s="6">
        <v>673831.56171325</v>
      </c>
      <c r="P766" s="6">
        <v>1869691.0666787</v>
      </c>
      <c r="Q766" s="6">
        <v>574150.77746079804</v>
      </c>
      <c r="R766" s="6">
        <v>1182672.5356782801</v>
      </c>
      <c r="S766" s="6">
        <v>861823.24015843798</v>
      </c>
      <c r="T766" s="6">
        <v>0</v>
      </c>
      <c r="U766" s="6">
        <v>4669516.2645870401</v>
      </c>
      <c r="V766" s="6">
        <v>3281244.1708589098</v>
      </c>
      <c r="W766" s="6">
        <v>1388272.09372813</v>
      </c>
      <c r="X766" s="6">
        <v>0</v>
      </c>
      <c r="Y766" s="6">
        <v>0</v>
      </c>
      <c r="Z766" s="6">
        <v>0</v>
      </c>
      <c r="AA766" s="6">
        <v>0</v>
      </c>
      <c r="AB766" s="6">
        <v>0</v>
      </c>
      <c r="AC766" s="6">
        <v>723606.57558917103</v>
      </c>
      <c r="AD766" s="6">
        <v>138216.66456926701</v>
      </c>
      <c r="AE766" s="6">
        <v>0</v>
      </c>
      <c r="AF766" s="6">
        <v>0</v>
      </c>
      <c r="AG766" s="6">
        <v>0</v>
      </c>
      <c r="AH766" s="6">
        <v>0</v>
      </c>
      <c r="AI766" s="6">
        <v>0</v>
      </c>
      <c r="AJ766" s="6">
        <v>5531339.5047454797</v>
      </c>
      <c r="AK766" s="6">
        <v>2844.6669167759501</v>
      </c>
      <c r="AL766" s="6">
        <v>330.98244656580999</v>
      </c>
      <c r="AM766" s="6">
        <v>93035.839999999997</v>
      </c>
      <c r="AN766" s="6">
        <v>2844.6669167759501</v>
      </c>
      <c r="AO766" s="6">
        <v>14002.746708578799</v>
      </c>
      <c r="AP766" s="6">
        <v>330.98244656580999</v>
      </c>
      <c r="AQ766" s="6">
        <v>56162.493707719797</v>
      </c>
      <c r="AR766" s="6">
        <v>2844.6669167759501</v>
      </c>
      <c r="AS766" s="6">
        <v>2844.6669167759501</v>
      </c>
      <c r="AT766" s="6">
        <v>0</v>
      </c>
      <c r="AU766" t="s">
        <v>2973</v>
      </c>
      <c r="AV766" t="s">
        <v>2976</v>
      </c>
    </row>
    <row r="767" spans="1:48" x14ac:dyDescent="0.45">
      <c r="A767" s="5" t="s">
        <v>1554</v>
      </c>
      <c r="B767">
        <v>1924</v>
      </c>
      <c r="C767" t="s">
        <v>1555</v>
      </c>
      <c r="D767">
        <v>3530</v>
      </c>
      <c r="E767" t="s">
        <v>1556</v>
      </c>
      <c r="F767" t="s">
        <v>2739</v>
      </c>
      <c r="G767" t="s">
        <v>2747</v>
      </c>
      <c r="H767" t="s">
        <v>2741</v>
      </c>
      <c r="I767" t="s">
        <v>2742</v>
      </c>
      <c r="J767">
        <v>951.92342512029495</v>
      </c>
      <c r="K767">
        <v>1</v>
      </c>
      <c r="L767">
        <v>2</v>
      </c>
      <c r="M767">
        <v>2</v>
      </c>
      <c r="N767" s="6">
        <v>6587665.6764588403</v>
      </c>
      <c r="O767" s="6">
        <v>2383978.9271228099</v>
      </c>
      <c r="P767" s="6">
        <v>2327876.0425667199</v>
      </c>
      <c r="Q767" s="6">
        <v>437255.72955376201</v>
      </c>
      <c r="R767" s="6">
        <v>2721205.0167047302</v>
      </c>
      <c r="S767" s="6">
        <v>485374.203640297</v>
      </c>
      <c r="T767" s="6">
        <v>5820871.3600000003</v>
      </c>
      <c r="U767" s="6">
        <v>8637110.0324068591</v>
      </c>
      <c r="V767" s="6">
        <v>10727348.892015301</v>
      </c>
      <c r="W767" s="6">
        <v>1275885.8837655201</v>
      </c>
      <c r="X767" s="6">
        <v>0</v>
      </c>
      <c r="Y767" s="6">
        <v>0</v>
      </c>
      <c r="Z767" s="6">
        <v>91604.332848249804</v>
      </c>
      <c r="AA767" s="6">
        <v>2124452.3028803999</v>
      </c>
      <c r="AB767" s="6">
        <v>238689.98089741101</v>
      </c>
      <c r="AC767" s="6">
        <v>419086.85303205397</v>
      </c>
      <c r="AD767" s="6">
        <v>66287.350608242894</v>
      </c>
      <c r="AE767" s="6">
        <v>0</v>
      </c>
      <c r="AF767" s="6">
        <v>0</v>
      </c>
      <c r="AG767" s="6">
        <v>0</v>
      </c>
      <c r="AH767" s="6">
        <v>0</v>
      </c>
      <c r="AI767" s="6">
        <v>0</v>
      </c>
      <c r="AJ767" s="6">
        <v>14943355.5960472</v>
      </c>
      <c r="AK767" s="6">
        <v>15698.064783056199</v>
      </c>
      <c r="AL767" s="6">
        <v>330.98244656580999</v>
      </c>
      <c r="AM767" s="6">
        <v>93035.839999999997</v>
      </c>
      <c r="AN767" s="6">
        <v>9583.2122577447208</v>
      </c>
      <c r="AO767" s="6">
        <v>34706.718404924402</v>
      </c>
      <c r="AP767" s="6">
        <v>3753.1860850462999</v>
      </c>
      <c r="AQ767" s="6">
        <v>20687.885194392002</v>
      </c>
      <c r="AR767" s="6">
        <v>9583.2122577447208</v>
      </c>
      <c r="AS767" s="6">
        <v>15814.5463195786</v>
      </c>
      <c r="AT767" s="6">
        <v>0</v>
      </c>
      <c r="AU767" t="s">
        <v>2973</v>
      </c>
      <c r="AV767" t="s">
        <v>2973</v>
      </c>
    </row>
    <row r="768" spans="1:48" x14ac:dyDescent="0.45">
      <c r="A768" s="5" t="s">
        <v>1557</v>
      </c>
      <c r="B768">
        <v>1924</v>
      </c>
      <c r="C768" t="s">
        <v>1555</v>
      </c>
      <c r="D768">
        <v>4762</v>
      </c>
      <c r="E768" t="s">
        <v>1558</v>
      </c>
      <c r="F768" t="s">
        <v>2739</v>
      </c>
      <c r="G768" t="s">
        <v>2740</v>
      </c>
      <c r="H768" t="s">
        <v>2741</v>
      </c>
      <c r="I768" t="s">
        <v>2742</v>
      </c>
      <c r="J768">
        <v>422.80823327613001</v>
      </c>
      <c r="K768">
        <v>1</v>
      </c>
      <c r="L768">
        <v>1</v>
      </c>
      <c r="M768">
        <v>2</v>
      </c>
      <c r="N768" s="6">
        <v>3374866.57986267</v>
      </c>
      <c r="O768" s="6">
        <v>1484670.3387006901</v>
      </c>
      <c r="P768" s="6">
        <v>1097227.2661179099</v>
      </c>
      <c r="Q768" s="6">
        <v>194212.388963039</v>
      </c>
      <c r="R768" s="6">
        <v>1208655.9224547599</v>
      </c>
      <c r="S768" s="6">
        <v>215584.787708138</v>
      </c>
      <c r="T768" s="6">
        <v>3523356.24</v>
      </c>
      <c r="U768" s="6">
        <v>3836276.25609907</v>
      </c>
      <c r="V768" s="6">
        <v>5120160.5347992899</v>
      </c>
      <c r="W768" s="6">
        <v>1149166.7405987901</v>
      </c>
      <c r="X768" s="6">
        <v>0</v>
      </c>
      <c r="Y768" s="6">
        <v>0</v>
      </c>
      <c r="Z768" s="6">
        <v>40687.1657004476</v>
      </c>
      <c r="AA768" s="6">
        <v>943601.03045762901</v>
      </c>
      <c r="AB768" s="6">
        <v>106017.024542908</v>
      </c>
      <c r="AC768" s="6">
        <v>186142.46402996499</v>
      </c>
      <c r="AD768" s="6">
        <v>29442.323678172699</v>
      </c>
      <c r="AE768" s="6">
        <v>0</v>
      </c>
      <c r="AF768" s="6">
        <v>0</v>
      </c>
      <c r="AG768" s="6">
        <v>0</v>
      </c>
      <c r="AH768" s="6">
        <v>0</v>
      </c>
      <c r="AI768" s="6">
        <v>0</v>
      </c>
      <c r="AJ768" s="6">
        <v>7575217.2838072004</v>
      </c>
      <c r="AK768" s="6">
        <v>17916.4374948677</v>
      </c>
      <c r="AL768" s="6">
        <v>330.98244656580999</v>
      </c>
      <c r="AM768" s="6">
        <v>93035.839999999997</v>
      </c>
      <c r="AN768" s="6">
        <v>9583.2122577447208</v>
      </c>
      <c r="AO768" s="6">
        <v>34706.718404924402</v>
      </c>
      <c r="AP768" s="6">
        <v>330.98244656580999</v>
      </c>
      <c r="AQ768" s="6">
        <v>93035.839999999997</v>
      </c>
      <c r="AR768" s="6">
        <v>9583.2122577447208</v>
      </c>
      <c r="AS768" s="6">
        <v>34706.718404924402</v>
      </c>
      <c r="AT768" s="6">
        <v>0</v>
      </c>
      <c r="AU768" t="s">
        <v>2973</v>
      </c>
      <c r="AV768" t="s">
        <v>2973</v>
      </c>
    </row>
    <row r="769" spans="1:48" x14ac:dyDescent="0.45">
      <c r="A769" s="5" t="s">
        <v>1559</v>
      </c>
      <c r="B769">
        <v>1924</v>
      </c>
      <c r="C769" t="s">
        <v>1555</v>
      </c>
      <c r="D769">
        <v>65</v>
      </c>
      <c r="E769" t="s">
        <v>1560</v>
      </c>
      <c r="F769" t="s">
        <v>2739</v>
      </c>
      <c r="G769" t="s">
        <v>2740</v>
      </c>
      <c r="H769" t="s">
        <v>2741</v>
      </c>
      <c r="I769" t="s">
        <v>2742</v>
      </c>
      <c r="J769">
        <v>434.81610716316999</v>
      </c>
      <c r="K769">
        <v>2</v>
      </c>
      <c r="L769">
        <v>2</v>
      </c>
      <c r="M769">
        <v>2</v>
      </c>
      <c r="N769" s="6">
        <v>3429296.3689855598</v>
      </c>
      <c r="O769" s="6">
        <v>1041480.66943239</v>
      </c>
      <c r="P769" s="6">
        <v>1088936.53289068</v>
      </c>
      <c r="Q769" s="6">
        <v>199728.07595877</v>
      </c>
      <c r="R769" s="6">
        <v>1242982.0938663399</v>
      </c>
      <c r="S769" s="6">
        <v>221707.456897205</v>
      </c>
      <c r="T769" s="6">
        <v>3057196.15</v>
      </c>
      <c r="U769" s="6">
        <v>3945227.59113373</v>
      </c>
      <c r="V769" s="6">
        <v>5213547.6251831604</v>
      </c>
      <c r="W769" s="6">
        <v>667605.91737506399</v>
      </c>
      <c r="X769" s="6">
        <v>0</v>
      </c>
      <c r="Y769" s="6">
        <v>0</v>
      </c>
      <c r="Z769" s="6">
        <v>41842.692759999904</v>
      </c>
      <c r="AA769" s="6">
        <v>970399.567670636</v>
      </c>
      <c r="AB769" s="6">
        <v>109027.93814486499</v>
      </c>
      <c r="AC769" s="6">
        <v>191428.96286603401</v>
      </c>
      <c r="AD769" s="6">
        <v>30278.494031170601</v>
      </c>
      <c r="AE769" s="6">
        <v>0</v>
      </c>
      <c r="AF769" s="6">
        <v>0</v>
      </c>
      <c r="AG769" s="6">
        <v>0</v>
      </c>
      <c r="AH769" s="6">
        <v>0</v>
      </c>
      <c r="AI769" s="6">
        <v>0</v>
      </c>
      <c r="AJ769" s="6">
        <v>7224131.19803093</v>
      </c>
      <c r="AK769" s="6">
        <v>16614.2216882504</v>
      </c>
      <c r="AL769" s="6">
        <v>330.98244656580999</v>
      </c>
      <c r="AM769" s="6">
        <v>93035.839999999997</v>
      </c>
      <c r="AN769" s="6">
        <v>9583.2122577447208</v>
      </c>
      <c r="AO769" s="6">
        <v>34706.718404924402</v>
      </c>
      <c r="AP769" s="6">
        <v>330.98244656580999</v>
      </c>
      <c r="AQ769" s="6">
        <v>93035.839999999997</v>
      </c>
      <c r="AR769" s="6">
        <v>9583.2122577447208</v>
      </c>
      <c r="AS769" s="6">
        <v>34706.718404924402</v>
      </c>
      <c r="AT769" s="6">
        <v>0</v>
      </c>
      <c r="AU769" t="s">
        <v>2973</v>
      </c>
      <c r="AV769" t="s">
        <v>2973</v>
      </c>
    </row>
    <row r="770" spans="1:48" x14ac:dyDescent="0.45">
      <c r="A770" s="5" t="s">
        <v>1561</v>
      </c>
      <c r="B770">
        <v>1924</v>
      </c>
      <c r="C770" t="s">
        <v>1555</v>
      </c>
      <c r="D770">
        <v>4475</v>
      </c>
      <c r="E770" t="s">
        <v>1562</v>
      </c>
      <c r="F770" t="s">
        <v>3</v>
      </c>
      <c r="G770" t="s">
        <v>2740</v>
      </c>
      <c r="H770" t="s">
        <v>2741</v>
      </c>
      <c r="I770" t="s">
        <v>2742</v>
      </c>
      <c r="J770">
        <v>216.88927392480599</v>
      </c>
      <c r="K770">
        <v>1</v>
      </c>
      <c r="L770">
        <v>1</v>
      </c>
      <c r="M770">
        <v>2</v>
      </c>
      <c r="N770" s="6">
        <v>520826.89834570402</v>
      </c>
      <c r="O770" s="6">
        <v>299305.47790419398</v>
      </c>
      <c r="P770" s="6">
        <v>428140.57764995302</v>
      </c>
      <c r="Q770" s="6">
        <v>99625.742155039596</v>
      </c>
      <c r="R770" s="6">
        <v>620008.04339807504</v>
      </c>
      <c r="S770" s="6">
        <v>110589.20899658601</v>
      </c>
      <c r="T770" s="6">
        <v>0</v>
      </c>
      <c r="U770" s="6">
        <v>1967906.73945297</v>
      </c>
      <c r="V770" s="6">
        <v>1133917.8180478299</v>
      </c>
      <c r="W770" s="6">
        <v>274691.61103364802</v>
      </c>
      <c r="X770" s="6">
        <v>0</v>
      </c>
      <c r="Y770" s="6">
        <v>0</v>
      </c>
      <c r="Z770" s="6">
        <v>20871.423809443899</v>
      </c>
      <c r="AA770" s="6">
        <v>484041.99886286299</v>
      </c>
      <c r="AB770" s="6">
        <v>54383.887699184597</v>
      </c>
      <c r="AC770" s="6">
        <v>95486.087291178294</v>
      </c>
      <c r="AD770" s="6">
        <v>15103.121705408201</v>
      </c>
      <c r="AE770" s="6">
        <v>0</v>
      </c>
      <c r="AF770" s="6">
        <v>0</v>
      </c>
      <c r="AG770" s="6">
        <v>0</v>
      </c>
      <c r="AH770" s="6">
        <v>0</v>
      </c>
      <c r="AI770" s="6">
        <v>0</v>
      </c>
      <c r="AJ770" s="6">
        <v>2078495.94844955</v>
      </c>
      <c r="AK770" s="6">
        <v>9583.2122577447208</v>
      </c>
      <c r="AL770" s="6">
        <v>330.98244656580999</v>
      </c>
      <c r="AM770" s="6">
        <v>93035.839999999997</v>
      </c>
      <c r="AN770" s="6">
        <v>9583.2122577447208</v>
      </c>
      <c r="AO770" s="6">
        <v>34706.718404924402</v>
      </c>
      <c r="AP770" s="6">
        <v>330.98244656580999</v>
      </c>
      <c r="AQ770" s="6">
        <v>93035.839999999997</v>
      </c>
      <c r="AR770" s="6">
        <v>9583.2122577447208</v>
      </c>
      <c r="AS770" s="6">
        <v>34706.718404924402</v>
      </c>
      <c r="AT770" s="6">
        <v>0</v>
      </c>
      <c r="AU770" t="s">
        <v>2973</v>
      </c>
      <c r="AV770" t="s">
        <v>2976</v>
      </c>
    </row>
    <row r="771" spans="1:48" x14ac:dyDescent="0.45">
      <c r="A771" s="5" t="s">
        <v>1563</v>
      </c>
      <c r="B771">
        <v>1924</v>
      </c>
      <c r="C771" t="s">
        <v>1555</v>
      </c>
      <c r="D771">
        <v>85</v>
      </c>
      <c r="E771" t="s">
        <v>1564</v>
      </c>
      <c r="F771" t="s">
        <v>2739</v>
      </c>
      <c r="G771" t="s">
        <v>2744</v>
      </c>
      <c r="H771" t="s">
        <v>2741</v>
      </c>
      <c r="I771" t="s">
        <v>2742</v>
      </c>
      <c r="J771">
        <v>2489.49765165995</v>
      </c>
      <c r="K771">
        <v>1</v>
      </c>
      <c r="L771">
        <v>1</v>
      </c>
      <c r="M771">
        <v>2</v>
      </c>
      <c r="N771" s="6">
        <v>14225329.683966599</v>
      </c>
      <c r="O771" s="6">
        <v>9738293.5955071803</v>
      </c>
      <c r="P771" s="6">
        <v>5966877.6348897703</v>
      </c>
      <c r="Q771" s="6">
        <v>1218466.3504810301</v>
      </c>
      <c r="R771" s="6">
        <v>7116574.0016489299</v>
      </c>
      <c r="S771" s="6">
        <v>1269364.6445207901</v>
      </c>
      <c r="T771" s="6">
        <v>15677521.5</v>
      </c>
      <c r="U771" s="6">
        <v>22588019.766493499</v>
      </c>
      <c r="V771" s="6">
        <v>25874311.672315001</v>
      </c>
      <c r="W771" s="6">
        <v>5971505.3009786699</v>
      </c>
      <c r="X771" s="6">
        <v>0</v>
      </c>
      <c r="Y771" s="6">
        <v>0</v>
      </c>
      <c r="Z771" s="6">
        <v>239566.29860093599</v>
      </c>
      <c r="AA771" s="6">
        <v>5555929.05849119</v>
      </c>
      <c r="AB771" s="6">
        <v>624228.93610772502</v>
      </c>
      <c r="AC771" s="6">
        <v>1096008.04952668</v>
      </c>
      <c r="AD771" s="6">
        <v>173356.59499410499</v>
      </c>
      <c r="AE771" s="6">
        <v>0</v>
      </c>
      <c r="AF771" s="6">
        <v>0</v>
      </c>
      <c r="AG771" s="6">
        <v>0</v>
      </c>
      <c r="AH771" s="6">
        <v>0</v>
      </c>
      <c r="AI771" s="6">
        <v>0</v>
      </c>
      <c r="AJ771" s="6">
        <v>39534905.911014304</v>
      </c>
      <c r="AK771" s="6">
        <v>15880.676121406799</v>
      </c>
      <c r="AL771" s="6">
        <v>330.98244656580999</v>
      </c>
      <c r="AM771" s="6">
        <v>93035.839999999997</v>
      </c>
      <c r="AN771" s="6">
        <v>9583.2122577447208</v>
      </c>
      <c r="AO771" s="6">
        <v>34706.718404924402</v>
      </c>
      <c r="AP771" s="6">
        <v>330.98244656580999</v>
      </c>
      <c r="AQ771" s="6">
        <v>40734.411818744898</v>
      </c>
      <c r="AR771" s="6">
        <v>9583.2122577447208</v>
      </c>
      <c r="AS771" s="6">
        <v>24303.218842390001</v>
      </c>
      <c r="AT771" s="6">
        <v>0</v>
      </c>
      <c r="AU771" t="s">
        <v>2973</v>
      </c>
      <c r="AV771" t="s">
        <v>2973</v>
      </c>
    </row>
    <row r="772" spans="1:48" x14ac:dyDescent="0.45">
      <c r="A772" s="5" t="s">
        <v>1565</v>
      </c>
      <c r="B772">
        <v>1924</v>
      </c>
      <c r="C772" t="s">
        <v>1555</v>
      </c>
      <c r="D772">
        <v>4226</v>
      </c>
      <c r="E772" t="s">
        <v>1566</v>
      </c>
      <c r="F772" t="s">
        <v>3</v>
      </c>
      <c r="G772" t="s">
        <v>2744</v>
      </c>
      <c r="H772" t="s">
        <v>2741</v>
      </c>
      <c r="I772" t="s">
        <v>2742</v>
      </c>
      <c r="J772">
        <v>294.07464270645397</v>
      </c>
      <c r="K772">
        <v>1</v>
      </c>
      <c r="L772">
        <v>1</v>
      </c>
      <c r="M772">
        <v>2</v>
      </c>
      <c r="N772" s="6">
        <v>706175.92687420896</v>
      </c>
      <c r="O772" s="6">
        <v>405820.67467880301</v>
      </c>
      <c r="P772" s="6">
        <v>580504.905208893</v>
      </c>
      <c r="Q772" s="6">
        <v>135080.00648647</v>
      </c>
      <c r="R772" s="6">
        <v>840653.11547231697</v>
      </c>
      <c r="S772" s="6">
        <v>149945.09195570301</v>
      </c>
      <c r="T772" s="6">
        <v>0</v>
      </c>
      <c r="U772" s="6">
        <v>2668234.62872069</v>
      </c>
      <c r="V772" s="6">
        <v>1537450.2904947901</v>
      </c>
      <c r="W772" s="6">
        <v>372447.35946318001</v>
      </c>
      <c r="X772" s="6">
        <v>0</v>
      </c>
      <c r="Y772" s="6">
        <v>0</v>
      </c>
      <c r="Z772" s="6">
        <v>28299.031982859298</v>
      </c>
      <c r="AA772" s="6">
        <v>656300.21851548296</v>
      </c>
      <c r="AB772" s="6">
        <v>73737.728264378296</v>
      </c>
      <c r="AC772" s="6">
        <v>129467.15388666801</v>
      </c>
      <c r="AD772" s="6">
        <v>20477.938069034401</v>
      </c>
      <c r="AE772" s="6">
        <v>0</v>
      </c>
      <c r="AF772" s="6">
        <v>0</v>
      </c>
      <c r="AG772" s="6">
        <v>0</v>
      </c>
      <c r="AH772" s="6">
        <v>0</v>
      </c>
      <c r="AI772" s="6">
        <v>0</v>
      </c>
      <c r="AJ772" s="6">
        <v>2818179.7206763998</v>
      </c>
      <c r="AK772" s="6">
        <v>9583.2122577447208</v>
      </c>
      <c r="AL772" s="6">
        <v>330.98244656580999</v>
      </c>
      <c r="AM772" s="6">
        <v>93035.839999999997</v>
      </c>
      <c r="AN772" s="6">
        <v>9583.2122577447208</v>
      </c>
      <c r="AO772" s="6">
        <v>34706.718404924402</v>
      </c>
      <c r="AP772" s="6">
        <v>330.98244656580999</v>
      </c>
      <c r="AQ772" s="6">
        <v>40734.411818744898</v>
      </c>
      <c r="AR772" s="6">
        <v>9583.2122577447208</v>
      </c>
      <c r="AS772" s="6">
        <v>24303.218842390001</v>
      </c>
      <c r="AT772" s="6">
        <v>0</v>
      </c>
      <c r="AU772" t="s">
        <v>2973</v>
      </c>
      <c r="AV772" t="s">
        <v>2976</v>
      </c>
    </row>
    <row r="773" spans="1:48" x14ac:dyDescent="0.45">
      <c r="A773" s="5" t="s">
        <v>1567</v>
      </c>
      <c r="B773">
        <v>1924</v>
      </c>
      <c r="C773" t="s">
        <v>1555</v>
      </c>
      <c r="D773">
        <v>4223</v>
      </c>
      <c r="E773" t="s">
        <v>1568</v>
      </c>
      <c r="F773" t="s">
        <v>3</v>
      </c>
      <c r="G773" t="s">
        <v>2748</v>
      </c>
      <c r="H773" t="s">
        <v>2749</v>
      </c>
      <c r="I773" t="s">
        <v>2742</v>
      </c>
      <c r="J773">
        <v>459.85614510958698</v>
      </c>
      <c r="K773">
        <v>1</v>
      </c>
      <c r="L773">
        <v>1</v>
      </c>
      <c r="M773">
        <v>2</v>
      </c>
      <c r="N773" s="6">
        <v>1104275.2156829699</v>
      </c>
      <c r="O773" s="6">
        <v>634597.83321015397</v>
      </c>
      <c r="P773" s="6">
        <v>907758.47067180101</v>
      </c>
      <c r="Q773" s="6">
        <v>211229.946562417</v>
      </c>
      <c r="R773" s="6">
        <v>1314562.51208081</v>
      </c>
      <c r="S773" s="6">
        <v>234475.068405272</v>
      </c>
      <c r="T773" s="6">
        <v>0</v>
      </c>
      <c r="U773" s="6">
        <v>4172423.97820816</v>
      </c>
      <c r="V773" s="6">
        <v>2404171.8027020898</v>
      </c>
      <c r="W773" s="6">
        <v>582410.66078569298</v>
      </c>
      <c r="X773" s="6">
        <v>0</v>
      </c>
      <c r="Y773" s="6">
        <v>0</v>
      </c>
      <c r="Z773" s="6">
        <v>44252.315120418803</v>
      </c>
      <c r="AA773" s="6">
        <v>1026282.59867468</v>
      </c>
      <c r="AB773" s="6">
        <v>115306.600925273</v>
      </c>
      <c r="AC773" s="6">
        <v>202452.907046671</v>
      </c>
      <c r="AD773" s="6">
        <v>32022.161358600901</v>
      </c>
      <c r="AE773" s="6">
        <v>0</v>
      </c>
      <c r="AF773" s="6">
        <v>0</v>
      </c>
      <c r="AG773" s="6">
        <v>0</v>
      </c>
      <c r="AH773" s="6">
        <v>0</v>
      </c>
      <c r="AI773" s="6">
        <v>0</v>
      </c>
      <c r="AJ773" s="6">
        <v>4406899.0466134297</v>
      </c>
      <c r="AK773" s="6">
        <v>9583.2122577447299</v>
      </c>
      <c r="AL773" s="6">
        <v>330.98244656580999</v>
      </c>
      <c r="AM773" s="6">
        <v>93035.839999999997</v>
      </c>
      <c r="AN773" s="6">
        <v>9583.2122577447208</v>
      </c>
      <c r="AO773" s="6">
        <v>34706.718404924402</v>
      </c>
      <c r="AP773" s="6">
        <v>330.98244656580999</v>
      </c>
      <c r="AQ773" s="6">
        <v>56162.493707719797</v>
      </c>
      <c r="AR773" s="6">
        <v>9583.2122577447299</v>
      </c>
      <c r="AS773" s="6">
        <v>9583.2122577447299</v>
      </c>
      <c r="AT773" s="6">
        <v>0</v>
      </c>
      <c r="AU773" t="s">
        <v>2973</v>
      </c>
      <c r="AV773" t="s">
        <v>2976</v>
      </c>
    </row>
    <row r="774" spans="1:48" x14ac:dyDescent="0.45">
      <c r="A774" s="5" t="s">
        <v>1569</v>
      </c>
      <c r="B774">
        <v>1924</v>
      </c>
      <c r="C774" t="s">
        <v>1555</v>
      </c>
      <c r="D774">
        <v>4005</v>
      </c>
      <c r="E774" t="s">
        <v>1570</v>
      </c>
      <c r="F774" t="s">
        <v>2739</v>
      </c>
      <c r="G774" t="s">
        <v>2740</v>
      </c>
      <c r="H774" t="s">
        <v>2741</v>
      </c>
      <c r="I774" t="s">
        <v>2742</v>
      </c>
      <c r="J774">
        <v>293.88404802742201</v>
      </c>
      <c r="K774">
        <v>4</v>
      </c>
      <c r="L774">
        <v>1</v>
      </c>
      <c r="M774">
        <v>2</v>
      </c>
      <c r="N774" s="6">
        <v>2128603.3724819599</v>
      </c>
      <c r="O774" s="6">
        <v>634856.07553331298</v>
      </c>
      <c r="P774" s="6">
        <v>580128.67030109302</v>
      </c>
      <c r="Q774" s="6">
        <v>134992.45888208301</v>
      </c>
      <c r="R774" s="6">
        <v>840108.27417200501</v>
      </c>
      <c r="S774" s="6">
        <v>149847.910041578</v>
      </c>
      <c r="T774" s="6">
        <v>1652183.55</v>
      </c>
      <c r="U774" s="6">
        <v>2666505.3013704498</v>
      </c>
      <c r="V774" s="6">
        <v>3105184.1233276702</v>
      </c>
      <c r="W774" s="6">
        <v>455659.24011971301</v>
      </c>
      <c r="X774" s="6">
        <v>0</v>
      </c>
      <c r="Y774" s="6">
        <v>0</v>
      </c>
      <c r="Z774" s="6">
        <v>28280.690908402601</v>
      </c>
      <c r="AA774" s="6">
        <v>655874.85940139601</v>
      </c>
      <c r="AB774" s="6">
        <v>73689.937613264105</v>
      </c>
      <c r="AC774" s="6">
        <v>129383.244065634</v>
      </c>
      <c r="AD774" s="6">
        <v>20464.665975944001</v>
      </c>
      <c r="AE774" s="6">
        <v>0</v>
      </c>
      <c r="AF774" s="6">
        <v>0</v>
      </c>
      <c r="AG774" s="6">
        <v>0</v>
      </c>
      <c r="AH774" s="6">
        <v>0</v>
      </c>
      <c r="AI774" s="6">
        <v>0</v>
      </c>
      <c r="AJ774" s="6">
        <v>4468536.7614120301</v>
      </c>
      <c r="AK774" s="6">
        <v>15205.101438493401</v>
      </c>
      <c r="AL774" s="6">
        <v>330.98244656580999</v>
      </c>
      <c r="AM774" s="6">
        <v>93035.839999999997</v>
      </c>
      <c r="AN774" s="6">
        <v>9583.2122577447208</v>
      </c>
      <c r="AO774" s="6">
        <v>34706.718404924402</v>
      </c>
      <c r="AP774" s="6">
        <v>330.98244656580999</v>
      </c>
      <c r="AQ774" s="6">
        <v>93035.839999999997</v>
      </c>
      <c r="AR774" s="6">
        <v>9583.2122577447208</v>
      </c>
      <c r="AS774" s="6">
        <v>34706.718404924402</v>
      </c>
      <c r="AT774" s="6">
        <v>0</v>
      </c>
      <c r="AU774" t="s">
        <v>2973</v>
      </c>
      <c r="AV774" t="s">
        <v>2973</v>
      </c>
    </row>
    <row r="775" spans="1:48" x14ac:dyDescent="0.45">
      <c r="A775" s="5" t="s">
        <v>1571</v>
      </c>
      <c r="B775">
        <v>1924</v>
      </c>
      <c r="C775" t="s">
        <v>1555</v>
      </c>
      <c r="D775">
        <v>4763</v>
      </c>
      <c r="E775" t="s">
        <v>1572</v>
      </c>
      <c r="F775" t="s">
        <v>2739</v>
      </c>
      <c r="G775" t="s">
        <v>2740</v>
      </c>
      <c r="H775" t="s">
        <v>2741</v>
      </c>
      <c r="I775" t="s">
        <v>2742</v>
      </c>
      <c r="J775">
        <v>443.99028016007401</v>
      </c>
      <c r="K775">
        <v>1</v>
      </c>
      <c r="L775">
        <v>1</v>
      </c>
      <c r="M775">
        <v>2</v>
      </c>
      <c r="N775" s="6">
        <v>3145817.9425610402</v>
      </c>
      <c r="O775" s="6">
        <v>1025037.51540931</v>
      </c>
      <c r="P775" s="6">
        <v>990357.13906929095</v>
      </c>
      <c r="Q775" s="6">
        <v>203942.13309924499</v>
      </c>
      <c r="R775" s="6">
        <v>1269207.73862357</v>
      </c>
      <c r="S775" s="6">
        <v>226385.25638708301</v>
      </c>
      <c r="T775" s="6">
        <v>2605894.63</v>
      </c>
      <c r="U775" s="6">
        <v>4028467.8387624598</v>
      </c>
      <c r="V775" s="6">
        <v>4926693.2169426596</v>
      </c>
      <c r="W775" s="6">
        <v>562741.40439334698</v>
      </c>
      <c r="X775" s="6">
        <v>0</v>
      </c>
      <c r="Y775" s="6">
        <v>0</v>
      </c>
      <c r="Z775" s="6">
        <v>42725.530575142002</v>
      </c>
      <c r="AA775" s="6">
        <v>990874.00126053602</v>
      </c>
      <c r="AB775" s="6">
        <v>111328.31559077599</v>
      </c>
      <c r="AC775" s="6">
        <v>195467.917249322</v>
      </c>
      <c r="AD775" s="6">
        <v>30917.339137760599</v>
      </c>
      <c r="AE775" s="6">
        <v>0</v>
      </c>
      <c r="AF775" s="6">
        <v>0</v>
      </c>
      <c r="AG775" s="6">
        <v>0</v>
      </c>
      <c r="AH775" s="6">
        <v>0</v>
      </c>
      <c r="AI775" s="6">
        <v>0</v>
      </c>
      <c r="AJ775" s="6">
        <v>6860747.7251495402</v>
      </c>
      <c r="AK775" s="6">
        <v>15452.4727943954</v>
      </c>
      <c r="AL775" s="6">
        <v>330.98244656580999</v>
      </c>
      <c r="AM775" s="6">
        <v>93035.839999999997</v>
      </c>
      <c r="AN775" s="6">
        <v>9583.2122577447208</v>
      </c>
      <c r="AO775" s="6">
        <v>34706.718404924402</v>
      </c>
      <c r="AP775" s="6">
        <v>330.98244656580999</v>
      </c>
      <c r="AQ775" s="6">
        <v>93035.839999999997</v>
      </c>
      <c r="AR775" s="6">
        <v>9583.2122577447208</v>
      </c>
      <c r="AS775" s="6">
        <v>34706.718404924402</v>
      </c>
      <c r="AT775" s="6">
        <v>0</v>
      </c>
      <c r="AU775" t="s">
        <v>2973</v>
      </c>
      <c r="AV775" t="s">
        <v>2973</v>
      </c>
    </row>
    <row r="776" spans="1:48" x14ac:dyDescent="0.45">
      <c r="A776" s="5" t="s">
        <v>1573</v>
      </c>
      <c r="B776">
        <v>1924</v>
      </c>
      <c r="C776" t="s">
        <v>1555</v>
      </c>
      <c r="D776">
        <v>4715</v>
      </c>
      <c r="E776" t="s">
        <v>1574</v>
      </c>
      <c r="F776" t="s">
        <v>2739</v>
      </c>
      <c r="G776" t="s">
        <v>2747</v>
      </c>
      <c r="H776" t="s">
        <v>2741</v>
      </c>
      <c r="I776" t="s">
        <v>2742</v>
      </c>
      <c r="J776">
        <v>1142.75131445944</v>
      </c>
      <c r="K776">
        <v>1</v>
      </c>
      <c r="L776">
        <v>1</v>
      </c>
      <c r="M776">
        <v>2</v>
      </c>
      <c r="N776" s="6">
        <v>2744145.0281065102</v>
      </c>
      <c r="O776" s="6">
        <v>1576987.7509872101</v>
      </c>
      <c r="P776" s="6">
        <v>2255797.1587499101</v>
      </c>
      <c r="Q776" s="6">
        <v>524910.45657305804</v>
      </c>
      <c r="R776" s="6">
        <v>3266712.9809942301</v>
      </c>
      <c r="S776" s="6">
        <v>582675.02887068898</v>
      </c>
      <c r="T776" s="6">
        <v>0</v>
      </c>
      <c r="U776" s="6">
        <v>10368553.3754109</v>
      </c>
      <c r="V776" s="6">
        <v>5974412.9048648803</v>
      </c>
      <c r="W776" s="6">
        <v>1447301.62953338</v>
      </c>
      <c r="X776" s="6">
        <v>0</v>
      </c>
      <c r="Y776" s="6">
        <v>0</v>
      </c>
      <c r="Z776" s="6">
        <v>109967.849314443</v>
      </c>
      <c r="AA776" s="6">
        <v>2550331.8833824899</v>
      </c>
      <c r="AB776" s="6">
        <v>286539.10831571999</v>
      </c>
      <c r="AC776" s="6">
        <v>503099.34553247201</v>
      </c>
      <c r="AD776" s="6">
        <v>79575.683338216797</v>
      </c>
      <c r="AE776" s="6">
        <v>0</v>
      </c>
      <c r="AF776" s="6">
        <v>0</v>
      </c>
      <c r="AG776" s="6">
        <v>0</v>
      </c>
      <c r="AH776" s="6">
        <v>0</v>
      </c>
      <c r="AI776" s="6">
        <v>0</v>
      </c>
      <c r="AJ776" s="6">
        <v>10951228.404281599</v>
      </c>
      <c r="AK776" s="6">
        <v>9583.2122577447208</v>
      </c>
      <c r="AL776" s="6">
        <v>330.98244656580999</v>
      </c>
      <c r="AM776" s="6">
        <v>93035.839999999997</v>
      </c>
      <c r="AN776" s="6">
        <v>9583.2122577447208</v>
      </c>
      <c r="AO776" s="6">
        <v>34706.718404924402</v>
      </c>
      <c r="AP776" s="6">
        <v>3753.1860850462999</v>
      </c>
      <c r="AQ776" s="6">
        <v>20687.885194392002</v>
      </c>
      <c r="AR776" s="6">
        <v>9583.2122577447208</v>
      </c>
      <c r="AS776" s="6">
        <v>15814.5463195786</v>
      </c>
      <c r="AT776" s="6">
        <v>0</v>
      </c>
      <c r="AU776" t="s">
        <v>2973</v>
      </c>
      <c r="AV776" t="s">
        <v>2976</v>
      </c>
    </row>
    <row r="777" spans="1:48" x14ac:dyDescent="0.45">
      <c r="A777" s="5" t="s">
        <v>1575</v>
      </c>
      <c r="B777">
        <v>1924</v>
      </c>
      <c r="C777" t="s">
        <v>1555</v>
      </c>
      <c r="D777">
        <v>4764</v>
      </c>
      <c r="E777" t="s">
        <v>1576</v>
      </c>
      <c r="F777" t="s">
        <v>2739</v>
      </c>
      <c r="G777" t="s">
        <v>2740</v>
      </c>
      <c r="H777" t="s">
        <v>2741</v>
      </c>
      <c r="I777" t="s">
        <v>2742</v>
      </c>
      <c r="J777">
        <v>349.91663807886499</v>
      </c>
      <c r="K777">
        <v>2</v>
      </c>
      <c r="L777">
        <v>2</v>
      </c>
      <c r="M777">
        <v>2</v>
      </c>
      <c r="N777" s="6">
        <v>2699268.3413715302</v>
      </c>
      <c r="O777" s="6">
        <v>950747.14541933802</v>
      </c>
      <c r="P777" s="6">
        <v>897605.32039944001</v>
      </c>
      <c r="Q777" s="6">
        <v>160730.42308717099</v>
      </c>
      <c r="R777" s="6">
        <v>1000285.1971505299</v>
      </c>
      <c r="S777" s="6">
        <v>178418.24779819499</v>
      </c>
      <c r="T777" s="6">
        <v>2533729.2599999998</v>
      </c>
      <c r="U777" s="6">
        <v>3174907.1674280101</v>
      </c>
      <c r="V777" s="6">
        <v>4190745.0703315702</v>
      </c>
      <c r="W777" s="6">
        <v>615553.35305298399</v>
      </c>
      <c r="X777" s="6">
        <v>0</v>
      </c>
      <c r="Y777" s="6">
        <v>0</v>
      </c>
      <c r="Z777" s="6">
        <v>33672.750704360697</v>
      </c>
      <c r="AA777" s="6">
        <v>780925.42736709001</v>
      </c>
      <c r="AB777" s="6">
        <v>87739.825972006103</v>
      </c>
      <c r="AC777" s="6">
        <v>154051.74282531801</v>
      </c>
      <c r="AD777" s="6">
        <v>24366.504972876501</v>
      </c>
      <c r="AE777" s="6">
        <v>0</v>
      </c>
      <c r="AF777" s="6">
        <v>0</v>
      </c>
      <c r="AG777" s="6">
        <v>0</v>
      </c>
      <c r="AH777" s="6">
        <v>0</v>
      </c>
      <c r="AI777" s="6">
        <v>0</v>
      </c>
      <c r="AJ777" s="6">
        <v>5887054.6752262004</v>
      </c>
      <c r="AK777" s="6">
        <v>16824.163342296899</v>
      </c>
      <c r="AL777" s="6">
        <v>330.98244656580999</v>
      </c>
      <c r="AM777" s="6">
        <v>93035.839999999997</v>
      </c>
      <c r="AN777" s="6">
        <v>9583.2122577447208</v>
      </c>
      <c r="AO777" s="6">
        <v>34706.718404924402</v>
      </c>
      <c r="AP777" s="6">
        <v>330.98244656580999</v>
      </c>
      <c r="AQ777" s="6">
        <v>93035.839999999997</v>
      </c>
      <c r="AR777" s="6">
        <v>9583.2122577447208</v>
      </c>
      <c r="AS777" s="6">
        <v>34706.718404924402</v>
      </c>
      <c r="AT777" s="6">
        <v>0</v>
      </c>
      <c r="AU777" t="s">
        <v>2973</v>
      </c>
      <c r="AV777" t="s">
        <v>2973</v>
      </c>
    </row>
    <row r="778" spans="1:48" x14ac:dyDescent="0.45">
      <c r="A778" s="5" t="s">
        <v>1577</v>
      </c>
      <c r="B778">
        <v>1924</v>
      </c>
      <c r="C778" t="s">
        <v>1555</v>
      </c>
      <c r="D778">
        <v>4765</v>
      </c>
      <c r="E778" t="s">
        <v>1578</v>
      </c>
      <c r="F778" t="s">
        <v>2739</v>
      </c>
      <c r="G778" t="s">
        <v>2740</v>
      </c>
      <c r="H778" t="s">
        <v>2741</v>
      </c>
      <c r="I778" t="s">
        <v>2742</v>
      </c>
      <c r="J778">
        <v>303.28462697660501</v>
      </c>
      <c r="K778">
        <v>2</v>
      </c>
      <c r="L778">
        <v>1</v>
      </c>
      <c r="M778">
        <v>2</v>
      </c>
      <c r="N778" s="6">
        <v>728292.31582435197</v>
      </c>
      <c r="O778" s="6">
        <v>418530.379928788</v>
      </c>
      <c r="P778" s="6">
        <v>598685.46303092805</v>
      </c>
      <c r="Q778" s="6">
        <v>139310.51314798501</v>
      </c>
      <c r="R778" s="6">
        <v>866981.13171641703</v>
      </c>
      <c r="S778" s="6">
        <v>154641.151179268</v>
      </c>
      <c r="T778" s="6">
        <v>0</v>
      </c>
      <c r="U778" s="6">
        <v>2751799.80364847</v>
      </c>
      <c r="V778" s="6">
        <v>1585600.9670076601</v>
      </c>
      <c r="W778" s="6">
        <v>384111.86168120801</v>
      </c>
      <c r="X778" s="6">
        <v>0</v>
      </c>
      <c r="Y778" s="6">
        <v>0</v>
      </c>
      <c r="Z778" s="6">
        <v>29185.315944726699</v>
      </c>
      <c r="AA778" s="6">
        <v>676854.57380907296</v>
      </c>
      <c r="AB778" s="6">
        <v>76047.085205804498</v>
      </c>
      <c r="AC778" s="6">
        <v>133521.87427950301</v>
      </c>
      <c r="AD778" s="6">
        <v>21119.2768997651</v>
      </c>
      <c r="AE778" s="6">
        <v>0</v>
      </c>
      <c r="AF778" s="6">
        <v>0</v>
      </c>
      <c r="AG778" s="6">
        <v>0</v>
      </c>
      <c r="AH778" s="6">
        <v>0</v>
      </c>
      <c r="AI778" s="6">
        <v>0</v>
      </c>
      <c r="AJ778" s="6">
        <v>2906440.9548277399</v>
      </c>
      <c r="AK778" s="6">
        <v>9583.2122577447208</v>
      </c>
      <c r="AL778" s="6">
        <v>330.98244656580999</v>
      </c>
      <c r="AM778" s="6">
        <v>93035.839999999997</v>
      </c>
      <c r="AN778" s="6">
        <v>9583.2122577447208</v>
      </c>
      <c r="AO778" s="6">
        <v>34706.718404924402</v>
      </c>
      <c r="AP778" s="6">
        <v>330.98244656580999</v>
      </c>
      <c r="AQ778" s="6">
        <v>93035.839999999997</v>
      </c>
      <c r="AR778" s="6">
        <v>9583.2122577447208</v>
      </c>
      <c r="AS778" s="6">
        <v>34706.718404924402</v>
      </c>
      <c r="AT778" s="6">
        <v>0</v>
      </c>
      <c r="AU778" t="s">
        <v>2973</v>
      </c>
      <c r="AV778" t="s">
        <v>2976</v>
      </c>
    </row>
    <row r="779" spans="1:48" x14ac:dyDescent="0.45">
      <c r="A779" s="5" t="s">
        <v>1579</v>
      </c>
      <c r="B779">
        <v>1924</v>
      </c>
      <c r="C779" t="s">
        <v>1555</v>
      </c>
      <c r="D779">
        <v>4369</v>
      </c>
      <c r="E779" t="s">
        <v>1580</v>
      </c>
      <c r="F779" t="s">
        <v>3</v>
      </c>
      <c r="G779" t="s">
        <v>2744</v>
      </c>
      <c r="H779" t="s">
        <v>2741</v>
      </c>
      <c r="I779" t="s">
        <v>2742</v>
      </c>
      <c r="J779">
        <v>291.71554621844803</v>
      </c>
      <c r="K779">
        <v>1</v>
      </c>
      <c r="L779">
        <v>1</v>
      </c>
      <c r="M779">
        <v>2</v>
      </c>
      <c r="N779" s="6">
        <v>703741.06225862901</v>
      </c>
      <c r="O779" s="6">
        <v>403999.02023494901</v>
      </c>
      <c r="P779" s="6">
        <v>575848.03622302902</v>
      </c>
      <c r="Q779" s="6">
        <v>133996.38103012601</v>
      </c>
      <c r="R779" s="6">
        <v>3201520.3112663799</v>
      </c>
      <c r="S779" s="6">
        <v>148742.21728221499</v>
      </c>
      <c r="T779" s="6">
        <v>2372275.0299999998</v>
      </c>
      <c r="U779" s="6">
        <v>2646829.7810131102</v>
      </c>
      <c r="V779" s="6">
        <v>1529780.73896797</v>
      </c>
      <c r="W779" s="6">
        <v>369459.54912499402</v>
      </c>
      <c r="X779" s="6">
        <v>0</v>
      </c>
      <c r="Y779" s="6">
        <v>0</v>
      </c>
      <c r="Z779" s="6">
        <v>28072.014289833001</v>
      </c>
      <c r="AA779" s="6">
        <v>651035.31187025702</v>
      </c>
      <c r="AB779" s="6">
        <v>2440757.1967600598</v>
      </c>
      <c r="AC779" s="6">
        <v>128428.555300829</v>
      </c>
      <c r="AD779" s="6">
        <v>20313.6619813865</v>
      </c>
      <c r="AE779" s="6">
        <v>0</v>
      </c>
      <c r="AF779" s="6">
        <v>0</v>
      </c>
      <c r="AG779" s="6">
        <v>0</v>
      </c>
      <c r="AH779" s="6">
        <v>0</v>
      </c>
      <c r="AI779" s="6">
        <v>0</v>
      </c>
      <c r="AJ779" s="6">
        <v>5167847.0282953205</v>
      </c>
      <c r="AK779" s="6">
        <v>17715.363803153101</v>
      </c>
      <c r="AL779" s="6">
        <v>330.98244656580999</v>
      </c>
      <c r="AM779" s="6">
        <v>93035.839999999997</v>
      </c>
      <c r="AN779" s="6">
        <v>9583.2122577447208</v>
      </c>
      <c r="AO779" s="6">
        <v>34706.718404924402</v>
      </c>
      <c r="AP779" s="6">
        <v>330.98244656580999</v>
      </c>
      <c r="AQ779" s="6">
        <v>40734.411818744898</v>
      </c>
      <c r="AR779" s="6">
        <v>9583.2122577447208</v>
      </c>
      <c r="AS779" s="6">
        <v>24303.218842390001</v>
      </c>
      <c r="AT779" s="6">
        <v>0</v>
      </c>
      <c r="AU779" t="s">
        <v>2973</v>
      </c>
      <c r="AV779" t="s">
        <v>2973</v>
      </c>
    </row>
    <row r="780" spans="1:48" x14ac:dyDescent="0.45">
      <c r="A780" s="5" t="s">
        <v>1581</v>
      </c>
      <c r="B780">
        <v>1924</v>
      </c>
      <c r="C780" t="s">
        <v>1555</v>
      </c>
      <c r="D780">
        <v>73</v>
      </c>
      <c r="E780" t="s">
        <v>1582</v>
      </c>
      <c r="F780" t="s">
        <v>2739</v>
      </c>
      <c r="G780" t="s">
        <v>2740</v>
      </c>
      <c r="H780" t="s">
        <v>2741</v>
      </c>
      <c r="I780" t="s">
        <v>2742</v>
      </c>
      <c r="J780">
        <v>158.34024744378999</v>
      </c>
      <c r="K780">
        <v>1</v>
      </c>
      <c r="L780">
        <v>2</v>
      </c>
      <c r="M780">
        <v>2</v>
      </c>
      <c r="N780" s="6">
        <v>3136987.8666876401</v>
      </c>
      <c r="O780" s="6">
        <v>974544.63570278801</v>
      </c>
      <c r="P780" s="6">
        <v>777832.68868616701</v>
      </c>
      <c r="Q780" s="6">
        <v>72731.880093200103</v>
      </c>
      <c r="R780" s="6">
        <v>452637.53818839003</v>
      </c>
      <c r="S780" s="6">
        <v>80735.770839471705</v>
      </c>
      <c r="T780" s="6">
        <v>3978062.18</v>
      </c>
      <c r="U780" s="6">
        <v>1436672.4293581899</v>
      </c>
      <c r="V780" s="6">
        <v>4619254.2812903998</v>
      </c>
      <c r="W780" s="6">
        <v>387164.72575003898</v>
      </c>
      <c r="X780" s="6">
        <v>0</v>
      </c>
      <c r="Y780" s="6">
        <v>0</v>
      </c>
      <c r="Z780" s="6">
        <v>15237.205375298199</v>
      </c>
      <c r="AA780" s="6">
        <v>353375.38130034198</v>
      </c>
      <c r="AB780" s="6">
        <v>39703.015642118</v>
      </c>
      <c r="AC780" s="6">
        <v>69709.720612400095</v>
      </c>
      <c r="AD780" s="6">
        <v>11026.050227071601</v>
      </c>
      <c r="AE780" s="6">
        <v>0</v>
      </c>
      <c r="AF780" s="6">
        <v>0</v>
      </c>
      <c r="AG780" s="6">
        <v>0</v>
      </c>
      <c r="AH780" s="6">
        <v>0</v>
      </c>
      <c r="AI780" s="6">
        <v>0</v>
      </c>
      <c r="AJ780" s="6">
        <v>5495470.3801976601</v>
      </c>
      <c r="AK780" s="6">
        <v>34706.718404924402</v>
      </c>
      <c r="AL780" s="6">
        <v>330.98244656580999</v>
      </c>
      <c r="AM780" s="6">
        <v>93035.839999999997</v>
      </c>
      <c r="AN780" s="6">
        <v>9583.2122577447208</v>
      </c>
      <c r="AO780" s="6">
        <v>34706.718404924402</v>
      </c>
      <c r="AP780" s="6">
        <v>330.98244656580999</v>
      </c>
      <c r="AQ780" s="6">
        <v>93035.839999999997</v>
      </c>
      <c r="AR780" s="6">
        <v>9583.2122577447208</v>
      </c>
      <c r="AS780" s="6">
        <v>34706.718404924402</v>
      </c>
      <c r="AT780" s="6">
        <v>0</v>
      </c>
      <c r="AU780" t="s">
        <v>2973</v>
      </c>
      <c r="AV780" t="s">
        <v>2973</v>
      </c>
    </row>
    <row r="781" spans="1:48" x14ac:dyDescent="0.45">
      <c r="A781" s="5" t="s">
        <v>1583</v>
      </c>
      <c r="B781">
        <v>1924</v>
      </c>
      <c r="C781" t="s">
        <v>1555</v>
      </c>
      <c r="D781">
        <v>86</v>
      </c>
      <c r="E781" t="s">
        <v>1584</v>
      </c>
      <c r="F781" t="s">
        <v>2739</v>
      </c>
      <c r="G781" t="s">
        <v>2744</v>
      </c>
      <c r="H781" t="s">
        <v>2741</v>
      </c>
      <c r="I781" t="s">
        <v>2742</v>
      </c>
      <c r="J781">
        <v>795.12387626004397</v>
      </c>
      <c r="K781">
        <v>1</v>
      </c>
      <c r="L781">
        <v>2</v>
      </c>
      <c r="M781">
        <v>2</v>
      </c>
      <c r="N781" s="6">
        <v>5840082.1951810699</v>
      </c>
      <c r="O781" s="6">
        <v>3168974.7532462799</v>
      </c>
      <c r="P781" s="6">
        <v>2196644.3010601802</v>
      </c>
      <c r="Q781" s="6">
        <v>437525.452691085</v>
      </c>
      <c r="R781" s="6">
        <v>2272971.7789087002</v>
      </c>
      <c r="S781" s="6">
        <v>405424.016313428</v>
      </c>
      <c r="T781" s="6">
        <v>6701781.6200000001</v>
      </c>
      <c r="U781" s="6">
        <v>7214416.8610873297</v>
      </c>
      <c r="V781" s="6">
        <v>10855821.4799217</v>
      </c>
      <c r="W781" s="6">
        <v>1009972.95233022</v>
      </c>
      <c r="X781" s="6">
        <v>0</v>
      </c>
      <c r="Y781" s="6">
        <v>0</v>
      </c>
      <c r="Z781" s="6">
        <v>76515.390098012605</v>
      </c>
      <c r="AA781" s="6">
        <v>1774515.3711102</v>
      </c>
      <c r="AB781" s="6">
        <v>199373.28762720799</v>
      </c>
      <c r="AC781" s="6">
        <v>350055.42912273703</v>
      </c>
      <c r="AD781" s="6">
        <v>55368.587190691404</v>
      </c>
      <c r="AE781" s="6">
        <v>0</v>
      </c>
      <c r="AF781" s="6">
        <v>0</v>
      </c>
      <c r="AG781" s="6">
        <v>0</v>
      </c>
      <c r="AH781" s="6">
        <v>0</v>
      </c>
      <c r="AI781" s="6">
        <v>0</v>
      </c>
      <c r="AJ781" s="6">
        <v>14321622.4974008</v>
      </c>
      <c r="AK781" s="6">
        <v>18011.8129073977</v>
      </c>
      <c r="AL781" s="6">
        <v>330.98244656580999</v>
      </c>
      <c r="AM781" s="6">
        <v>93035.839999999997</v>
      </c>
      <c r="AN781" s="6">
        <v>9583.2122577447208</v>
      </c>
      <c r="AO781" s="6">
        <v>34706.718404924402</v>
      </c>
      <c r="AP781" s="6">
        <v>330.98244656580999</v>
      </c>
      <c r="AQ781" s="6">
        <v>40734.411818744898</v>
      </c>
      <c r="AR781" s="6">
        <v>9583.2122577447208</v>
      </c>
      <c r="AS781" s="6">
        <v>24303.218842390001</v>
      </c>
      <c r="AT781" s="6">
        <v>0</v>
      </c>
      <c r="AU781" t="s">
        <v>2973</v>
      </c>
      <c r="AV781" t="s">
        <v>2973</v>
      </c>
    </row>
    <row r="782" spans="1:48" x14ac:dyDescent="0.45">
      <c r="A782" s="5" t="s">
        <v>1585</v>
      </c>
      <c r="B782">
        <v>1924</v>
      </c>
      <c r="C782" t="s">
        <v>1555</v>
      </c>
      <c r="D782">
        <v>1264</v>
      </c>
      <c r="E782" t="s">
        <v>1586</v>
      </c>
      <c r="F782" t="s">
        <v>2739</v>
      </c>
      <c r="G782" t="s">
        <v>2740</v>
      </c>
      <c r="H782" t="s">
        <v>2741</v>
      </c>
      <c r="I782" t="s">
        <v>2742</v>
      </c>
      <c r="J782">
        <v>379.06615479185803</v>
      </c>
      <c r="K782">
        <v>2</v>
      </c>
      <c r="L782">
        <v>1</v>
      </c>
      <c r="M782">
        <v>2</v>
      </c>
      <c r="N782" s="6">
        <v>2684018.6018811902</v>
      </c>
      <c r="O782" s="6">
        <v>940004.88730339601</v>
      </c>
      <c r="P782" s="6">
        <v>959629.951072725</v>
      </c>
      <c r="Q782" s="6">
        <v>174119.938315109</v>
      </c>
      <c r="R782" s="6">
        <v>1083613.12986097</v>
      </c>
      <c r="S782" s="6">
        <v>193281.23266410499</v>
      </c>
      <c r="T782" s="6">
        <v>2401996.3199999998</v>
      </c>
      <c r="U782" s="6">
        <v>3439390.1884333901</v>
      </c>
      <c r="V782" s="6">
        <v>4381270.3449382</v>
      </c>
      <c r="W782" s="6">
        <v>482609.63681719702</v>
      </c>
      <c r="X782" s="6">
        <v>0</v>
      </c>
      <c r="Y782" s="6">
        <v>0</v>
      </c>
      <c r="Z782" s="6">
        <v>36477.831408205398</v>
      </c>
      <c r="AA782" s="6">
        <v>845979.77551588404</v>
      </c>
      <c r="AB782" s="6">
        <v>95048.919753907496</v>
      </c>
      <c r="AC782" s="6">
        <v>166884.89610664401</v>
      </c>
      <c r="AD782" s="6">
        <v>26396.336557461</v>
      </c>
      <c r="AE782" s="6">
        <v>0</v>
      </c>
      <c r="AF782" s="6">
        <v>0</v>
      </c>
      <c r="AG782" s="6">
        <v>0</v>
      </c>
      <c r="AH782" s="6">
        <v>0</v>
      </c>
      <c r="AI782" s="6">
        <v>0</v>
      </c>
      <c r="AJ782" s="6">
        <v>6034667.7410974996</v>
      </c>
      <c r="AK782" s="6">
        <v>15919.827356813399</v>
      </c>
      <c r="AL782" s="6">
        <v>330.98244656580999</v>
      </c>
      <c r="AM782" s="6">
        <v>93035.839999999997</v>
      </c>
      <c r="AN782" s="6">
        <v>9583.2122577447208</v>
      </c>
      <c r="AO782" s="6">
        <v>34706.718404924402</v>
      </c>
      <c r="AP782" s="6">
        <v>330.98244656580999</v>
      </c>
      <c r="AQ782" s="6">
        <v>93035.839999999997</v>
      </c>
      <c r="AR782" s="6">
        <v>9583.2122577447208</v>
      </c>
      <c r="AS782" s="6">
        <v>34706.718404924402</v>
      </c>
      <c r="AT782" s="6">
        <v>0</v>
      </c>
      <c r="AU782" t="s">
        <v>2973</v>
      </c>
      <c r="AV782" t="s">
        <v>2973</v>
      </c>
    </row>
    <row r="783" spans="1:48" x14ac:dyDescent="0.45">
      <c r="A783" s="5" t="s">
        <v>1587</v>
      </c>
      <c r="B783">
        <v>1924</v>
      </c>
      <c r="C783" t="s">
        <v>1555</v>
      </c>
      <c r="D783">
        <v>4004</v>
      </c>
      <c r="E783" t="s">
        <v>1588</v>
      </c>
      <c r="F783" t="s">
        <v>2739</v>
      </c>
      <c r="G783" t="s">
        <v>2744</v>
      </c>
      <c r="H783" t="s">
        <v>2745</v>
      </c>
      <c r="I783" t="s">
        <v>2742</v>
      </c>
      <c r="J783">
        <v>134.768771915451</v>
      </c>
      <c r="K783">
        <v>1</v>
      </c>
      <c r="L783">
        <v>2</v>
      </c>
      <c r="M783">
        <v>2</v>
      </c>
      <c r="N783" s="6">
        <v>1479530.2012722699</v>
      </c>
      <c r="O783" s="6">
        <v>867945.89641505503</v>
      </c>
      <c r="P783" s="6">
        <v>411962.11091124901</v>
      </c>
      <c r="Q783" s="6">
        <v>61904.577752678102</v>
      </c>
      <c r="R783" s="6">
        <v>385255.20914155099</v>
      </c>
      <c r="S783" s="6">
        <v>68716.961488552901</v>
      </c>
      <c r="T783" s="6">
        <v>1983797.21</v>
      </c>
      <c r="U783" s="6">
        <v>1222800.7854927999</v>
      </c>
      <c r="V783" s="6">
        <v>2687962.9982125401</v>
      </c>
      <c r="W783" s="6">
        <v>171103.695753048</v>
      </c>
      <c r="X783" s="6">
        <v>0</v>
      </c>
      <c r="Y783" s="6">
        <v>0</v>
      </c>
      <c r="Z783" s="6">
        <v>12968.903920536201</v>
      </c>
      <c r="AA783" s="6">
        <v>300769.810151443</v>
      </c>
      <c r="AB783" s="6">
        <v>33792.587455237197</v>
      </c>
      <c r="AC783" s="6">
        <v>59332.314993617802</v>
      </c>
      <c r="AD783" s="6">
        <v>9384.6464949351102</v>
      </c>
      <c r="AE783" s="6">
        <v>0</v>
      </c>
      <c r="AF783" s="6">
        <v>0</v>
      </c>
      <c r="AG783" s="6">
        <v>0</v>
      </c>
      <c r="AH783" s="6">
        <v>0</v>
      </c>
      <c r="AI783" s="6">
        <v>0</v>
      </c>
      <c r="AJ783" s="6">
        <v>3275314.95698136</v>
      </c>
      <c r="AK783" s="6">
        <v>24303.218842390001</v>
      </c>
      <c r="AL783" s="6">
        <v>330.98244656580999</v>
      </c>
      <c r="AM783" s="6">
        <v>93035.839999999997</v>
      </c>
      <c r="AN783" s="6">
        <v>9583.2122577447208</v>
      </c>
      <c r="AO783" s="6">
        <v>34706.718404924402</v>
      </c>
      <c r="AP783" s="6">
        <v>330.98244656580999</v>
      </c>
      <c r="AQ783" s="6">
        <v>40734.411818744898</v>
      </c>
      <c r="AR783" s="6">
        <v>9583.2122577447208</v>
      </c>
      <c r="AS783" s="6">
        <v>24303.218842390001</v>
      </c>
      <c r="AT783" s="6">
        <v>0</v>
      </c>
      <c r="AU783" t="s">
        <v>2973</v>
      </c>
      <c r="AV783" t="s">
        <v>2973</v>
      </c>
    </row>
    <row r="784" spans="1:48" x14ac:dyDescent="0.45">
      <c r="A784" s="5" t="s">
        <v>1589</v>
      </c>
      <c r="B784">
        <v>1924</v>
      </c>
      <c r="C784" t="s">
        <v>1555</v>
      </c>
      <c r="D784">
        <v>1924</v>
      </c>
      <c r="E784" t="s">
        <v>1555</v>
      </c>
      <c r="F784" t="s">
        <v>1</v>
      </c>
      <c r="G784" t="s">
        <v>1</v>
      </c>
      <c r="H784" t="s">
        <v>2743</v>
      </c>
      <c r="I784" t="s">
        <v>2742</v>
      </c>
      <c r="J784">
        <v>148.78728952477499</v>
      </c>
      <c r="K784">
        <v>1</v>
      </c>
      <c r="L784">
        <v>5</v>
      </c>
      <c r="M784">
        <v>2</v>
      </c>
      <c r="N784" s="6">
        <v>357290.248218172</v>
      </c>
      <c r="O784" s="6">
        <v>205325.27953743699</v>
      </c>
      <c r="P784" s="6">
        <v>293706.89906128403</v>
      </c>
      <c r="Q784" s="6">
        <v>68343.832195600204</v>
      </c>
      <c r="R784" s="6">
        <v>425329.08424388501</v>
      </c>
      <c r="S784" s="6">
        <v>75864.833514061203</v>
      </c>
      <c r="T784" s="6">
        <v>0</v>
      </c>
      <c r="U784" s="6">
        <v>1349995.3432563799</v>
      </c>
      <c r="V784" s="6">
        <v>777874.14581725805</v>
      </c>
      <c r="W784" s="6">
        <v>188440.02527787499</v>
      </c>
      <c r="X784" s="6">
        <v>0</v>
      </c>
      <c r="Y784" s="6">
        <v>0</v>
      </c>
      <c r="Z784" s="6">
        <v>14317.9167919878</v>
      </c>
      <c r="AA784" s="6">
        <v>332055.59557513398</v>
      </c>
      <c r="AB784" s="6">
        <v>37307.659794125</v>
      </c>
      <c r="AC784" s="6">
        <v>65504.005146451098</v>
      </c>
      <c r="AD784" s="6">
        <v>10360.8283676101</v>
      </c>
      <c r="AE784" s="6">
        <v>0</v>
      </c>
      <c r="AF784" s="6">
        <v>0</v>
      </c>
      <c r="AG784" s="6">
        <v>0</v>
      </c>
      <c r="AH784" s="6">
        <v>0</v>
      </c>
      <c r="AI784" s="6">
        <v>0</v>
      </c>
      <c r="AJ784" s="6">
        <v>1425860.1767704401</v>
      </c>
      <c r="AK784" s="6">
        <v>9583.2122577447208</v>
      </c>
      <c r="AL784" s="6">
        <v>330.98244656580999</v>
      </c>
      <c r="AM784" s="6">
        <v>93035.839999999997</v>
      </c>
      <c r="AN784" s="6">
        <v>9583.2122577447208</v>
      </c>
      <c r="AO784" s="6">
        <v>34706.718404924402</v>
      </c>
      <c r="AP784" s="6">
        <v>634.54287297753501</v>
      </c>
      <c r="AQ784" s="6">
        <v>40331.279999999999</v>
      </c>
      <c r="AR784" s="6">
        <v>9583.2122577447208</v>
      </c>
      <c r="AS784" s="6">
        <v>9583.2122577447208</v>
      </c>
      <c r="AT784" s="6">
        <v>0</v>
      </c>
      <c r="AU784" t="s">
        <v>2973</v>
      </c>
      <c r="AV784" t="s">
        <v>2977</v>
      </c>
    </row>
    <row r="785" spans="1:48" x14ac:dyDescent="0.45">
      <c r="A785" s="5" t="s">
        <v>1590</v>
      </c>
      <c r="B785">
        <v>1924</v>
      </c>
      <c r="C785" t="s">
        <v>1555</v>
      </c>
      <c r="D785">
        <v>3342</v>
      </c>
      <c r="E785" t="s">
        <v>1591</v>
      </c>
      <c r="F785" t="s">
        <v>2739</v>
      </c>
      <c r="G785" t="s">
        <v>2740</v>
      </c>
      <c r="H785" t="s">
        <v>2741</v>
      </c>
      <c r="I785" t="s">
        <v>2742</v>
      </c>
      <c r="J785">
        <v>334.15287956495399</v>
      </c>
      <c r="K785">
        <v>1</v>
      </c>
      <c r="L785">
        <v>2</v>
      </c>
      <c r="M785">
        <v>2</v>
      </c>
      <c r="N785" s="6">
        <v>2686450.7914636</v>
      </c>
      <c r="O785" s="6">
        <v>894095.15368983604</v>
      </c>
      <c r="P785" s="6">
        <v>917312.00744263397</v>
      </c>
      <c r="Q785" s="6">
        <v>153489.51111083399</v>
      </c>
      <c r="R785" s="6">
        <v>955222.30908812501</v>
      </c>
      <c r="S785" s="6">
        <v>170380.498612539</v>
      </c>
      <c r="T785" s="6">
        <v>2574692.2999999998</v>
      </c>
      <c r="U785" s="6">
        <v>3031877.4727950301</v>
      </c>
      <c r="V785" s="6">
        <v>4105514.6367596998</v>
      </c>
      <c r="W785" s="6">
        <v>639367.49509480898</v>
      </c>
      <c r="X785" s="6">
        <v>0</v>
      </c>
      <c r="Y785" s="6">
        <v>0</v>
      </c>
      <c r="Z785" s="6">
        <v>32155.791940933701</v>
      </c>
      <c r="AA785" s="6">
        <v>745744.70569013699</v>
      </c>
      <c r="AB785" s="6">
        <v>83787.143309446998</v>
      </c>
      <c r="AC785" s="6">
        <v>147111.70566138599</v>
      </c>
      <c r="AD785" s="6">
        <v>23268.7929511525</v>
      </c>
      <c r="AE785" s="6">
        <v>0</v>
      </c>
      <c r="AF785" s="6">
        <v>0</v>
      </c>
      <c r="AG785" s="6">
        <v>0</v>
      </c>
      <c r="AH785" s="6">
        <v>0</v>
      </c>
      <c r="AI785" s="6">
        <v>0</v>
      </c>
      <c r="AJ785" s="6">
        <v>5776950.2714075698</v>
      </c>
      <c r="AK785" s="6">
        <v>17288.345020185901</v>
      </c>
      <c r="AL785" s="6">
        <v>330.98244656580999</v>
      </c>
      <c r="AM785" s="6">
        <v>93035.839999999997</v>
      </c>
      <c r="AN785" s="6">
        <v>9583.2122577447208</v>
      </c>
      <c r="AO785" s="6">
        <v>34706.718404924402</v>
      </c>
      <c r="AP785" s="6">
        <v>330.98244656580999</v>
      </c>
      <c r="AQ785" s="6">
        <v>93035.839999999997</v>
      </c>
      <c r="AR785" s="6">
        <v>9583.2122577447208</v>
      </c>
      <c r="AS785" s="6">
        <v>34706.718404924402</v>
      </c>
      <c r="AT785" s="6">
        <v>0</v>
      </c>
      <c r="AU785" t="s">
        <v>2973</v>
      </c>
      <c r="AV785" t="s">
        <v>2973</v>
      </c>
    </row>
    <row r="786" spans="1:48" x14ac:dyDescent="0.45">
      <c r="A786" s="5" t="s">
        <v>1592</v>
      </c>
      <c r="B786">
        <v>1924</v>
      </c>
      <c r="C786" t="s">
        <v>1555</v>
      </c>
      <c r="D786">
        <v>4766</v>
      </c>
      <c r="E786" t="s">
        <v>1593</v>
      </c>
      <c r="F786" t="s">
        <v>2739</v>
      </c>
      <c r="G786" t="s">
        <v>2740</v>
      </c>
      <c r="H786" t="s">
        <v>2741</v>
      </c>
      <c r="I786" t="s">
        <v>2742</v>
      </c>
      <c r="J786">
        <v>584.63230417376599</v>
      </c>
      <c r="K786">
        <v>2</v>
      </c>
      <c r="L786">
        <v>1</v>
      </c>
      <c r="M786">
        <v>2</v>
      </c>
      <c r="N786" s="6">
        <v>3822325.9234377001</v>
      </c>
      <c r="O786" s="6">
        <v>1194753.39314017</v>
      </c>
      <c r="P786" s="6">
        <v>1373629.5607888701</v>
      </c>
      <c r="Q786" s="6">
        <v>268544.52567956602</v>
      </c>
      <c r="R786" s="6">
        <v>1671252.45273196</v>
      </c>
      <c r="S786" s="6">
        <v>298096.91785331798</v>
      </c>
      <c r="T786" s="6">
        <v>3025947.31</v>
      </c>
      <c r="U786" s="6">
        <v>5304558.5457782699</v>
      </c>
      <c r="V786" s="6">
        <v>6081910.7775070304</v>
      </c>
      <c r="W786" s="6">
        <v>740990.44036719995</v>
      </c>
      <c r="X786" s="6">
        <v>0</v>
      </c>
      <c r="Y786" s="6">
        <v>0</v>
      </c>
      <c r="Z786" s="6">
        <v>56259.622120975902</v>
      </c>
      <c r="AA786" s="6">
        <v>1304751.4244995899</v>
      </c>
      <c r="AB786" s="6">
        <v>146593.59128347001</v>
      </c>
      <c r="AC786" s="6">
        <v>257385.94730568799</v>
      </c>
      <c r="AD786" s="6">
        <v>40710.970547629899</v>
      </c>
      <c r="AE786" s="6">
        <v>0</v>
      </c>
      <c r="AF786" s="6">
        <v>0</v>
      </c>
      <c r="AG786" s="6">
        <v>0</v>
      </c>
      <c r="AH786" s="6">
        <v>0</v>
      </c>
      <c r="AI786" s="6">
        <v>0</v>
      </c>
      <c r="AJ786" s="6">
        <v>8628602.7736315895</v>
      </c>
      <c r="AK786" s="6">
        <v>14759.0249666857</v>
      </c>
      <c r="AL786" s="6">
        <v>330.98244656580999</v>
      </c>
      <c r="AM786" s="6">
        <v>93035.839999999997</v>
      </c>
      <c r="AN786" s="6">
        <v>9583.2122577447208</v>
      </c>
      <c r="AO786" s="6">
        <v>34706.718404924402</v>
      </c>
      <c r="AP786" s="6">
        <v>330.98244656580999</v>
      </c>
      <c r="AQ786" s="6">
        <v>93035.839999999997</v>
      </c>
      <c r="AR786" s="6">
        <v>9583.2122577447208</v>
      </c>
      <c r="AS786" s="6">
        <v>34706.718404924402</v>
      </c>
      <c r="AT786" s="6">
        <v>0</v>
      </c>
      <c r="AU786" t="s">
        <v>2973</v>
      </c>
      <c r="AV786" t="s">
        <v>2973</v>
      </c>
    </row>
    <row r="787" spans="1:48" x14ac:dyDescent="0.45">
      <c r="A787" s="5" t="s">
        <v>1594</v>
      </c>
      <c r="B787">
        <v>1924</v>
      </c>
      <c r="C787" t="s">
        <v>1555</v>
      </c>
      <c r="D787">
        <v>87</v>
      </c>
      <c r="E787" t="s">
        <v>1595</v>
      </c>
      <c r="F787" t="s">
        <v>2739</v>
      </c>
      <c r="G787" t="s">
        <v>2744</v>
      </c>
      <c r="H787" t="s">
        <v>2741</v>
      </c>
      <c r="I787" t="s">
        <v>2742</v>
      </c>
      <c r="J787">
        <v>1128.96152657674</v>
      </c>
      <c r="K787">
        <v>1</v>
      </c>
      <c r="L787">
        <v>1</v>
      </c>
      <c r="M787">
        <v>2</v>
      </c>
      <c r="N787" s="6">
        <v>6529342.4011213304</v>
      </c>
      <c r="O787" s="6">
        <v>3934023.3330735601</v>
      </c>
      <c r="P787" s="6">
        <v>2903491.45429399</v>
      </c>
      <c r="Q787" s="6">
        <v>588257.26665617502</v>
      </c>
      <c r="R787" s="6">
        <v>3227292.9615100399</v>
      </c>
      <c r="S787" s="6">
        <v>575643.78335733502</v>
      </c>
      <c r="T787" s="6">
        <v>6938973.2599999998</v>
      </c>
      <c r="U787" s="6">
        <v>10243434.156655099</v>
      </c>
      <c r="V787" s="6">
        <v>12832932.738094701</v>
      </c>
      <c r="W787" s="6">
        <v>1438195.87762639</v>
      </c>
      <c r="X787" s="6">
        <v>0</v>
      </c>
      <c r="Y787" s="6">
        <v>0</v>
      </c>
      <c r="Z787" s="6">
        <v>108640.84728279</v>
      </c>
      <c r="AA787" s="6">
        <v>2519556.5648531402</v>
      </c>
      <c r="AB787" s="6">
        <v>283081.38879811799</v>
      </c>
      <c r="AC787" s="6">
        <v>497028.35425813799</v>
      </c>
      <c r="AD787" s="6">
        <v>78615.429099197194</v>
      </c>
      <c r="AE787" s="6">
        <v>0</v>
      </c>
      <c r="AF787" s="6">
        <v>0</v>
      </c>
      <c r="AG787" s="6">
        <v>0</v>
      </c>
      <c r="AH787" s="6">
        <v>0</v>
      </c>
      <c r="AI787" s="6">
        <v>0</v>
      </c>
      <c r="AJ787" s="6">
        <v>17758051.200012401</v>
      </c>
      <c r="AK787" s="6">
        <v>15729.5450570922</v>
      </c>
      <c r="AL787" s="6">
        <v>330.98244656580999</v>
      </c>
      <c r="AM787" s="6">
        <v>93035.839999999997</v>
      </c>
      <c r="AN787" s="6">
        <v>9583.2122577447208</v>
      </c>
      <c r="AO787" s="6">
        <v>34706.718404924402</v>
      </c>
      <c r="AP787" s="6">
        <v>330.98244656580999</v>
      </c>
      <c r="AQ787" s="6">
        <v>40734.411818744898</v>
      </c>
      <c r="AR787" s="6">
        <v>9583.2122577447208</v>
      </c>
      <c r="AS787" s="6">
        <v>24303.218842390001</v>
      </c>
      <c r="AT787" s="6">
        <v>0</v>
      </c>
      <c r="AU787" t="s">
        <v>2973</v>
      </c>
      <c r="AV787" t="s">
        <v>2973</v>
      </c>
    </row>
    <row r="788" spans="1:48" x14ac:dyDescent="0.45">
      <c r="A788" s="5" t="s">
        <v>1596</v>
      </c>
      <c r="B788">
        <v>1924</v>
      </c>
      <c r="C788" t="s">
        <v>1555</v>
      </c>
      <c r="D788">
        <v>76</v>
      </c>
      <c r="E788" t="s">
        <v>878</v>
      </c>
      <c r="F788" t="s">
        <v>2739</v>
      </c>
      <c r="G788" t="s">
        <v>2740</v>
      </c>
      <c r="H788" t="s">
        <v>2741</v>
      </c>
      <c r="I788" t="s">
        <v>2742</v>
      </c>
      <c r="J788">
        <v>415.995561679616</v>
      </c>
      <c r="K788">
        <v>3</v>
      </c>
      <c r="L788">
        <v>1</v>
      </c>
      <c r="M788">
        <v>2</v>
      </c>
      <c r="N788" s="6">
        <v>3055916.7159373402</v>
      </c>
      <c r="O788" s="6">
        <v>1092630.5959276401</v>
      </c>
      <c r="P788" s="6">
        <v>1005312.11623496</v>
      </c>
      <c r="Q788" s="6">
        <v>191083.06194940099</v>
      </c>
      <c r="R788" s="6">
        <v>1189180.95667876</v>
      </c>
      <c r="S788" s="6">
        <v>212111.08912739001</v>
      </c>
      <c r="T788" s="6">
        <v>2759660.77</v>
      </c>
      <c r="U788" s="6">
        <v>3774462.6767281098</v>
      </c>
      <c r="V788" s="6">
        <v>4798624.9276780197</v>
      </c>
      <c r="W788" s="6">
        <v>662761.28975514998</v>
      </c>
      <c r="X788" s="6">
        <v>0</v>
      </c>
      <c r="Y788" s="6">
        <v>0</v>
      </c>
      <c r="Z788" s="6">
        <v>40031.577004924096</v>
      </c>
      <c r="AA788" s="6">
        <v>928396.87066908996</v>
      </c>
      <c r="AB788" s="6">
        <v>104308.781620925</v>
      </c>
      <c r="AC788" s="6">
        <v>183143.16700167401</v>
      </c>
      <c r="AD788" s="6">
        <v>28967.922125716101</v>
      </c>
      <c r="AE788" s="6">
        <v>0</v>
      </c>
      <c r="AF788" s="6">
        <v>0</v>
      </c>
      <c r="AG788" s="6">
        <v>0</v>
      </c>
      <c r="AH788" s="6">
        <v>0</v>
      </c>
      <c r="AI788" s="6">
        <v>0</v>
      </c>
      <c r="AJ788" s="6">
        <v>6746234.5358554898</v>
      </c>
      <c r="AK788" s="6">
        <v>16217.082962657199</v>
      </c>
      <c r="AL788" s="6">
        <v>330.98244656580999</v>
      </c>
      <c r="AM788" s="6">
        <v>93035.839999999997</v>
      </c>
      <c r="AN788" s="6">
        <v>9583.2122577447208</v>
      </c>
      <c r="AO788" s="6">
        <v>34706.718404924402</v>
      </c>
      <c r="AP788" s="6">
        <v>330.98244656580999</v>
      </c>
      <c r="AQ788" s="6">
        <v>93035.839999999997</v>
      </c>
      <c r="AR788" s="6">
        <v>9583.2122577447208</v>
      </c>
      <c r="AS788" s="6">
        <v>34706.718404924402</v>
      </c>
      <c r="AT788" s="6">
        <v>0</v>
      </c>
      <c r="AU788" t="s">
        <v>2973</v>
      </c>
      <c r="AV788" t="s">
        <v>2973</v>
      </c>
    </row>
    <row r="789" spans="1:48" x14ac:dyDescent="0.45">
      <c r="A789" s="5" t="s">
        <v>1597</v>
      </c>
      <c r="B789">
        <v>1924</v>
      </c>
      <c r="C789" t="s">
        <v>1555</v>
      </c>
      <c r="D789">
        <v>4767</v>
      </c>
      <c r="E789" t="s">
        <v>1598</v>
      </c>
      <c r="F789" t="s">
        <v>2739</v>
      </c>
      <c r="G789" t="s">
        <v>2747</v>
      </c>
      <c r="H789" t="s">
        <v>2741</v>
      </c>
      <c r="I789" t="s">
        <v>2742</v>
      </c>
      <c r="J789">
        <v>908.13215296369196</v>
      </c>
      <c r="K789">
        <v>1</v>
      </c>
      <c r="L789">
        <v>1</v>
      </c>
      <c r="M789">
        <v>2</v>
      </c>
      <c r="N789" s="6">
        <v>2180742.4772885102</v>
      </c>
      <c r="O789" s="6">
        <v>1253215.1688478501</v>
      </c>
      <c r="P789" s="6">
        <v>1792657.68895131</v>
      </c>
      <c r="Q789" s="6">
        <v>417140.68232451298</v>
      </c>
      <c r="R789" s="6">
        <v>2596021.5971819102</v>
      </c>
      <c r="S789" s="6">
        <v>463045.56533966801</v>
      </c>
      <c r="T789" s="6">
        <v>0</v>
      </c>
      <c r="U789" s="6">
        <v>8239777.6145940898</v>
      </c>
      <c r="V789" s="6">
        <v>4747801.5429415498</v>
      </c>
      <c r="W789" s="6">
        <v>1150155.0058927101</v>
      </c>
      <c r="X789" s="6">
        <v>0</v>
      </c>
      <c r="Y789" s="6">
        <v>0</v>
      </c>
      <c r="Z789" s="6">
        <v>87390.264610592101</v>
      </c>
      <c r="AA789" s="6">
        <v>2026721.2601051801</v>
      </c>
      <c r="AB789" s="6">
        <v>227709.54104405601</v>
      </c>
      <c r="AC789" s="6">
        <v>399807.627461928</v>
      </c>
      <c r="AD789" s="6">
        <v>63237.937877739998</v>
      </c>
      <c r="AE789" s="6">
        <v>0</v>
      </c>
      <c r="AF789" s="6">
        <v>0</v>
      </c>
      <c r="AG789" s="6">
        <v>0</v>
      </c>
      <c r="AH789" s="6">
        <v>0</v>
      </c>
      <c r="AI789" s="6">
        <v>0</v>
      </c>
      <c r="AJ789" s="6">
        <v>8702823.1799337603</v>
      </c>
      <c r="AK789" s="6">
        <v>9583.2122577447299</v>
      </c>
      <c r="AL789" s="6">
        <v>330.98244656580999</v>
      </c>
      <c r="AM789" s="6">
        <v>93035.839999999997</v>
      </c>
      <c r="AN789" s="6">
        <v>9583.2122577447208</v>
      </c>
      <c r="AO789" s="6">
        <v>34706.718404924402</v>
      </c>
      <c r="AP789" s="6">
        <v>3753.1860850462999</v>
      </c>
      <c r="AQ789" s="6">
        <v>20687.885194392002</v>
      </c>
      <c r="AR789" s="6">
        <v>9583.2122577447208</v>
      </c>
      <c r="AS789" s="6">
        <v>15814.5463195786</v>
      </c>
      <c r="AT789" s="6">
        <v>0</v>
      </c>
      <c r="AU789" t="s">
        <v>2973</v>
      </c>
      <c r="AV789" t="s">
        <v>2976</v>
      </c>
    </row>
    <row r="790" spans="1:48" x14ac:dyDescent="0.45">
      <c r="A790" s="5" t="s">
        <v>1599</v>
      </c>
      <c r="B790">
        <v>1924</v>
      </c>
      <c r="C790" t="s">
        <v>1555</v>
      </c>
      <c r="D790">
        <v>84</v>
      </c>
      <c r="E790" t="s">
        <v>1600</v>
      </c>
      <c r="F790" t="s">
        <v>2739</v>
      </c>
      <c r="G790" t="s">
        <v>2747</v>
      </c>
      <c r="H790" t="s">
        <v>2741</v>
      </c>
      <c r="I790" t="s">
        <v>2742</v>
      </c>
      <c r="J790">
        <v>781.89182952681199</v>
      </c>
      <c r="K790">
        <v>2</v>
      </c>
      <c r="L790">
        <v>2</v>
      </c>
      <c r="M790">
        <v>2</v>
      </c>
      <c r="N790" s="6">
        <v>5219982.5194947701</v>
      </c>
      <c r="O790" s="6">
        <v>2203187.9736955399</v>
      </c>
      <c r="P790" s="6">
        <v>1949117.21059295</v>
      </c>
      <c r="Q790" s="6">
        <v>359153.55513881601</v>
      </c>
      <c r="R790" s="6">
        <v>2235146.1397852702</v>
      </c>
      <c r="S790" s="6">
        <v>398677.15624444501</v>
      </c>
      <c r="T790" s="6">
        <v>4872229.1900000004</v>
      </c>
      <c r="U790" s="6">
        <v>7094358.2087073596</v>
      </c>
      <c r="V790" s="6">
        <v>8900708.4570964109</v>
      </c>
      <c r="W790" s="6">
        <v>1049596.67304933</v>
      </c>
      <c r="X790" s="6">
        <v>0</v>
      </c>
      <c r="Y790" s="6">
        <v>0</v>
      </c>
      <c r="Z790" s="6">
        <v>75242.059931711294</v>
      </c>
      <c r="AA790" s="6">
        <v>1744984.7897499599</v>
      </c>
      <c r="AB790" s="6">
        <v>196055.418879951</v>
      </c>
      <c r="AC790" s="6">
        <v>344229.98489238502</v>
      </c>
      <c r="AD790" s="6">
        <v>54447.171352059697</v>
      </c>
      <c r="AE790" s="6">
        <v>0</v>
      </c>
      <c r="AF790" s="6">
        <v>0</v>
      </c>
      <c r="AG790" s="6">
        <v>0</v>
      </c>
      <c r="AH790" s="6">
        <v>0</v>
      </c>
      <c r="AI790" s="6">
        <v>0</v>
      </c>
      <c r="AJ790" s="6">
        <v>12365264.5549518</v>
      </c>
      <c r="AK790" s="6">
        <v>15814.5463195786</v>
      </c>
      <c r="AL790" s="6">
        <v>330.98244656580999</v>
      </c>
      <c r="AM790" s="6">
        <v>93035.839999999997</v>
      </c>
      <c r="AN790" s="6">
        <v>9583.2122577447208</v>
      </c>
      <c r="AO790" s="6">
        <v>34706.718404924402</v>
      </c>
      <c r="AP790" s="6">
        <v>3753.1860850462999</v>
      </c>
      <c r="AQ790" s="6">
        <v>20687.885194392002</v>
      </c>
      <c r="AR790" s="6">
        <v>9583.2122577447208</v>
      </c>
      <c r="AS790" s="6">
        <v>15814.5463195786</v>
      </c>
      <c r="AT790" s="6">
        <v>0</v>
      </c>
      <c r="AU790" t="s">
        <v>2973</v>
      </c>
      <c r="AV790" t="s">
        <v>2973</v>
      </c>
    </row>
    <row r="791" spans="1:48" x14ac:dyDescent="0.45">
      <c r="A791" s="5" t="s">
        <v>1603</v>
      </c>
      <c r="B791">
        <v>1924</v>
      </c>
      <c r="C791" t="s">
        <v>1555</v>
      </c>
      <c r="D791">
        <v>4713</v>
      </c>
      <c r="E791" t="s">
        <v>1604</v>
      </c>
      <c r="F791" t="s">
        <v>2739</v>
      </c>
      <c r="G791" t="s">
        <v>2740</v>
      </c>
      <c r="H791" t="s">
        <v>2741</v>
      </c>
      <c r="I791" t="s">
        <v>2742</v>
      </c>
      <c r="J791">
        <v>534.12664242082803</v>
      </c>
      <c r="K791">
        <v>2</v>
      </c>
      <c r="L791">
        <v>1</v>
      </c>
      <c r="M791">
        <v>2</v>
      </c>
      <c r="N791" s="6">
        <v>1282624.6197508599</v>
      </c>
      <c r="O791" s="6">
        <v>737090.53047295299</v>
      </c>
      <c r="P791" s="6">
        <v>1054368.8264804001</v>
      </c>
      <c r="Q791" s="6">
        <v>245345.29621046601</v>
      </c>
      <c r="R791" s="6">
        <v>1526875.02014937</v>
      </c>
      <c r="S791" s="6">
        <v>272344.69377125899</v>
      </c>
      <c r="T791" s="6">
        <v>0</v>
      </c>
      <c r="U791" s="6">
        <v>4846304.2930640597</v>
      </c>
      <c r="V791" s="6">
        <v>2792465.0489863101</v>
      </c>
      <c r="W791" s="6">
        <v>676474.70641373203</v>
      </c>
      <c r="X791" s="6">
        <v>0</v>
      </c>
      <c r="Y791" s="6">
        <v>0</v>
      </c>
      <c r="Z791" s="6">
        <v>51399.422941244004</v>
      </c>
      <c r="AA791" s="6">
        <v>1192035.5625005299</v>
      </c>
      <c r="AB791" s="6">
        <v>133929.552222244</v>
      </c>
      <c r="AC791" s="6">
        <v>235150.69362268801</v>
      </c>
      <c r="AD791" s="6">
        <v>37194.000148571497</v>
      </c>
      <c r="AE791" s="6">
        <v>0</v>
      </c>
      <c r="AF791" s="6">
        <v>0</v>
      </c>
      <c r="AG791" s="6">
        <v>0</v>
      </c>
      <c r="AH791" s="6">
        <v>0</v>
      </c>
      <c r="AI791" s="6">
        <v>0</v>
      </c>
      <c r="AJ791" s="6">
        <v>5118648.9868353195</v>
      </c>
      <c r="AK791" s="6">
        <v>9583.2122577447299</v>
      </c>
      <c r="AL791" s="6">
        <v>330.98244656580999</v>
      </c>
      <c r="AM791" s="6">
        <v>93035.839999999997</v>
      </c>
      <c r="AN791" s="6">
        <v>9583.2122577447208</v>
      </c>
      <c r="AO791" s="6">
        <v>34706.718404924402</v>
      </c>
      <c r="AP791" s="6">
        <v>330.98244656580999</v>
      </c>
      <c r="AQ791" s="6">
        <v>93035.839999999997</v>
      </c>
      <c r="AR791" s="6">
        <v>9583.2122577447208</v>
      </c>
      <c r="AS791" s="6">
        <v>34706.718404924402</v>
      </c>
      <c r="AT791" s="6">
        <v>0</v>
      </c>
      <c r="AU791" t="s">
        <v>2973</v>
      </c>
      <c r="AV791" t="s">
        <v>2976</v>
      </c>
    </row>
    <row r="792" spans="1:48" x14ac:dyDescent="0.45">
      <c r="A792" s="5" t="s">
        <v>1605</v>
      </c>
      <c r="B792">
        <v>1924</v>
      </c>
      <c r="C792" t="s">
        <v>1555</v>
      </c>
      <c r="D792">
        <v>2733</v>
      </c>
      <c r="E792" t="s">
        <v>1606</v>
      </c>
      <c r="F792" t="s">
        <v>2739</v>
      </c>
      <c r="G792" t="s">
        <v>2740</v>
      </c>
      <c r="H792" t="s">
        <v>2741</v>
      </c>
      <c r="I792" t="s">
        <v>2742</v>
      </c>
      <c r="J792">
        <v>163.59357328797699</v>
      </c>
      <c r="K792">
        <v>1</v>
      </c>
      <c r="L792">
        <v>1</v>
      </c>
      <c r="M792">
        <v>2</v>
      </c>
      <c r="N792" s="6">
        <v>1342407.33683803</v>
      </c>
      <c r="O792" s="6">
        <v>332053.85370453098</v>
      </c>
      <c r="P792" s="6">
        <v>323034.58177935198</v>
      </c>
      <c r="Q792" s="6">
        <v>75144.938501016193</v>
      </c>
      <c r="R792" s="6">
        <v>504833.938056154</v>
      </c>
      <c r="S792" s="6">
        <v>83414.377942519903</v>
      </c>
      <c r="T792" s="6">
        <v>1093137.0900000001</v>
      </c>
      <c r="U792" s="6">
        <v>1484337.55887908</v>
      </c>
      <c r="V792" s="6">
        <v>1911240.86003727</v>
      </c>
      <c r="W792" s="6">
        <v>207192.275523986</v>
      </c>
      <c r="X792" s="6">
        <v>0</v>
      </c>
      <c r="Y792" s="6">
        <v>0</v>
      </c>
      <c r="Z792" s="6">
        <v>15742.7370141801</v>
      </c>
      <c r="AA792" s="6">
        <v>365099.47579465801</v>
      </c>
      <c r="AB792" s="6">
        <v>78199.300508992004</v>
      </c>
      <c r="AC792" s="6">
        <v>72022.511471301405</v>
      </c>
      <c r="AD792" s="6">
        <v>11391.8664712185</v>
      </c>
      <c r="AE792" s="6">
        <v>0</v>
      </c>
      <c r="AF792" s="6">
        <v>0</v>
      </c>
      <c r="AG792" s="6">
        <v>0</v>
      </c>
      <c r="AH792" s="6">
        <v>0</v>
      </c>
      <c r="AI792" s="6">
        <v>0</v>
      </c>
      <c r="AJ792" s="6">
        <v>2660889.0268215998</v>
      </c>
      <c r="AK792" s="6">
        <v>16265.2418022411</v>
      </c>
      <c r="AL792" s="6">
        <v>330.98244656580999</v>
      </c>
      <c r="AM792" s="6">
        <v>93035.839999999997</v>
      </c>
      <c r="AN792" s="6">
        <v>9583.2122577447208</v>
      </c>
      <c r="AO792" s="6">
        <v>34706.718404924402</v>
      </c>
      <c r="AP792" s="6">
        <v>330.98244656580999</v>
      </c>
      <c r="AQ792" s="6">
        <v>93035.839999999997</v>
      </c>
      <c r="AR792" s="6">
        <v>9583.2122577447208</v>
      </c>
      <c r="AS792" s="6">
        <v>34706.718404924402</v>
      </c>
      <c r="AT792" s="6">
        <v>0</v>
      </c>
      <c r="AU792" t="s">
        <v>2973</v>
      </c>
      <c r="AV792" t="s">
        <v>2973</v>
      </c>
    </row>
    <row r="793" spans="1:48" x14ac:dyDescent="0.45">
      <c r="A793" s="5" t="s">
        <v>1607</v>
      </c>
      <c r="B793">
        <v>1924</v>
      </c>
      <c r="C793" t="s">
        <v>1555</v>
      </c>
      <c r="D793">
        <v>3198</v>
      </c>
      <c r="E793" t="s">
        <v>1608</v>
      </c>
      <c r="F793" t="s">
        <v>2739</v>
      </c>
      <c r="G793" t="s">
        <v>2740</v>
      </c>
      <c r="H793" t="s">
        <v>2741</v>
      </c>
      <c r="I793" t="s">
        <v>2742</v>
      </c>
      <c r="J793">
        <v>528.13101829023901</v>
      </c>
      <c r="K793">
        <v>1</v>
      </c>
      <c r="L793">
        <v>1</v>
      </c>
      <c r="M793">
        <v>2</v>
      </c>
      <c r="N793" s="6">
        <v>3876303.2921566302</v>
      </c>
      <c r="O793" s="6">
        <v>1094276.4567230199</v>
      </c>
      <c r="P793" s="6">
        <v>1247335.2826308501</v>
      </c>
      <c r="Q793" s="6">
        <v>242591.27111331199</v>
      </c>
      <c r="R793" s="6">
        <v>1509735.69777124</v>
      </c>
      <c r="S793" s="6">
        <v>269287.59777917003</v>
      </c>
      <c r="T793" s="6">
        <v>3178337.95</v>
      </c>
      <c r="U793" s="6">
        <v>4791904.0503950603</v>
      </c>
      <c r="V793" s="6">
        <v>5922118.56397352</v>
      </c>
      <c r="W793" s="6">
        <v>686219.95125474699</v>
      </c>
      <c r="X793" s="6">
        <v>0</v>
      </c>
      <c r="Y793" s="6">
        <v>0</v>
      </c>
      <c r="Z793" s="6">
        <v>50822.459359932698</v>
      </c>
      <c r="AA793" s="6">
        <v>1178654.8459898201</v>
      </c>
      <c r="AB793" s="6">
        <v>132426.17981703399</v>
      </c>
      <c r="AC793" s="6">
        <v>232511.10394294601</v>
      </c>
      <c r="AD793" s="6">
        <v>36776.493836223599</v>
      </c>
      <c r="AE793" s="6">
        <v>0</v>
      </c>
      <c r="AF793" s="6">
        <v>0</v>
      </c>
      <c r="AG793" s="6">
        <v>0</v>
      </c>
      <c r="AH793" s="6">
        <v>0</v>
      </c>
      <c r="AI793" s="6">
        <v>0</v>
      </c>
      <c r="AJ793" s="6">
        <v>8239529.5981742302</v>
      </c>
      <c r="AK793" s="6">
        <v>15601.298376392901</v>
      </c>
      <c r="AL793" s="6">
        <v>330.98244656580999</v>
      </c>
      <c r="AM793" s="6">
        <v>93035.839999999997</v>
      </c>
      <c r="AN793" s="6">
        <v>9583.2122577447208</v>
      </c>
      <c r="AO793" s="6">
        <v>34706.718404924402</v>
      </c>
      <c r="AP793" s="6">
        <v>330.98244656580999</v>
      </c>
      <c r="AQ793" s="6">
        <v>93035.839999999997</v>
      </c>
      <c r="AR793" s="6">
        <v>9583.2122577447208</v>
      </c>
      <c r="AS793" s="6">
        <v>34706.718404924402</v>
      </c>
      <c r="AT793" s="6">
        <v>0</v>
      </c>
      <c r="AU793" t="s">
        <v>2973</v>
      </c>
      <c r="AV793" t="s">
        <v>2973</v>
      </c>
    </row>
    <row r="794" spans="1:48" x14ac:dyDescent="0.45">
      <c r="A794" s="5" t="s">
        <v>1609</v>
      </c>
      <c r="B794">
        <v>1924</v>
      </c>
      <c r="C794" t="s">
        <v>1555</v>
      </c>
      <c r="D794">
        <v>78</v>
      </c>
      <c r="E794" t="s">
        <v>1610</v>
      </c>
      <c r="F794" t="s">
        <v>2739</v>
      </c>
      <c r="G794" t="s">
        <v>2740</v>
      </c>
      <c r="H794" t="s">
        <v>2741</v>
      </c>
      <c r="I794" t="s">
        <v>2742</v>
      </c>
      <c r="J794">
        <v>544.381017724358</v>
      </c>
      <c r="K794">
        <v>2</v>
      </c>
      <c r="L794">
        <v>1</v>
      </c>
      <c r="M794">
        <v>2</v>
      </c>
      <c r="N794" s="6">
        <v>3982026.9463405199</v>
      </c>
      <c r="O794" s="6">
        <v>1250722.4570661101</v>
      </c>
      <c r="P794" s="6">
        <v>1287819.98774438</v>
      </c>
      <c r="Q794" s="6">
        <v>250055.53259728101</v>
      </c>
      <c r="R794" s="6">
        <v>1556188.5728814299</v>
      </c>
      <c r="S794" s="6">
        <v>277573.27530989598</v>
      </c>
      <c r="T794" s="6">
        <v>3387467.93</v>
      </c>
      <c r="U794" s="6">
        <v>4939345.5666297199</v>
      </c>
      <c r="V794" s="6">
        <v>6233543.8314697398</v>
      </c>
      <c r="W794" s="6">
        <v>689461.93635506497</v>
      </c>
      <c r="X794" s="6">
        <v>0</v>
      </c>
      <c r="Y794" s="6">
        <v>0</v>
      </c>
      <c r="Z794" s="6">
        <v>52386.209465944499</v>
      </c>
      <c r="AA794" s="6">
        <v>1214920.7344096401</v>
      </c>
      <c r="AB794" s="6">
        <v>136500.78492933401</v>
      </c>
      <c r="AC794" s="6">
        <v>239665.20998226001</v>
      </c>
      <c r="AD794" s="6">
        <v>37908.065327635399</v>
      </c>
      <c r="AE794" s="6">
        <v>0</v>
      </c>
      <c r="AF794" s="6">
        <v>0</v>
      </c>
      <c r="AG794" s="6">
        <v>0</v>
      </c>
      <c r="AH794" s="6">
        <v>0</v>
      </c>
      <c r="AI794" s="6">
        <v>0</v>
      </c>
      <c r="AJ794" s="6">
        <v>8604386.7719396092</v>
      </c>
      <c r="AK794" s="6">
        <v>15805.817050543001</v>
      </c>
      <c r="AL794" s="6">
        <v>330.98244656580999</v>
      </c>
      <c r="AM794" s="6">
        <v>93035.839999999997</v>
      </c>
      <c r="AN794" s="6">
        <v>9583.2122577447208</v>
      </c>
      <c r="AO794" s="6">
        <v>34706.718404924402</v>
      </c>
      <c r="AP794" s="6">
        <v>330.98244656580999</v>
      </c>
      <c r="AQ794" s="6">
        <v>93035.839999999997</v>
      </c>
      <c r="AR794" s="6">
        <v>9583.2122577447208</v>
      </c>
      <c r="AS794" s="6">
        <v>34706.718404924402</v>
      </c>
      <c r="AT794" s="6">
        <v>0</v>
      </c>
      <c r="AU794" t="s">
        <v>2973</v>
      </c>
      <c r="AV794" t="s">
        <v>2973</v>
      </c>
    </row>
    <row r="795" spans="1:48" x14ac:dyDescent="0.45">
      <c r="A795" s="5" t="s">
        <v>1611</v>
      </c>
      <c r="B795">
        <v>1924</v>
      </c>
      <c r="C795" t="s">
        <v>1555</v>
      </c>
      <c r="D795">
        <v>4714</v>
      </c>
      <c r="E795" t="s">
        <v>1612</v>
      </c>
      <c r="F795" t="s">
        <v>2739</v>
      </c>
      <c r="G795" t="s">
        <v>2740</v>
      </c>
      <c r="H795" t="s">
        <v>2741</v>
      </c>
      <c r="I795" t="s">
        <v>2742</v>
      </c>
      <c r="J795">
        <v>620.62679307261305</v>
      </c>
      <c r="K795">
        <v>2</v>
      </c>
      <c r="L795">
        <v>1</v>
      </c>
      <c r="M795">
        <v>2</v>
      </c>
      <c r="N795" s="6">
        <v>1490341.69286912</v>
      </c>
      <c r="O795" s="6">
        <v>856460.05235439504</v>
      </c>
      <c r="P795" s="6">
        <v>1225120.5828798499</v>
      </c>
      <c r="Q795" s="6">
        <v>285078.20484750002</v>
      </c>
      <c r="R795" s="6">
        <v>1774147.6869288499</v>
      </c>
      <c r="S795" s="6">
        <v>316450.07097853802</v>
      </c>
      <c r="T795" s="6">
        <v>0</v>
      </c>
      <c r="U795" s="6">
        <v>5631148.2198797399</v>
      </c>
      <c r="V795" s="6">
        <v>3244696.08979788</v>
      </c>
      <c r="W795" s="6">
        <v>786027.68387185095</v>
      </c>
      <c r="X795" s="6">
        <v>0</v>
      </c>
      <c r="Y795" s="6">
        <v>0</v>
      </c>
      <c r="Z795" s="6">
        <v>59723.399831221803</v>
      </c>
      <c r="AA795" s="6">
        <v>1385082.01918213</v>
      </c>
      <c r="AB795" s="6">
        <v>155619.02719664999</v>
      </c>
      <c r="AC795" s="6">
        <v>273232.618036801</v>
      </c>
      <c r="AD795" s="6">
        <v>43217.452941737203</v>
      </c>
      <c r="AE795" s="6">
        <v>0</v>
      </c>
      <c r="AF795" s="6">
        <v>0</v>
      </c>
      <c r="AG795" s="6">
        <v>0</v>
      </c>
      <c r="AH795" s="6">
        <v>0</v>
      </c>
      <c r="AI795" s="6">
        <v>0</v>
      </c>
      <c r="AJ795" s="6">
        <v>5947598.2908582697</v>
      </c>
      <c r="AK795" s="6">
        <v>9583.2122577447208</v>
      </c>
      <c r="AL795" s="6">
        <v>330.98244656580999</v>
      </c>
      <c r="AM795" s="6">
        <v>93035.839999999997</v>
      </c>
      <c r="AN795" s="6">
        <v>9583.2122577447208</v>
      </c>
      <c r="AO795" s="6">
        <v>34706.718404924402</v>
      </c>
      <c r="AP795" s="6">
        <v>330.98244656580999</v>
      </c>
      <c r="AQ795" s="6">
        <v>93035.839999999997</v>
      </c>
      <c r="AR795" s="6">
        <v>9583.2122577447208</v>
      </c>
      <c r="AS795" s="6">
        <v>34706.718404924402</v>
      </c>
      <c r="AT795" s="6">
        <v>0</v>
      </c>
      <c r="AU795" t="s">
        <v>2973</v>
      </c>
      <c r="AV795" t="s">
        <v>2976</v>
      </c>
    </row>
    <row r="796" spans="1:48" x14ac:dyDescent="0.45">
      <c r="A796" s="5" t="s">
        <v>1613</v>
      </c>
      <c r="B796">
        <v>1924</v>
      </c>
      <c r="C796" t="s">
        <v>1555</v>
      </c>
      <c r="D796">
        <v>79</v>
      </c>
      <c r="E796" t="s">
        <v>1614</v>
      </c>
      <c r="F796" t="s">
        <v>2739</v>
      </c>
      <c r="G796" t="s">
        <v>2740</v>
      </c>
      <c r="H796" t="s">
        <v>2741</v>
      </c>
      <c r="I796" t="s">
        <v>2742</v>
      </c>
      <c r="J796">
        <v>435.13763668278199</v>
      </c>
      <c r="K796">
        <v>1</v>
      </c>
      <c r="L796">
        <v>1</v>
      </c>
      <c r="M796">
        <v>2</v>
      </c>
      <c r="N796" s="6">
        <v>3242781.2436608798</v>
      </c>
      <c r="O796" s="6">
        <v>967979.79761946003</v>
      </c>
      <c r="P796" s="6">
        <v>1044589.17386859</v>
      </c>
      <c r="Q796" s="6">
        <v>199875.76706601799</v>
      </c>
      <c r="R796" s="6">
        <v>1243901.23055181</v>
      </c>
      <c r="S796" s="6">
        <v>221871.400897752</v>
      </c>
      <c r="T796" s="6">
        <v>2750982.28</v>
      </c>
      <c r="U796" s="6">
        <v>3948144.9327667598</v>
      </c>
      <c r="V796" s="6">
        <v>5025923.3621896701</v>
      </c>
      <c r="W796" s="6">
        <v>551104.51650646096</v>
      </c>
      <c r="X796" s="6">
        <v>0</v>
      </c>
      <c r="Y796" s="6">
        <v>0</v>
      </c>
      <c r="Z796" s="6">
        <v>41873.633796177703</v>
      </c>
      <c r="AA796" s="6">
        <v>971117.14022989699</v>
      </c>
      <c r="AB796" s="6">
        <v>109108.560044557</v>
      </c>
      <c r="AC796" s="6">
        <v>191570.517103461</v>
      </c>
      <c r="AD796" s="6">
        <v>30300.883794291301</v>
      </c>
      <c r="AE796" s="6">
        <v>0</v>
      </c>
      <c r="AF796" s="6">
        <v>0</v>
      </c>
      <c r="AG796" s="6">
        <v>0</v>
      </c>
      <c r="AH796" s="6">
        <v>0</v>
      </c>
      <c r="AI796" s="6">
        <v>0</v>
      </c>
      <c r="AJ796" s="6">
        <v>6920998.6136645097</v>
      </c>
      <c r="AK796" s="6">
        <v>15905.3091027149</v>
      </c>
      <c r="AL796" s="6">
        <v>330.98244656580999</v>
      </c>
      <c r="AM796" s="6">
        <v>93035.839999999997</v>
      </c>
      <c r="AN796" s="6">
        <v>9583.2122577447208</v>
      </c>
      <c r="AO796" s="6">
        <v>34706.718404924402</v>
      </c>
      <c r="AP796" s="6">
        <v>330.98244656580999</v>
      </c>
      <c r="AQ796" s="6">
        <v>93035.839999999997</v>
      </c>
      <c r="AR796" s="6">
        <v>9583.2122577447208</v>
      </c>
      <c r="AS796" s="6">
        <v>34706.718404924402</v>
      </c>
      <c r="AT796" s="6">
        <v>0</v>
      </c>
      <c r="AU796" t="s">
        <v>2973</v>
      </c>
      <c r="AV796" t="s">
        <v>2973</v>
      </c>
    </row>
    <row r="797" spans="1:48" x14ac:dyDescent="0.45">
      <c r="A797" s="5" t="s">
        <v>1615</v>
      </c>
      <c r="B797">
        <v>1924</v>
      </c>
      <c r="C797" t="s">
        <v>1555</v>
      </c>
      <c r="D797">
        <v>72</v>
      </c>
      <c r="E797" t="s">
        <v>1616</v>
      </c>
      <c r="F797" t="s">
        <v>2739</v>
      </c>
      <c r="G797" t="s">
        <v>2740</v>
      </c>
      <c r="H797" t="s">
        <v>2741</v>
      </c>
      <c r="I797" t="s">
        <v>2742</v>
      </c>
      <c r="J797">
        <v>407.070844797598</v>
      </c>
      <c r="K797">
        <v>3</v>
      </c>
      <c r="L797">
        <v>2</v>
      </c>
      <c r="M797">
        <v>2</v>
      </c>
      <c r="N797" s="6">
        <v>3460204.45361978</v>
      </c>
      <c r="O797" s="6">
        <v>1140889.58741087</v>
      </c>
      <c r="P797" s="6">
        <v>1048691.4277508699</v>
      </c>
      <c r="Q797" s="6">
        <v>186983.589777241</v>
      </c>
      <c r="R797" s="6">
        <v>1163668.4167925301</v>
      </c>
      <c r="S797" s="6">
        <v>207560.484283542</v>
      </c>
      <c r="T797" s="6">
        <v>3306951.65</v>
      </c>
      <c r="U797" s="6">
        <v>3693485.8253513002</v>
      </c>
      <c r="V797" s="6">
        <v>5049991.7062884197</v>
      </c>
      <c r="W797" s="6">
        <v>900722.91045402701</v>
      </c>
      <c r="X797" s="6">
        <v>0</v>
      </c>
      <c r="Y797" s="6">
        <v>0</v>
      </c>
      <c r="Z797" s="6">
        <v>39172.744546070098</v>
      </c>
      <c r="AA797" s="6">
        <v>908479.160029536</v>
      </c>
      <c r="AB797" s="6">
        <v>102070.95403325401</v>
      </c>
      <c r="AC797" s="6">
        <v>179214.036345167</v>
      </c>
      <c r="AD797" s="6">
        <v>28346.447938374899</v>
      </c>
      <c r="AE797" s="6">
        <v>0</v>
      </c>
      <c r="AF797" s="6">
        <v>0</v>
      </c>
      <c r="AG797" s="6">
        <v>0</v>
      </c>
      <c r="AH797" s="6">
        <v>0</v>
      </c>
      <c r="AI797" s="6">
        <v>0</v>
      </c>
      <c r="AJ797" s="6">
        <v>7207997.9596348396</v>
      </c>
      <c r="AK797" s="6">
        <v>17706.986515378601</v>
      </c>
      <c r="AL797" s="6">
        <v>330.98244656580999</v>
      </c>
      <c r="AM797" s="6">
        <v>93035.839999999997</v>
      </c>
      <c r="AN797" s="6">
        <v>9583.2122577447208</v>
      </c>
      <c r="AO797" s="6">
        <v>34706.718404924402</v>
      </c>
      <c r="AP797" s="6">
        <v>330.98244656580999</v>
      </c>
      <c r="AQ797" s="6">
        <v>93035.839999999997</v>
      </c>
      <c r="AR797" s="6">
        <v>9583.2122577447208</v>
      </c>
      <c r="AS797" s="6">
        <v>34706.718404924402</v>
      </c>
      <c r="AT797" s="6">
        <v>0</v>
      </c>
      <c r="AU797" t="s">
        <v>2973</v>
      </c>
      <c r="AV797" t="s">
        <v>2973</v>
      </c>
    </row>
    <row r="798" spans="1:48" x14ac:dyDescent="0.45">
      <c r="A798" s="5" t="s">
        <v>1617</v>
      </c>
      <c r="B798">
        <v>1996</v>
      </c>
      <c r="C798" t="s">
        <v>1618</v>
      </c>
      <c r="D798">
        <v>296</v>
      </c>
      <c r="E798" t="s">
        <v>1619</v>
      </c>
      <c r="F798" t="s">
        <v>2739</v>
      </c>
      <c r="G798" t="s">
        <v>2740</v>
      </c>
      <c r="H798" t="s">
        <v>2745</v>
      </c>
      <c r="I798" t="s">
        <v>2742</v>
      </c>
      <c r="J798">
        <v>249.031791907463</v>
      </c>
      <c r="K798">
        <v>1</v>
      </c>
      <c r="L798">
        <v>1</v>
      </c>
      <c r="M798">
        <v>2</v>
      </c>
      <c r="N798" s="6">
        <v>1634249.85</v>
      </c>
      <c r="O798" s="6">
        <v>316036.32529823098</v>
      </c>
      <c r="P798" s="6">
        <v>913447.673939334</v>
      </c>
      <c r="Q798" s="6">
        <v>221845.25331832599</v>
      </c>
      <c r="R798" s="6">
        <v>73446.417840651804</v>
      </c>
      <c r="S798" s="6">
        <v>102597.99874700099</v>
      </c>
      <c r="T798" s="6">
        <v>2402775.46</v>
      </c>
      <c r="U798" s="6">
        <v>756250.06039654301</v>
      </c>
      <c r="V798" s="6">
        <v>2496106.2878129599</v>
      </c>
      <c r="W798" s="6">
        <v>662919.23258358496</v>
      </c>
      <c r="X798" s="6">
        <v>0</v>
      </c>
      <c r="Y798" s="6">
        <v>0</v>
      </c>
      <c r="Z798" s="6">
        <v>0</v>
      </c>
      <c r="AA798" s="6">
        <v>0</v>
      </c>
      <c r="AB798" s="6">
        <v>0</v>
      </c>
      <c r="AC798" s="6">
        <v>92115.096953039698</v>
      </c>
      <c r="AD798" s="6">
        <v>10482.9017939608</v>
      </c>
      <c r="AE798" s="6">
        <v>0</v>
      </c>
      <c r="AF798" s="6">
        <v>0</v>
      </c>
      <c r="AG798" s="6">
        <v>0</v>
      </c>
      <c r="AH798" s="6">
        <v>0</v>
      </c>
      <c r="AI798" s="6">
        <v>0</v>
      </c>
      <c r="AJ798" s="6">
        <v>3261623.5191435399</v>
      </c>
      <c r="AK798" s="6">
        <v>13097.2174040956</v>
      </c>
      <c r="AL798" s="6">
        <v>330.98244656580999</v>
      </c>
      <c r="AM798" s="6">
        <v>93035.839999999997</v>
      </c>
      <c r="AN798" s="6">
        <v>13097.2174040956</v>
      </c>
      <c r="AO798" s="6">
        <v>21449.257481160799</v>
      </c>
      <c r="AP798" s="6">
        <v>330.98244656580999</v>
      </c>
      <c r="AQ798" s="6">
        <v>93035.839999999997</v>
      </c>
      <c r="AR798" s="6">
        <v>13097.2174040956</v>
      </c>
      <c r="AS798" s="6">
        <v>13097.2174040956</v>
      </c>
      <c r="AT798" s="6">
        <v>0</v>
      </c>
      <c r="AU798" t="s">
        <v>2973</v>
      </c>
      <c r="AV798" t="s">
        <v>2973</v>
      </c>
    </row>
    <row r="799" spans="1:48" x14ac:dyDescent="0.45">
      <c r="A799" s="5" t="s">
        <v>1620</v>
      </c>
      <c r="B799">
        <v>1996</v>
      </c>
      <c r="C799" t="s">
        <v>1618</v>
      </c>
      <c r="D799">
        <v>297</v>
      </c>
      <c r="E799" t="s">
        <v>1621</v>
      </c>
      <c r="F799" t="s">
        <v>2739</v>
      </c>
      <c r="G799" t="s">
        <v>2744</v>
      </c>
      <c r="H799" t="s">
        <v>2745</v>
      </c>
      <c r="I799" t="s">
        <v>2742</v>
      </c>
      <c r="J799">
        <v>79.543352601132497</v>
      </c>
      <c r="K799">
        <v>1</v>
      </c>
      <c r="L799">
        <v>1</v>
      </c>
      <c r="M799">
        <v>2</v>
      </c>
      <c r="N799" s="6">
        <v>786145.64</v>
      </c>
      <c r="O799" s="6">
        <v>335023.04470176902</v>
      </c>
      <c r="P799" s="6">
        <v>449509.19606066501</v>
      </c>
      <c r="Q799" s="6">
        <v>70637.546681673906</v>
      </c>
      <c r="R799" s="6">
        <v>32059.552159348201</v>
      </c>
      <c r="S799" s="6">
        <v>32770.871252999401</v>
      </c>
      <c r="T799" s="6">
        <v>1431820.82</v>
      </c>
      <c r="U799" s="6">
        <v>241554.15960345601</v>
      </c>
      <c r="V799" s="6">
        <v>1473209.84218704</v>
      </c>
      <c r="W799" s="6">
        <v>200165.137416415</v>
      </c>
      <c r="X799" s="6">
        <v>0</v>
      </c>
      <c r="Y799" s="6">
        <v>0</v>
      </c>
      <c r="Z799" s="6">
        <v>0</v>
      </c>
      <c r="AA799" s="6">
        <v>0</v>
      </c>
      <c r="AB799" s="6">
        <v>0</v>
      </c>
      <c r="AC799" s="6">
        <v>29422.523046960301</v>
      </c>
      <c r="AD799" s="6">
        <v>3348.3482060391598</v>
      </c>
      <c r="AE799" s="6">
        <v>0</v>
      </c>
      <c r="AF799" s="6">
        <v>0</v>
      </c>
      <c r="AG799" s="6">
        <v>0</v>
      </c>
      <c r="AH799" s="6">
        <v>0</v>
      </c>
      <c r="AI799" s="6">
        <v>0</v>
      </c>
      <c r="AJ799" s="6">
        <v>1706145.8508564599</v>
      </c>
      <c r="AK799" s="6">
        <v>21449.257481160799</v>
      </c>
      <c r="AL799" s="6">
        <v>330.98244656580999</v>
      </c>
      <c r="AM799" s="6">
        <v>93035.839999999997</v>
      </c>
      <c r="AN799" s="6">
        <v>13097.2174040956</v>
      </c>
      <c r="AO799" s="6">
        <v>21449.257481160799</v>
      </c>
      <c r="AP799" s="6">
        <v>330.98244656580999</v>
      </c>
      <c r="AQ799" s="6">
        <v>40734.411818744898</v>
      </c>
      <c r="AR799" s="6">
        <v>21449.257481160799</v>
      </c>
      <c r="AS799" s="6">
        <v>21449.257481160799</v>
      </c>
      <c r="AT799" s="6">
        <v>0</v>
      </c>
      <c r="AU799" t="s">
        <v>2973</v>
      </c>
      <c r="AV799" t="s">
        <v>2973</v>
      </c>
    </row>
    <row r="800" spans="1:48" x14ac:dyDescent="0.45">
      <c r="A800" s="5" t="s">
        <v>1622</v>
      </c>
      <c r="B800">
        <v>2061</v>
      </c>
      <c r="C800" t="s">
        <v>1623</v>
      </c>
      <c r="D800">
        <v>1289</v>
      </c>
      <c r="E800" t="s">
        <v>1624</v>
      </c>
      <c r="F800" t="s">
        <v>2739</v>
      </c>
      <c r="G800" t="s">
        <v>2748</v>
      </c>
      <c r="H800" t="s">
        <v>2745</v>
      </c>
      <c r="I800" t="s">
        <v>2742</v>
      </c>
      <c r="J800">
        <v>224.596670697761</v>
      </c>
      <c r="K800">
        <v>1</v>
      </c>
      <c r="L800">
        <v>2</v>
      </c>
      <c r="M800">
        <v>2</v>
      </c>
      <c r="N800" s="6">
        <v>1913256.65</v>
      </c>
      <c r="O800" s="6">
        <v>600792.1</v>
      </c>
      <c r="P800" s="6">
        <v>1001235.78</v>
      </c>
      <c r="Q800" s="6">
        <v>300453.84999999998</v>
      </c>
      <c r="R800" s="6">
        <v>99614.07</v>
      </c>
      <c r="S800" s="6">
        <v>324619.89</v>
      </c>
      <c r="T800" s="6">
        <v>3611268.55</v>
      </c>
      <c r="U800" s="6">
        <v>304083.90000000002</v>
      </c>
      <c r="V800" s="6">
        <v>3374946.3</v>
      </c>
      <c r="W800" s="6">
        <v>536776.1</v>
      </c>
      <c r="X800" s="6">
        <v>0</v>
      </c>
      <c r="Y800" s="6">
        <v>0</v>
      </c>
      <c r="Z800" s="6">
        <v>0</v>
      </c>
      <c r="AA800" s="6">
        <v>30.05</v>
      </c>
      <c r="AB800" s="6">
        <v>3600</v>
      </c>
      <c r="AC800" s="6">
        <v>315867.3</v>
      </c>
      <c r="AD800" s="6">
        <v>8752.59</v>
      </c>
      <c r="AE800" s="6">
        <v>0</v>
      </c>
      <c r="AF800" s="6">
        <v>0</v>
      </c>
      <c r="AG800" s="6">
        <v>0</v>
      </c>
      <c r="AH800" s="6">
        <v>0</v>
      </c>
      <c r="AI800" s="6">
        <v>0</v>
      </c>
      <c r="AJ800" s="6">
        <v>4239972.34</v>
      </c>
      <c r="AK800" s="6">
        <v>18878.162026300499</v>
      </c>
      <c r="AL800" s="6">
        <v>330.98244656580999</v>
      </c>
      <c r="AM800" s="6">
        <v>93035.839999999997</v>
      </c>
      <c r="AN800" s="6">
        <v>18878.162026300499</v>
      </c>
      <c r="AO800" s="6">
        <v>18878.162026300499</v>
      </c>
      <c r="AP800" s="6">
        <v>330.98244656580999</v>
      </c>
      <c r="AQ800" s="6">
        <v>56162.493707719797</v>
      </c>
      <c r="AR800" s="6">
        <v>18878.162026300499</v>
      </c>
      <c r="AS800" s="6">
        <v>18878.162026300499</v>
      </c>
      <c r="AT800" s="6">
        <v>0</v>
      </c>
      <c r="AU800" t="s">
        <v>2973</v>
      </c>
      <c r="AV800" t="s">
        <v>2973</v>
      </c>
    </row>
    <row r="801" spans="1:48" x14ac:dyDescent="0.45">
      <c r="A801" s="5" t="s">
        <v>1625</v>
      </c>
      <c r="B801">
        <v>2141</v>
      </c>
      <c r="C801" t="s">
        <v>1626</v>
      </c>
      <c r="D801">
        <v>726</v>
      </c>
      <c r="E801" t="s">
        <v>1627</v>
      </c>
      <c r="F801" t="s">
        <v>2739</v>
      </c>
      <c r="G801" t="s">
        <v>2744</v>
      </c>
      <c r="H801" t="s">
        <v>2745</v>
      </c>
      <c r="I801" t="s">
        <v>2742</v>
      </c>
      <c r="J801">
        <v>602.57647058817702</v>
      </c>
      <c r="K801">
        <v>1</v>
      </c>
      <c r="L801">
        <v>1</v>
      </c>
      <c r="M801">
        <v>2</v>
      </c>
      <c r="N801" s="6">
        <v>4086165.4528415101</v>
      </c>
      <c r="O801" s="6">
        <v>2125556.7687052302</v>
      </c>
      <c r="P801" s="6">
        <v>1728788.9843838401</v>
      </c>
      <c r="Q801" s="6">
        <v>274268.635824061</v>
      </c>
      <c r="R801" s="6">
        <v>80009.457360547007</v>
      </c>
      <c r="S801" s="6">
        <v>353180.348672483</v>
      </c>
      <c r="T801" s="6">
        <v>6504763.1100000003</v>
      </c>
      <c r="U801" s="6">
        <v>1790026.1891151799</v>
      </c>
      <c r="V801" s="6">
        <v>6963943.71548275</v>
      </c>
      <c r="W801" s="6">
        <v>1311379.02363242</v>
      </c>
      <c r="X801" s="6">
        <v>0</v>
      </c>
      <c r="Y801" s="6">
        <v>0</v>
      </c>
      <c r="Z801" s="6">
        <v>0</v>
      </c>
      <c r="AA801" s="6">
        <v>0</v>
      </c>
      <c r="AB801" s="6">
        <v>19466.560000000001</v>
      </c>
      <c r="AC801" s="6">
        <v>206472.365348066</v>
      </c>
      <c r="AD801" s="6">
        <v>146707.983324417</v>
      </c>
      <c r="AE801" s="6">
        <v>0</v>
      </c>
      <c r="AF801" s="6">
        <v>0</v>
      </c>
      <c r="AG801" s="6">
        <v>0</v>
      </c>
      <c r="AH801" s="6">
        <v>0</v>
      </c>
      <c r="AI801" s="6">
        <v>0</v>
      </c>
      <c r="AJ801" s="6">
        <v>8647969.6477876604</v>
      </c>
      <c r="AK801" s="6">
        <v>14351.6550510948</v>
      </c>
      <c r="AL801" s="6">
        <v>330.98244656580999</v>
      </c>
      <c r="AM801" s="6">
        <v>93035.839999999997</v>
      </c>
      <c r="AN801" s="6">
        <v>3556.7378455645098</v>
      </c>
      <c r="AO801" s="6">
        <v>14351.6550510948</v>
      </c>
      <c r="AP801" s="6">
        <v>330.98244656580999</v>
      </c>
      <c r="AQ801" s="6">
        <v>40734.411818744898</v>
      </c>
      <c r="AR801" s="6">
        <v>14351.6550510948</v>
      </c>
      <c r="AS801" s="6">
        <v>14351.6550510948</v>
      </c>
      <c r="AT801" s="6">
        <v>0</v>
      </c>
      <c r="AU801" t="s">
        <v>2973</v>
      </c>
      <c r="AV801" t="s">
        <v>2973</v>
      </c>
    </row>
    <row r="802" spans="1:48" x14ac:dyDescent="0.45">
      <c r="A802" s="5" t="s">
        <v>1628</v>
      </c>
      <c r="B802">
        <v>2141</v>
      </c>
      <c r="C802" t="s">
        <v>1626</v>
      </c>
      <c r="D802">
        <v>724</v>
      </c>
      <c r="E802" t="s">
        <v>1629</v>
      </c>
      <c r="F802" t="s">
        <v>2739</v>
      </c>
      <c r="G802" t="s">
        <v>2740</v>
      </c>
      <c r="H802" t="s">
        <v>2741</v>
      </c>
      <c r="I802" t="s">
        <v>2742</v>
      </c>
      <c r="J802">
        <v>406.11176470585599</v>
      </c>
      <c r="K802">
        <v>3</v>
      </c>
      <c r="L802">
        <v>1</v>
      </c>
      <c r="M802">
        <v>2</v>
      </c>
      <c r="N802" s="6">
        <v>2551043.44755028</v>
      </c>
      <c r="O802" s="6">
        <v>958942.80889016495</v>
      </c>
      <c r="P802" s="6">
        <v>1086778.37351332</v>
      </c>
      <c r="Q802" s="6">
        <v>184845.78328996999</v>
      </c>
      <c r="R802" s="6">
        <v>19768.226721381299</v>
      </c>
      <c r="S802" s="6">
        <v>238029.03309319101</v>
      </c>
      <c r="T802" s="6">
        <v>3594974.59</v>
      </c>
      <c r="U802" s="6">
        <v>1206404.0499651199</v>
      </c>
      <c r="V802" s="6">
        <v>4296117.8667789996</v>
      </c>
      <c r="W802" s="6">
        <v>505260.77318611398</v>
      </c>
      <c r="X802" s="6">
        <v>0</v>
      </c>
      <c r="Y802" s="6">
        <v>0</v>
      </c>
      <c r="Z802" s="6">
        <v>0</v>
      </c>
      <c r="AA802" s="6">
        <v>0</v>
      </c>
      <c r="AB802" s="6">
        <v>0</v>
      </c>
      <c r="AC802" s="6">
        <v>139153.884605962</v>
      </c>
      <c r="AD802" s="6">
        <v>98875.148487229002</v>
      </c>
      <c r="AE802" s="6">
        <v>0</v>
      </c>
      <c r="AF802" s="6">
        <v>0</v>
      </c>
      <c r="AG802" s="6">
        <v>0</v>
      </c>
      <c r="AH802" s="6">
        <v>0</v>
      </c>
      <c r="AI802" s="6">
        <v>0</v>
      </c>
      <c r="AJ802" s="6">
        <v>5039407.6730583003</v>
      </c>
      <c r="AK802" s="6">
        <v>12408.918211734899</v>
      </c>
      <c r="AL802" s="6">
        <v>330.98244656580999</v>
      </c>
      <c r="AM802" s="6">
        <v>93035.839999999997</v>
      </c>
      <c r="AN802" s="6">
        <v>3556.7378455645098</v>
      </c>
      <c r="AO802" s="6">
        <v>14351.6550510948</v>
      </c>
      <c r="AP802" s="6">
        <v>330.98244656580999</v>
      </c>
      <c r="AQ802" s="6">
        <v>93035.839999999997</v>
      </c>
      <c r="AR802" s="6">
        <v>12408.918211734899</v>
      </c>
      <c r="AS802" s="6">
        <v>12794.080078918199</v>
      </c>
      <c r="AT802" s="6">
        <v>0</v>
      </c>
      <c r="AU802" t="s">
        <v>2973</v>
      </c>
      <c r="AV802" t="s">
        <v>2973</v>
      </c>
    </row>
    <row r="803" spans="1:48" x14ac:dyDescent="0.45">
      <c r="A803" s="5" t="s">
        <v>1630</v>
      </c>
      <c r="B803">
        <v>2141</v>
      </c>
      <c r="C803" t="s">
        <v>1626</v>
      </c>
      <c r="D803">
        <v>725</v>
      </c>
      <c r="E803" t="s">
        <v>1631</v>
      </c>
      <c r="F803" t="s">
        <v>2739</v>
      </c>
      <c r="G803" t="s">
        <v>2747</v>
      </c>
      <c r="H803" t="s">
        <v>2745</v>
      </c>
      <c r="I803" t="s">
        <v>2742</v>
      </c>
      <c r="J803">
        <v>477.91764705879302</v>
      </c>
      <c r="K803">
        <v>2</v>
      </c>
      <c r="L803">
        <v>1</v>
      </c>
      <c r="M803">
        <v>2</v>
      </c>
      <c r="N803" s="6">
        <v>3044510.72102015</v>
      </c>
      <c r="O803" s="6">
        <v>998271.51511378097</v>
      </c>
      <c r="P803" s="6">
        <v>1359559.90943197</v>
      </c>
      <c r="Q803" s="6">
        <v>217528.94029717901</v>
      </c>
      <c r="R803" s="6">
        <v>21899.7308281601</v>
      </c>
      <c r="S803" s="6">
        <v>280115.68566592003</v>
      </c>
      <c r="T803" s="6">
        <v>4222058.72</v>
      </c>
      <c r="U803" s="6">
        <v>1419712.0966912301</v>
      </c>
      <c r="V803" s="6">
        <v>5002542.5267417999</v>
      </c>
      <c r="W803" s="6">
        <v>639228.28994943504</v>
      </c>
      <c r="X803" s="6">
        <v>0</v>
      </c>
      <c r="Y803" s="6">
        <v>0</v>
      </c>
      <c r="Z803" s="6">
        <v>0</v>
      </c>
      <c r="AA803" s="6">
        <v>0</v>
      </c>
      <c r="AB803" s="6">
        <v>0</v>
      </c>
      <c r="AC803" s="6">
        <v>163758.11510444901</v>
      </c>
      <c r="AD803" s="6">
        <v>116357.570561471</v>
      </c>
      <c r="AE803" s="6">
        <v>0</v>
      </c>
      <c r="AF803" s="6">
        <v>0</v>
      </c>
      <c r="AG803" s="6">
        <v>0</v>
      </c>
      <c r="AH803" s="6">
        <v>0</v>
      </c>
      <c r="AI803" s="6">
        <v>0</v>
      </c>
      <c r="AJ803" s="6">
        <v>5921886.5023571504</v>
      </c>
      <c r="AK803" s="6">
        <v>12391.018701237999</v>
      </c>
      <c r="AL803" s="6">
        <v>330.98244656580999</v>
      </c>
      <c r="AM803" s="6">
        <v>93035.839999999997</v>
      </c>
      <c r="AN803" s="6">
        <v>3556.7378455645098</v>
      </c>
      <c r="AO803" s="6">
        <v>14351.6550510948</v>
      </c>
      <c r="AP803" s="6">
        <v>3753.1860850462999</v>
      </c>
      <c r="AQ803" s="6">
        <v>20687.885194392002</v>
      </c>
      <c r="AR803" s="6">
        <v>12391.018701237999</v>
      </c>
      <c r="AS803" s="6">
        <v>12391.018701237999</v>
      </c>
      <c r="AT803" s="6">
        <v>0</v>
      </c>
      <c r="AU803" t="s">
        <v>2973</v>
      </c>
      <c r="AV803" t="s">
        <v>2973</v>
      </c>
    </row>
    <row r="804" spans="1:48" x14ac:dyDescent="0.45">
      <c r="A804" s="5" t="s">
        <v>1632</v>
      </c>
      <c r="B804">
        <v>2141</v>
      </c>
      <c r="C804" t="s">
        <v>1626</v>
      </c>
      <c r="D804">
        <v>3146</v>
      </c>
      <c r="E804" t="s">
        <v>1633</v>
      </c>
      <c r="F804" t="s">
        <v>2739</v>
      </c>
      <c r="G804" t="s">
        <v>2740</v>
      </c>
      <c r="H804" t="s">
        <v>2741</v>
      </c>
      <c r="I804" t="s">
        <v>2742</v>
      </c>
      <c r="J804">
        <v>379.67124540829099</v>
      </c>
      <c r="K804">
        <v>4</v>
      </c>
      <c r="L804">
        <v>1</v>
      </c>
      <c r="M804">
        <v>2</v>
      </c>
      <c r="N804" s="6">
        <v>2521397.0580951702</v>
      </c>
      <c r="O804" s="6">
        <v>879171.93260726705</v>
      </c>
      <c r="P804" s="6">
        <v>1042379.071844</v>
      </c>
      <c r="Q804" s="6">
        <v>172811.11962123399</v>
      </c>
      <c r="R804" s="6">
        <v>19253.341560542402</v>
      </c>
      <c r="S804" s="6">
        <v>222531.79368807399</v>
      </c>
      <c r="T804" s="6">
        <v>3507153.23</v>
      </c>
      <c r="U804" s="6">
        <v>1127859.29372821</v>
      </c>
      <c r="V804" s="6">
        <v>4127161.8741620299</v>
      </c>
      <c r="W804" s="6">
        <v>507850.64956617198</v>
      </c>
      <c r="X804" s="6">
        <v>0</v>
      </c>
      <c r="Y804" s="6">
        <v>0</v>
      </c>
      <c r="Z804" s="6">
        <v>0</v>
      </c>
      <c r="AA804" s="6">
        <v>0</v>
      </c>
      <c r="AB804" s="6">
        <v>0</v>
      </c>
      <c r="AC804" s="6">
        <v>130094.060953919</v>
      </c>
      <c r="AD804" s="6">
        <v>92437.732734154997</v>
      </c>
      <c r="AE804" s="6">
        <v>0</v>
      </c>
      <c r="AF804" s="6">
        <v>0</v>
      </c>
      <c r="AG804" s="6">
        <v>0</v>
      </c>
      <c r="AH804" s="6">
        <v>0</v>
      </c>
      <c r="AI804" s="6">
        <v>0</v>
      </c>
      <c r="AJ804" s="6">
        <v>4857544.3174162796</v>
      </c>
      <c r="AK804" s="6">
        <v>12794.080078918199</v>
      </c>
      <c r="AL804" s="6">
        <v>330.98244656580999</v>
      </c>
      <c r="AM804" s="6">
        <v>93035.839999999997</v>
      </c>
      <c r="AN804" s="6">
        <v>3556.7378455645098</v>
      </c>
      <c r="AO804" s="6">
        <v>14351.6550510948</v>
      </c>
      <c r="AP804" s="6">
        <v>330.98244656580999</v>
      </c>
      <c r="AQ804" s="6">
        <v>93035.839999999997</v>
      </c>
      <c r="AR804" s="6">
        <v>12408.918211734899</v>
      </c>
      <c r="AS804" s="6">
        <v>12794.080078918199</v>
      </c>
      <c r="AT804" s="6">
        <v>0</v>
      </c>
      <c r="AU804" t="s">
        <v>2973</v>
      </c>
      <c r="AV804" t="s">
        <v>2973</v>
      </c>
    </row>
    <row r="805" spans="1:48" x14ac:dyDescent="0.45">
      <c r="A805" s="5" t="s">
        <v>1634</v>
      </c>
      <c r="B805">
        <v>2141</v>
      </c>
      <c r="C805" t="s">
        <v>1626</v>
      </c>
      <c r="D805">
        <v>2141</v>
      </c>
      <c r="E805" t="s">
        <v>1626</v>
      </c>
      <c r="F805" t="s">
        <v>1</v>
      </c>
      <c r="G805" t="s">
        <v>1</v>
      </c>
      <c r="H805" t="s">
        <v>2743</v>
      </c>
      <c r="I805" t="s">
        <v>2742</v>
      </c>
      <c r="J805">
        <v>1.7261208576989999</v>
      </c>
      <c r="K805">
        <v>0</v>
      </c>
      <c r="L805">
        <v>0</v>
      </c>
      <c r="M805">
        <v>2</v>
      </c>
      <c r="N805" s="6">
        <v>312.73049290349297</v>
      </c>
      <c r="O805" s="6">
        <v>844.41468356202301</v>
      </c>
      <c r="P805" s="6">
        <v>3113.71082687434</v>
      </c>
      <c r="Q805" s="6">
        <v>785.66096755562899</v>
      </c>
      <c r="R805" s="6">
        <v>71.133529369156605</v>
      </c>
      <c r="S805" s="6">
        <v>1011.70888033168</v>
      </c>
      <c r="T805" s="6">
        <v>0</v>
      </c>
      <c r="U805" s="6">
        <v>5127.65050026464</v>
      </c>
      <c r="V805" s="6">
        <v>4716.0268344078404</v>
      </c>
      <c r="W805" s="6">
        <v>411.62366585679598</v>
      </c>
      <c r="X805" s="6">
        <v>0</v>
      </c>
      <c r="Y805" s="6">
        <v>0</v>
      </c>
      <c r="Z805" s="6">
        <v>0</v>
      </c>
      <c r="AA805" s="6">
        <v>0</v>
      </c>
      <c r="AB805" s="6">
        <v>0</v>
      </c>
      <c r="AC805" s="6">
        <v>591.45398760403805</v>
      </c>
      <c r="AD805" s="6">
        <v>420.254892727639</v>
      </c>
      <c r="AE805" s="6">
        <v>0</v>
      </c>
      <c r="AF805" s="6">
        <v>0</v>
      </c>
      <c r="AG805" s="6">
        <v>0</v>
      </c>
      <c r="AH805" s="6">
        <v>0</v>
      </c>
      <c r="AI805" s="6">
        <v>0</v>
      </c>
      <c r="AJ805" s="6">
        <v>6139.3593805963101</v>
      </c>
      <c r="AK805" s="6">
        <v>3556.7378455645098</v>
      </c>
      <c r="AL805" s="6">
        <v>330.98244656580999</v>
      </c>
      <c r="AM805" s="6">
        <v>93035.839999999997</v>
      </c>
      <c r="AN805" s="6">
        <v>3556.7378455645098</v>
      </c>
      <c r="AO805" s="6">
        <v>14351.6550510948</v>
      </c>
      <c r="AP805" s="6">
        <v>634.54287297753501</v>
      </c>
      <c r="AQ805" s="6">
        <v>40331.279999999999</v>
      </c>
      <c r="AR805" s="6">
        <v>3556.7378455645098</v>
      </c>
      <c r="AS805" s="6">
        <v>3556.7378455645098</v>
      </c>
      <c r="AT805" s="6">
        <v>0</v>
      </c>
      <c r="AU805" t="s">
        <v>2973</v>
      </c>
      <c r="AV805" t="s">
        <v>2977</v>
      </c>
    </row>
    <row r="806" spans="1:48" x14ac:dyDescent="0.45">
      <c r="A806" s="5" t="s">
        <v>1635</v>
      </c>
      <c r="B806">
        <v>2214</v>
      </c>
      <c r="C806" t="s">
        <v>1636</v>
      </c>
      <c r="D806">
        <v>3365</v>
      </c>
      <c r="E806" t="s">
        <v>1637</v>
      </c>
      <c r="F806" t="s">
        <v>3</v>
      </c>
      <c r="G806" t="s">
        <v>2748</v>
      </c>
      <c r="H806" t="s">
        <v>2745</v>
      </c>
      <c r="I806" t="s">
        <v>2742</v>
      </c>
      <c r="J806">
        <v>273.428057553945</v>
      </c>
      <c r="K806">
        <v>1</v>
      </c>
      <c r="L806">
        <v>1</v>
      </c>
      <c r="M806">
        <v>2</v>
      </c>
      <c r="N806" s="6">
        <v>2454150.44</v>
      </c>
      <c r="O806" s="6">
        <v>668196.77</v>
      </c>
      <c r="P806" s="6">
        <v>915891.62</v>
      </c>
      <c r="Q806" s="6">
        <v>306708.93</v>
      </c>
      <c r="R806" s="6">
        <v>267750.62</v>
      </c>
      <c r="S806" s="6">
        <v>136724.79</v>
      </c>
      <c r="T806" s="6">
        <v>2447224.27</v>
      </c>
      <c r="U806" s="6">
        <v>2165474.11</v>
      </c>
      <c r="V806" s="6">
        <v>3867241.09</v>
      </c>
      <c r="W806" s="6">
        <v>745457.29</v>
      </c>
      <c r="X806" s="6">
        <v>0</v>
      </c>
      <c r="Y806" s="6">
        <v>0</v>
      </c>
      <c r="Z806" s="6">
        <v>0</v>
      </c>
      <c r="AA806" s="6">
        <v>0</v>
      </c>
      <c r="AB806" s="6">
        <v>0</v>
      </c>
      <c r="AC806" s="6">
        <v>136724.79</v>
      </c>
      <c r="AD806" s="6">
        <v>0</v>
      </c>
      <c r="AE806" s="6">
        <v>0</v>
      </c>
      <c r="AF806" s="6">
        <v>0</v>
      </c>
      <c r="AG806" s="6">
        <v>0</v>
      </c>
      <c r="AH806" s="6">
        <v>0</v>
      </c>
      <c r="AI806" s="6">
        <v>0</v>
      </c>
      <c r="AJ806" s="6">
        <v>4749423.17</v>
      </c>
      <c r="AK806" s="6">
        <v>17369.918846250701</v>
      </c>
      <c r="AL806" s="6">
        <v>330.98244656580999</v>
      </c>
      <c r="AM806" s="6">
        <v>93035.839999999997</v>
      </c>
      <c r="AN806" s="6">
        <v>17369.918846250701</v>
      </c>
      <c r="AO806" s="6">
        <v>17369.918846250701</v>
      </c>
      <c r="AP806" s="6">
        <v>330.98244656580999</v>
      </c>
      <c r="AQ806" s="6">
        <v>56162.493707719797</v>
      </c>
      <c r="AR806" s="6">
        <v>17369.918846250701</v>
      </c>
      <c r="AS806" s="6">
        <v>17369.918846250701</v>
      </c>
      <c r="AT806" s="6">
        <v>0</v>
      </c>
      <c r="AU806" t="s">
        <v>2973</v>
      </c>
      <c r="AV806" t="s">
        <v>2973</v>
      </c>
    </row>
    <row r="807" spans="1:48" x14ac:dyDescent="0.45">
      <c r="A807" s="5" t="s">
        <v>1638</v>
      </c>
      <c r="B807">
        <v>2143</v>
      </c>
      <c r="C807" t="s">
        <v>1639</v>
      </c>
      <c r="D807">
        <v>656</v>
      </c>
      <c r="E807" t="s">
        <v>1640</v>
      </c>
      <c r="F807" t="s">
        <v>2739</v>
      </c>
      <c r="G807" t="s">
        <v>2740</v>
      </c>
      <c r="H807" t="s">
        <v>2745</v>
      </c>
      <c r="I807" t="s">
        <v>2742</v>
      </c>
      <c r="J807">
        <v>212.29425471955699</v>
      </c>
      <c r="K807">
        <v>1</v>
      </c>
      <c r="L807">
        <v>1</v>
      </c>
      <c r="M807">
        <v>2</v>
      </c>
      <c r="N807" s="6">
        <v>1133345.9096915801</v>
      </c>
      <c r="O807" s="6">
        <v>370249.418591336</v>
      </c>
      <c r="P807" s="6">
        <v>473044.106871575</v>
      </c>
      <c r="Q807" s="6">
        <v>139653.281936588</v>
      </c>
      <c r="R807" s="6">
        <v>124639.507874827</v>
      </c>
      <c r="S807" s="6">
        <v>129380.732283987</v>
      </c>
      <c r="T807" s="6">
        <v>1612315</v>
      </c>
      <c r="U807" s="6">
        <v>628617.22496590996</v>
      </c>
      <c r="V807" s="6">
        <v>1951827.2305170901</v>
      </c>
      <c r="W807" s="6">
        <v>288188.34369748802</v>
      </c>
      <c r="X807" s="6">
        <v>0</v>
      </c>
      <c r="Y807" s="6">
        <v>0</v>
      </c>
      <c r="Z807" s="6">
        <v>0</v>
      </c>
      <c r="AA807" s="6">
        <v>916.650751328149</v>
      </c>
      <c r="AB807" s="6">
        <v>0</v>
      </c>
      <c r="AC807" s="6">
        <v>74984.30039145</v>
      </c>
      <c r="AD807" s="6">
        <v>54396.431892537003</v>
      </c>
      <c r="AE807" s="6">
        <v>0</v>
      </c>
      <c r="AF807" s="6">
        <v>0</v>
      </c>
      <c r="AG807" s="6">
        <v>0</v>
      </c>
      <c r="AH807" s="6">
        <v>0</v>
      </c>
      <c r="AI807" s="6">
        <v>0</v>
      </c>
      <c r="AJ807" s="6">
        <v>2370312.9572498999</v>
      </c>
      <c r="AK807" s="6">
        <v>11165.2242326629</v>
      </c>
      <c r="AL807" s="6">
        <v>330.98244656580999</v>
      </c>
      <c r="AM807" s="6">
        <v>93035.839999999997</v>
      </c>
      <c r="AN807" s="6">
        <v>3570.5062214294098</v>
      </c>
      <c r="AO807" s="6">
        <v>14403.723690061201</v>
      </c>
      <c r="AP807" s="6">
        <v>330.98244656580999</v>
      </c>
      <c r="AQ807" s="6">
        <v>93035.839999999997</v>
      </c>
      <c r="AR807" s="6">
        <v>11165.2242326629</v>
      </c>
      <c r="AS807" s="6">
        <v>12650.407212136301</v>
      </c>
      <c r="AT807" s="6">
        <v>0</v>
      </c>
      <c r="AU807" t="s">
        <v>2973</v>
      </c>
      <c r="AV807" t="s">
        <v>2973</v>
      </c>
    </row>
    <row r="808" spans="1:48" x14ac:dyDescent="0.45">
      <c r="A808" s="5" t="s">
        <v>2960</v>
      </c>
      <c r="B808">
        <v>2143</v>
      </c>
      <c r="C808" t="s">
        <v>1639</v>
      </c>
      <c r="D808">
        <v>2143</v>
      </c>
      <c r="E808" t="s">
        <v>1639</v>
      </c>
      <c r="F808" t="s">
        <v>1</v>
      </c>
      <c r="G808" t="s">
        <v>1</v>
      </c>
      <c r="H808" t="s">
        <v>2743</v>
      </c>
      <c r="I808" t="s">
        <v>2742</v>
      </c>
      <c r="J808">
        <v>0.23121387283200001</v>
      </c>
      <c r="K808">
        <v>0</v>
      </c>
      <c r="L808">
        <v>0</v>
      </c>
      <c r="M808">
        <v>2</v>
      </c>
      <c r="N808" s="6">
        <v>4.31328430923051</v>
      </c>
      <c r="O808" s="6">
        <v>114.137617147998</v>
      </c>
      <c r="P808" s="6">
        <v>278.342048642527</v>
      </c>
      <c r="Q808" s="6">
        <v>152.099152249376</v>
      </c>
      <c r="R808" s="6">
        <v>135.74735388709701</v>
      </c>
      <c r="S808" s="6">
        <v>140.911115191216</v>
      </c>
      <c r="T808" s="6">
        <v>0</v>
      </c>
      <c r="U808" s="6">
        <v>684.63945623622806</v>
      </c>
      <c r="V808" s="6">
        <v>578.44426051551602</v>
      </c>
      <c r="W808" s="6">
        <v>105.196853252477</v>
      </c>
      <c r="X808" s="6">
        <v>0</v>
      </c>
      <c r="Y808" s="6">
        <v>0</v>
      </c>
      <c r="Z808" s="6">
        <v>0</v>
      </c>
      <c r="AA808" s="6">
        <v>0.99834246823552597</v>
      </c>
      <c r="AB808" s="6">
        <v>0</v>
      </c>
      <c r="AC808" s="6">
        <v>81.666885041275094</v>
      </c>
      <c r="AD808" s="6">
        <v>59.244230149940798</v>
      </c>
      <c r="AE808" s="6">
        <v>0</v>
      </c>
      <c r="AF808" s="6">
        <v>0</v>
      </c>
      <c r="AG808" s="6">
        <v>0</v>
      </c>
      <c r="AH808" s="6">
        <v>0</v>
      </c>
      <c r="AI808" s="6">
        <v>0</v>
      </c>
      <c r="AJ808" s="6">
        <v>825.55057142744397</v>
      </c>
      <c r="AK808" s="6">
        <v>3570.5062214294098</v>
      </c>
      <c r="AL808" s="6">
        <v>330.98244656580999</v>
      </c>
      <c r="AM808" s="6">
        <v>93035.839999999997</v>
      </c>
      <c r="AN808" s="6">
        <v>3570.5062214294098</v>
      </c>
      <c r="AO808" s="6">
        <v>14403.723690061201</v>
      </c>
      <c r="AP808" s="6">
        <v>634.54287297753501</v>
      </c>
      <c r="AQ808" s="6">
        <v>40331.279999999999</v>
      </c>
      <c r="AR808" s="6">
        <v>3570.5062214294098</v>
      </c>
      <c r="AS808" s="6">
        <v>3570.5062214294098</v>
      </c>
      <c r="AT808" s="6">
        <v>0</v>
      </c>
      <c r="AU808" t="s">
        <v>2973</v>
      </c>
      <c r="AV808" t="s">
        <v>2977</v>
      </c>
    </row>
    <row r="809" spans="1:48" x14ac:dyDescent="0.45">
      <c r="A809" s="5" t="s">
        <v>1641</v>
      </c>
      <c r="B809">
        <v>2143</v>
      </c>
      <c r="C809" t="s">
        <v>1639</v>
      </c>
      <c r="D809">
        <v>788</v>
      </c>
      <c r="E809" t="s">
        <v>1642</v>
      </c>
      <c r="F809" t="s">
        <v>2739</v>
      </c>
      <c r="G809" t="s">
        <v>2740</v>
      </c>
      <c r="H809" t="s">
        <v>2741</v>
      </c>
      <c r="I809" t="s">
        <v>2742</v>
      </c>
      <c r="J809">
        <v>364.10675990670899</v>
      </c>
      <c r="K809">
        <v>2</v>
      </c>
      <c r="L809">
        <v>1</v>
      </c>
      <c r="M809">
        <v>2</v>
      </c>
      <c r="N809" s="6">
        <v>2478632.3850892498</v>
      </c>
      <c r="O809" s="6">
        <v>681875.77219125698</v>
      </c>
      <c r="P809" s="6">
        <v>770399.52788883902</v>
      </c>
      <c r="Q809" s="6">
        <v>239519.925131469</v>
      </c>
      <c r="R809" s="6">
        <v>213769.73874596899</v>
      </c>
      <c r="S809" s="6">
        <v>221901.43246462601</v>
      </c>
      <c r="T809" s="6">
        <v>3306053.33</v>
      </c>
      <c r="U809" s="6">
        <v>1078144.01904678</v>
      </c>
      <c r="V809" s="6">
        <v>3809732.9782151598</v>
      </c>
      <c r="W809" s="6">
        <v>572892.21931262501</v>
      </c>
      <c r="X809" s="6">
        <v>0</v>
      </c>
      <c r="Y809" s="6">
        <v>0</v>
      </c>
      <c r="Z809" s="6">
        <v>0</v>
      </c>
      <c r="AA809" s="6">
        <v>1572.1515189991401</v>
      </c>
      <c r="AB809" s="6">
        <v>0</v>
      </c>
      <c r="AC809" s="6">
        <v>128605.885710232</v>
      </c>
      <c r="AD809" s="6">
        <v>93295.546754393799</v>
      </c>
      <c r="AE809" s="6">
        <v>0</v>
      </c>
      <c r="AF809" s="6">
        <v>0</v>
      </c>
      <c r="AG809" s="6">
        <v>0</v>
      </c>
      <c r="AH809" s="6">
        <v>0</v>
      </c>
      <c r="AI809" s="6">
        <v>0</v>
      </c>
      <c r="AJ809" s="6">
        <v>4606098.7815114101</v>
      </c>
      <c r="AK809" s="6">
        <v>12650.407212136301</v>
      </c>
      <c r="AL809" s="6">
        <v>330.98244656580999</v>
      </c>
      <c r="AM809" s="6">
        <v>93035.839999999997</v>
      </c>
      <c r="AN809" s="6">
        <v>3570.5062214294098</v>
      </c>
      <c r="AO809" s="6">
        <v>14403.723690061201</v>
      </c>
      <c r="AP809" s="6">
        <v>330.98244656580999</v>
      </c>
      <c r="AQ809" s="6">
        <v>93035.839999999997</v>
      </c>
      <c r="AR809" s="6">
        <v>11165.2242326629</v>
      </c>
      <c r="AS809" s="6">
        <v>12650.407212136301</v>
      </c>
      <c r="AT809" s="6">
        <v>0</v>
      </c>
      <c r="AU809" t="s">
        <v>2973</v>
      </c>
      <c r="AV809" t="s">
        <v>2973</v>
      </c>
    </row>
    <row r="810" spans="1:48" x14ac:dyDescent="0.45">
      <c r="A810" s="5" t="s">
        <v>1643</v>
      </c>
      <c r="B810">
        <v>2143</v>
      </c>
      <c r="C810" t="s">
        <v>1639</v>
      </c>
      <c r="D810">
        <v>809</v>
      </c>
      <c r="E810" t="s">
        <v>1644</v>
      </c>
      <c r="F810" t="s">
        <v>2739</v>
      </c>
      <c r="G810" t="s">
        <v>2744</v>
      </c>
      <c r="H810" t="s">
        <v>2745</v>
      </c>
      <c r="I810" t="s">
        <v>2742</v>
      </c>
      <c r="J810">
        <v>697.39591879107604</v>
      </c>
      <c r="K810">
        <v>1</v>
      </c>
      <c r="L810">
        <v>1</v>
      </c>
      <c r="M810">
        <v>2</v>
      </c>
      <c r="N810" s="6">
        <v>4776093.3092293898</v>
      </c>
      <c r="O810" s="6">
        <v>2310426.9337421102</v>
      </c>
      <c r="P810" s="6">
        <v>1665343.12285048</v>
      </c>
      <c r="Q810" s="6">
        <v>458767.14373176999</v>
      </c>
      <c r="R810" s="6">
        <v>409446.23879180598</v>
      </c>
      <c r="S810" s="6">
        <v>425021.36849745503</v>
      </c>
      <c r="T810" s="6">
        <v>7555041.6500000004</v>
      </c>
      <c r="U810" s="6">
        <v>2065035.09834556</v>
      </c>
      <c r="V810" s="6">
        <v>7664042.2427521404</v>
      </c>
      <c r="W810" s="6">
        <v>1953023.26775386</v>
      </c>
      <c r="X810" s="6">
        <v>0</v>
      </c>
      <c r="Y810" s="6">
        <v>0</v>
      </c>
      <c r="Z810" s="6">
        <v>0</v>
      </c>
      <c r="AA810" s="6">
        <v>3011.2378395614401</v>
      </c>
      <c r="AB810" s="6">
        <v>0</v>
      </c>
      <c r="AC810" s="6">
        <v>246326.70881970899</v>
      </c>
      <c r="AD810" s="6">
        <v>178694.65967774601</v>
      </c>
      <c r="AE810" s="6">
        <v>0</v>
      </c>
      <c r="AF810" s="6">
        <v>0</v>
      </c>
      <c r="AG810" s="6">
        <v>0</v>
      </c>
      <c r="AH810" s="6">
        <v>0</v>
      </c>
      <c r="AI810" s="6">
        <v>0</v>
      </c>
      <c r="AJ810" s="6">
        <v>10045098.116843</v>
      </c>
      <c r="AK810" s="6">
        <v>14403.723690061201</v>
      </c>
      <c r="AL810" s="6">
        <v>330.98244656580999</v>
      </c>
      <c r="AM810" s="6">
        <v>93035.839999999997</v>
      </c>
      <c r="AN810" s="6">
        <v>3570.5062214294098</v>
      </c>
      <c r="AO810" s="6">
        <v>14403.723690061201</v>
      </c>
      <c r="AP810" s="6">
        <v>330.98244656580999</v>
      </c>
      <c r="AQ810" s="6">
        <v>40734.411818744898</v>
      </c>
      <c r="AR810" s="6">
        <v>14403.723690061201</v>
      </c>
      <c r="AS810" s="6">
        <v>14403.723690061201</v>
      </c>
      <c r="AT810" s="6">
        <v>0</v>
      </c>
      <c r="AU810" t="s">
        <v>2973</v>
      </c>
      <c r="AV810" t="s">
        <v>2973</v>
      </c>
    </row>
    <row r="811" spans="1:48" x14ac:dyDescent="0.45">
      <c r="A811" s="5" t="s">
        <v>1645</v>
      </c>
      <c r="B811">
        <v>2143</v>
      </c>
      <c r="C811" t="s">
        <v>1639</v>
      </c>
      <c r="D811">
        <v>789</v>
      </c>
      <c r="E811" t="s">
        <v>1646</v>
      </c>
      <c r="F811" t="s">
        <v>2739</v>
      </c>
      <c r="G811" t="s">
        <v>2747</v>
      </c>
      <c r="H811" t="s">
        <v>2745</v>
      </c>
      <c r="I811" t="s">
        <v>2742</v>
      </c>
      <c r="J811">
        <v>594.145032335206</v>
      </c>
      <c r="K811">
        <v>1</v>
      </c>
      <c r="L811">
        <v>1</v>
      </c>
      <c r="M811">
        <v>2</v>
      </c>
      <c r="N811" s="6">
        <v>3257392.0986262802</v>
      </c>
      <c r="O811" s="6">
        <v>1102174.8598498099</v>
      </c>
      <c r="P811" s="6">
        <v>1175454.7642495499</v>
      </c>
      <c r="Q811" s="6">
        <v>390845.73353877</v>
      </c>
      <c r="R811" s="6">
        <v>348826.88904774701</v>
      </c>
      <c r="S811" s="6">
        <v>362096.08907207299</v>
      </c>
      <c r="T811" s="6">
        <v>4515391.9000000004</v>
      </c>
      <c r="U811" s="6">
        <v>1759302.4453121601</v>
      </c>
      <c r="V811" s="6">
        <v>5703341.4652319299</v>
      </c>
      <c r="W811" s="6">
        <v>568787.46213706001</v>
      </c>
      <c r="X811" s="6">
        <v>0</v>
      </c>
      <c r="Y811" s="6">
        <v>0</v>
      </c>
      <c r="Z811" s="6">
        <v>0</v>
      </c>
      <c r="AA811" s="6">
        <v>2565.41794316293</v>
      </c>
      <c r="AB811" s="6">
        <v>0</v>
      </c>
      <c r="AC811" s="6">
        <v>209857.537782</v>
      </c>
      <c r="AD811" s="6">
        <v>152238.55129007401</v>
      </c>
      <c r="AE811" s="6">
        <v>0</v>
      </c>
      <c r="AF811" s="6">
        <v>0</v>
      </c>
      <c r="AG811" s="6">
        <v>0</v>
      </c>
      <c r="AH811" s="6">
        <v>0</v>
      </c>
      <c r="AI811" s="6">
        <v>0</v>
      </c>
      <c r="AJ811" s="6">
        <v>6636790.4343842296</v>
      </c>
      <c r="AK811" s="6">
        <v>11170.320499523899</v>
      </c>
      <c r="AL811" s="6">
        <v>330.98244656580999</v>
      </c>
      <c r="AM811" s="6">
        <v>93035.839999999997</v>
      </c>
      <c r="AN811" s="6">
        <v>3570.5062214294098</v>
      </c>
      <c r="AO811" s="6">
        <v>14403.723690061201</v>
      </c>
      <c r="AP811" s="6">
        <v>3753.1860850462999</v>
      </c>
      <c r="AQ811" s="6">
        <v>20687.885194392002</v>
      </c>
      <c r="AR811" s="6">
        <v>11170.320499523899</v>
      </c>
      <c r="AS811" s="6">
        <v>11170.320499523899</v>
      </c>
      <c r="AT811" s="6">
        <v>0</v>
      </c>
      <c r="AU811" t="s">
        <v>2973</v>
      </c>
      <c r="AV811" t="s">
        <v>2973</v>
      </c>
    </row>
    <row r="812" spans="1:48" x14ac:dyDescent="0.45">
      <c r="A812" s="5" t="s">
        <v>1647</v>
      </c>
      <c r="B812">
        <v>2143</v>
      </c>
      <c r="C812" t="s">
        <v>1639</v>
      </c>
      <c r="D812">
        <v>717</v>
      </c>
      <c r="E812" t="s">
        <v>1648</v>
      </c>
      <c r="F812" t="s">
        <v>2739</v>
      </c>
      <c r="G812" t="s">
        <v>2740</v>
      </c>
      <c r="H812" t="s">
        <v>2745</v>
      </c>
      <c r="I812" t="s">
        <v>2742</v>
      </c>
      <c r="J812">
        <v>369.91803053385098</v>
      </c>
      <c r="K812">
        <v>1</v>
      </c>
      <c r="L812">
        <v>1</v>
      </c>
      <c r="M812">
        <v>2</v>
      </c>
      <c r="N812" s="6">
        <v>2446516.8540791799</v>
      </c>
      <c r="O812" s="6">
        <v>595336.89800834295</v>
      </c>
      <c r="P812" s="6">
        <v>726581.45609091199</v>
      </c>
      <c r="Q812" s="6">
        <v>243342.74650915599</v>
      </c>
      <c r="R812" s="6">
        <v>217181.578185766</v>
      </c>
      <c r="S812" s="6">
        <v>225443.05656666899</v>
      </c>
      <c r="T812" s="6">
        <v>3133607.96</v>
      </c>
      <c r="U812" s="6">
        <v>1095351.57287336</v>
      </c>
      <c r="V812" s="6">
        <v>3814316.8390231598</v>
      </c>
      <c r="W812" s="6">
        <v>413045.45024572097</v>
      </c>
      <c r="X812" s="6">
        <v>0</v>
      </c>
      <c r="Y812" s="6">
        <v>0</v>
      </c>
      <c r="Z812" s="6">
        <v>0</v>
      </c>
      <c r="AA812" s="6">
        <v>1597.24360448011</v>
      </c>
      <c r="AB812" s="6">
        <v>0</v>
      </c>
      <c r="AC812" s="6">
        <v>130658.48041156901</v>
      </c>
      <c r="AD812" s="6">
        <v>94784.576155100003</v>
      </c>
      <c r="AE812" s="6">
        <v>0</v>
      </c>
      <c r="AF812" s="6">
        <v>0</v>
      </c>
      <c r="AG812" s="6">
        <v>0</v>
      </c>
      <c r="AH812" s="6">
        <v>0</v>
      </c>
      <c r="AI812" s="6">
        <v>0</v>
      </c>
      <c r="AJ812" s="6">
        <v>4454402.58944003</v>
      </c>
      <c r="AK812" s="6">
        <v>12041.5936011868</v>
      </c>
      <c r="AL812" s="6">
        <v>330.98244656580999</v>
      </c>
      <c r="AM812" s="6">
        <v>93035.839999999997</v>
      </c>
      <c r="AN812" s="6">
        <v>3570.5062214294098</v>
      </c>
      <c r="AO812" s="6">
        <v>14403.723690061201</v>
      </c>
      <c r="AP812" s="6">
        <v>330.98244656580999</v>
      </c>
      <c r="AQ812" s="6">
        <v>93035.839999999997</v>
      </c>
      <c r="AR812" s="6">
        <v>11165.2242326629</v>
      </c>
      <c r="AS812" s="6">
        <v>12650.407212136301</v>
      </c>
      <c r="AT812" s="6">
        <v>0</v>
      </c>
      <c r="AU812" t="s">
        <v>2973</v>
      </c>
      <c r="AV812" t="s">
        <v>2973</v>
      </c>
    </row>
    <row r="813" spans="1:48" x14ac:dyDescent="0.45">
      <c r="A813" s="5" t="s">
        <v>1649</v>
      </c>
      <c r="B813">
        <v>4131</v>
      </c>
      <c r="C813" t="s">
        <v>1650</v>
      </c>
      <c r="D813">
        <v>1093</v>
      </c>
      <c r="E813" t="s">
        <v>1651</v>
      </c>
      <c r="F813" t="s">
        <v>2739</v>
      </c>
      <c r="G813" t="s">
        <v>2740</v>
      </c>
      <c r="H813" t="s">
        <v>2741</v>
      </c>
      <c r="I813" t="s">
        <v>2742</v>
      </c>
      <c r="J813">
        <v>447.64330017743202</v>
      </c>
      <c r="K813">
        <v>3</v>
      </c>
      <c r="L813">
        <v>1</v>
      </c>
      <c r="M813">
        <v>2</v>
      </c>
      <c r="N813" s="6">
        <v>3286370.4065869302</v>
      </c>
      <c r="O813" s="6">
        <v>1073187.20019735</v>
      </c>
      <c r="P813" s="6">
        <v>1066592.26417468</v>
      </c>
      <c r="Q813" s="6">
        <v>252391.999776126</v>
      </c>
      <c r="R813" s="6">
        <v>411973.96141299198</v>
      </c>
      <c r="S813" s="6">
        <v>165730.23891517299</v>
      </c>
      <c r="T813" s="6">
        <v>4392314.43</v>
      </c>
      <c r="U813" s="6">
        <v>1698201.4021480801</v>
      </c>
      <c r="V813" s="6">
        <v>5123451.0145806</v>
      </c>
      <c r="W813" s="6">
        <v>967064.81756747502</v>
      </c>
      <c r="X813" s="6">
        <v>0</v>
      </c>
      <c r="Y813" s="6">
        <v>0</v>
      </c>
      <c r="Z813" s="6">
        <v>0</v>
      </c>
      <c r="AA813" s="6">
        <v>0</v>
      </c>
      <c r="AB813" s="6">
        <v>0</v>
      </c>
      <c r="AC813" s="6">
        <v>165730.23891517299</v>
      </c>
      <c r="AD813" s="6">
        <v>0</v>
      </c>
      <c r="AE813" s="6">
        <v>0</v>
      </c>
      <c r="AF813" s="6">
        <v>0</v>
      </c>
      <c r="AG813" s="6">
        <v>0</v>
      </c>
      <c r="AH813" s="6">
        <v>0</v>
      </c>
      <c r="AI813" s="6">
        <v>0</v>
      </c>
      <c r="AJ813" s="6">
        <v>6256246.0710632503</v>
      </c>
      <c r="AK813" s="6">
        <v>13975.9627108983</v>
      </c>
      <c r="AL813" s="6">
        <v>330.98244656580999</v>
      </c>
      <c r="AM813" s="6">
        <v>93035.839999999997</v>
      </c>
      <c r="AN813" s="6">
        <v>4163.8769983253296</v>
      </c>
      <c r="AO813" s="6">
        <v>15768.209596693499</v>
      </c>
      <c r="AP813" s="6">
        <v>330.98244656580999</v>
      </c>
      <c r="AQ813" s="6">
        <v>93035.839999999997</v>
      </c>
      <c r="AR813" s="6">
        <v>5754.1190018963898</v>
      </c>
      <c r="AS813" s="6">
        <v>14189.531633483801</v>
      </c>
      <c r="AT813" s="6">
        <v>0</v>
      </c>
      <c r="AU813" t="s">
        <v>2973</v>
      </c>
      <c r="AV813" t="s">
        <v>2973</v>
      </c>
    </row>
    <row r="814" spans="1:48" x14ac:dyDescent="0.45">
      <c r="A814" s="5" t="s">
        <v>1652</v>
      </c>
      <c r="B814">
        <v>4131</v>
      </c>
      <c r="C814" t="s">
        <v>1650</v>
      </c>
      <c r="D814">
        <v>1097</v>
      </c>
      <c r="E814" t="s">
        <v>1653</v>
      </c>
      <c r="F814" t="s">
        <v>2739</v>
      </c>
      <c r="G814" t="s">
        <v>2740</v>
      </c>
      <c r="H814" t="s">
        <v>2741</v>
      </c>
      <c r="I814" t="s">
        <v>2742</v>
      </c>
      <c r="J814">
        <v>326.11204943509699</v>
      </c>
      <c r="K814">
        <v>2</v>
      </c>
      <c r="L814">
        <v>1</v>
      </c>
      <c r="M814">
        <v>2</v>
      </c>
      <c r="N814" s="6">
        <v>2363863.3180045299</v>
      </c>
      <c r="O814" s="6">
        <v>852084.47128255595</v>
      </c>
      <c r="P814" s="6">
        <v>806697.12866813201</v>
      </c>
      <c r="Q814" s="6">
        <v>183869.77371355801</v>
      </c>
      <c r="R814" s="6">
        <v>300126.624964641</v>
      </c>
      <c r="S814" s="6">
        <v>120735.924886116</v>
      </c>
      <c r="T814" s="6">
        <v>3269486.78</v>
      </c>
      <c r="U814" s="6">
        <v>1237154.53663342</v>
      </c>
      <c r="V814" s="6">
        <v>3802721.8674469502</v>
      </c>
      <c r="W814" s="6">
        <v>703919.44918646303</v>
      </c>
      <c r="X814" s="6">
        <v>0</v>
      </c>
      <c r="Y814" s="6">
        <v>0</v>
      </c>
      <c r="Z814" s="6">
        <v>0</v>
      </c>
      <c r="AA814" s="6">
        <v>0</v>
      </c>
      <c r="AB814" s="6">
        <v>0</v>
      </c>
      <c r="AC814" s="6">
        <v>120735.924886116</v>
      </c>
      <c r="AD814" s="6">
        <v>0</v>
      </c>
      <c r="AE814" s="6">
        <v>0</v>
      </c>
      <c r="AF814" s="6">
        <v>0</v>
      </c>
      <c r="AG814" s="6">
        <v>0</v>
      </c>
      <c r="AH814" s="6">
        <v>0</v>
      </c>
      <c r="AI814" s="6">
        <v>0</v>
      </c>
      <c r="AJ814" s="6">
        <v>4627377.2415195396</v>
      </c>
      <c r="AK814" s="6">
        <v>14189.531633483801</v>
      </c>
      <c r="AL814" s="6">
        <v>330.98244656580999</v>
      </c>
      <c r="AM814" s="6">
        <v>93035.839999999997</v>
      </c>
      <c r="AN814" s="6">
        <v>4163.8769983253296</v>
      </c>
      <c r="AO814" s="6">
        <v>15768.209596693499</v>
      </c>
      <c r="AP814" s="6">
        <v>330.98244656580999</v>
      </c>
      <c r="AQ814" s="6">
        <v>93035.839999999997</v>
      </c>
      <c r="AR814" s="6">
        <v>5754.1190018963898</v>
      </c>
      <c r="AS814" s="6">
        <v>14189.531633483801</v>
      </c>
      <c r="AT814" s="6">
        <v>0</v>
      </c>
      <c r="AU814" t="s">
        <v>2973</v>
      </c>
      <c r="AV814" t="s">
        <v>2973</v>
      </c>
    </row>
    <row r="815" spans="1:48" x14ac:dyDescent="0.45">
      <c r="A815" s="5" t="s">
        <v>1654</v>
      </c>
      <c r="B815">
        <v>4131</v>
      </c>
      <c r="C815" t="s">
        <v>1650</v>
      </c>
      <c r="D815">
        <v>1098</v>
      </c>
      <c r="E815" t="s">
        <v>1655</v>
      </c>
      <c r="F815" t="s">
        <v>2739</v>
      </c>
      <c r="G815" t="s">
        <v>2740</v>
      </c>
      <c r="H815" t="s">
        <v>2741</v>
      </c>
      <c r="I815" t="s">
        <v>2742</v>
      </c>
      <c r="J815">
        <v>452.39705235847998</v>
      </c>
      <c r="K815">
        <v>2</v>
      </c>
      <c r="L815">
        <v>1</v>
      </c>
      <c r="M815">
        <v>2</v>
      </c>
      <c r="N815" s="6">
        <v>3236189.7492801799</v>
      </c>
      <c r="O815" s="6">
        <v>992107.83437486796</v>
      </c>
      <c r="P815" s="6">
        <v>1111538.48236475</v>
      </c>
      <c r="Q815" s="6">
        <v>255072.27896033201</v>
      </c>
      <c r="R815" s="6">
        <v>416348.92271996499</v>
      </c>
      <c r="S815" s="6">
        <v>167490.212725563</v>
      </c>
      <c r="T815" s="6">
        <v>4295021.8</v>
      </c>
      <c r="U815" s="6">
        <v>1716235.46770009</v>
      </c>
      <c r="V815" s="6">
        <v>5143491.0523364795</v>
      </c>
      <c r="W815" s="6">
        <v>867766.215363606</v>
      </c>
      <c r="X815" s="6">
        <v>0</v>
      </c>
      <c r="Y815" s="6">
        <v>0</v>
      </c>
      <c r="Z815" s="6">
        <v>0</v>
      </c>
      <c r="AA815" s="6">
        <v>0</v>
      </c>
      <c r="AB815" s="6">
        <v>0</v>
      </c>
      <c r="AC815" s="6">
        <v>167490.212725563</v>
      </c>
      <c r="AD815" s="6">
        <v>0</v>
      </c>
      <c r="AE815" s="6">
        <v>0</v>
      </c>
      <c r="AF815" s="6">
        <v>0</v>
      </c>
      <c r="AG815" s="6">
        <v>0</v>
      </c>
      <c r="AH815" s="6">
        <v>0</v>
      </c>
      <c r="AI815" s="6">
        <v>0</v>
      </c>
      <c r="AJ815" s="6">
        <v>6178747.48042564</v>
      </c>
      <c r="AK815" s="6">
        <v>13657.797830940801</v>
      </c>
      <c r="AL815" s="6">
        <v>330.98244656580999</v>
      </c>
      <c r="AM815" s="6">
        <v>93035.839999999997</v>
      </c>
      <c r="AN815" s="6">
        <v>4163.8769983253296</v>
      </c>
      <c r="AO815" s="6">
        <v>15768.209596693499</v>
      </c>
      <c r="AP815" s="6">
        <v>330.98244656580999</v>
      </c>
      <c r="AQ815" s="6">
        <v>93035.839999999997</v>
      </c>
      <c r="AR815" s="6">
        <v>5754.1190018963898</v>
      </c>
      <c r="AS815" s="6">
        <v>14189.531633483801</v>
      </c>
      <c r="AT815" s="6">
        <v>0</v>
      </c>
      <c r="AU815" t="s">
        <v>2973</v>
      </c>
      <c r="AV815" t="s">
        <v>2973</v>
      </c>
    </row>
    <row r="816" spans="1:48" x14ac:dyDescent="0.45">
      <c r="A816" s="5" t="s">
        <v>1656</v>
      </c>
      <c r="B816">
        <v>4131</v>
      </c>
      <c r="C816" t="s">
        <v>1650</v>
      </c>
      <c r="D816">
        <v>1095</v>
      </c>
      <c r="E816" t="s">
        <v>1657</v>
      </c>
      <c r="F816" t="s">
        <v>3</v>
      </c>
      <c r="G816" t="s">
        <v>2740</v>
      </c>
      <c r="H816" t="s">
        <v>2741</v>
      </c>
      <c r="I816" t="s">
        <v>2742</v>
      </c>
      <c r="J816">
        <v>198.83335950751899</v>
      </c>
      <c r="K816">
        <v>2</v>
      </c>
      <c r="L816">
        <v>1</v>
      </c>
      <c r="M816">
        <v>2</v>
      </c>
      <c r="N816" s="6">
        <v>340967.82386746298</v>
      </c>
      <c r="O816" s="6">
        <v>130704.351154025</v>
      </c>
      <c r="P816" s="6">
        <v>303728.06754253001</v>
      </c>
      <c r="Q816" s="6">
        <v>112107.003965918</v>
      </c>
      <c r="R816" s="6">
        <v>182989.81967316</v>
      </c>
      <c r="S816" s="6">
        <v>73613.745950014898</v>
      </c>
      <c r="T816" s="6">
        <v>316193.15999999997</v>
      </c>
      <c r="U816" s="6">
        <v>754303.90620309603</v>
      </c>
      <c r="V816" s="6">
        <v>812350.18680472905</v>
      </c>
      <c r="W816" s="6">
        <v>258146.879398366</v>
      </c>
      <c r="X816" s="6">
        <v>0</v>
      </c>
      <c r="Y816" s="6">
        <v>0</v>
      </c>
      <c r="Z816" s="6">
        <v>0</v>
      </c>
      <c r="AA816" s="6">
        <v>0</v>
      </c>
      <c r="AB816" s="6">
        <v>0</v>
      </c>
      <c r="AC816" s="6">
        <v>73613.745950014898</v>
      </c>
      <c r="AD816" s="6">
        <v>0</v>
      </c>
      <c r="AE816" s="6">
        <v>0</v>
      </c>
      <c r="AF816" s="6">
        <v>0</v>
      </c>
      <c r="AG816" s="6">
        <v>0</v>
      </c>
      <c r="AH816" s="6">
        <v>0</v>
      </c>
      <c r="AI816" s="6">
        <v>0</v>
      </c>
      <c r="AJ816" s="6">
        <v>1144110.81215311</v>
      </c>
      <c r="AK816" s="6">
        <v>5754.1190018963898</v>
      </c>
      <c r="AL816" s="6">
        <v>330.98244656580999</v>
      </c>
      <c r="AM816" s="6">
        <v>93035.839999999997</v>
      </c>
      <c r="AN816" s="6">
        <v>4163.8769983253296</v>
      </c>
      <c r="AO816" s="6">
        <v>15768.209596693499</v>
      </c>
      <c r="AP816" s="6">
        <v>330.98244656580999</v>
      </c>
      <c r="AQ816" s="6">
        <v>93035.839999999997</v>
      </c>
      <c r="AR816" s="6">
        <v>5754.1190018963898</v>
      </c>
      <c r="AS816" s="6">
        <v>14189.531633483801</v>
      </c>
      <c r="AT816" s="6">
        <v>0</v>
      </c>
      <c r="AU816" t="s">
        <v>2973</v>
      </c>
      <c r="AV816" t="s">
        <v>2973</v>
      </c>
    </row>
    <row r="817" spans="1:48" x14ac:dyDescent="0.45">
      <c r="A817" s="5" t="s">
        <v>1658</v>
      </c>
      <c r="B817">
        <v>4131</v>
      </c>
      <c r="C817" t="s">
        <v>1650</v>
      </c>
      <c r="D817">
        <v>4131</v>
      </c>
      <c r="E817" t="s">
        <v>1650</v>
      </c>
      <c r="F817" t="s">
        <v>1</v>
      </c>
      <c r="G817" t="s">
        <v>1</v>
      </c>
      <c r="H817" t="s">
        <v>2743</v>
      </c>
      <c r="I817" t="s">
        <v>2742</v>
      </c>
      <c r="J817">
        <v>43.717187380153</v>
      </c>
      <c r="K817">
        <v>1</v>
      </c>
      <c r="L817">
        <v>1</v>
      </c>
      <c r="M817">
        <v>2</v>
      </c>
      <c r="N817" s="6">
        <v>14265.0410739007</v>
      </c>
      <c r="O817" s="6">
        <v>19919.892733039102</v>
      </c>
      <c r="P817" s="6">
        <v>66780.2267901952</v>
      </c>
      <c r="Q817" s="6">
        <v>24648.7959120374</v>
      </c>
      <c r="R817" s="6">
        <v>40233.692450433096</v>
      </c>
      <c r="S817" s="6">
        <v>16185.342004091999</v>
      </c>
      <c r="T817" s="6">
        <v>0</v>
      </c>
      <c r="U817" s="6">
        <v>165847.64895960499</v>
      </c>
      <c r="V817" s="6">
        <v>127333.89090133199</v>
      </c>
      <c r="W817" s="6">
        <v>38513.758058273197</v>
      </c>
      <c r="X817" s="6">
        <v>0</v>
      </c>
      <c r="Y817" s="6">
        <v>0</v>
      </c>
      <c r="Z817" s="6">
        <v>0</v>
      </c>
      <c r="AA817" s="6">
        <v>0</v>
      </c>
      <c r="AB817" s="6">
        <v>0</v>
      </c>
      <c r="AC817" s="6">
        <v>16185.342004091999</v>
      </c>
      <c r="AD817" s="6">
        <v>0</v>
      </c>
      <c r="AE817" s="6">
        <v>0</v>
      </c>
      <c r="AF817" s="6">
        <v>0</v>
      </c>
      <c r="AG817" s="6">
        <v>0</v>
      </c>
      <c r="AH817" s="6">
        <v>0</v>
      </c>
      <c r="AI817" s="6">
        <v>0</v>
      </c>
      <c r="AJ817" s="6">
        <v>182032.99096369799</v>
      </c>
      <c r="AK817" s="6">
        <v>4163.8769983253296</v>
      </c>
      <c r="AL817" s="6">
        <v>330.98244656580999</v>
      </c>
      <c r="AM817" s="6">
        <v>93035.839999999997</v>
      </c>
      <c r="AN817" s="6">
        <v>4163.8769983253296</v>
      </c>
      <c r="AO817" s="6">
        <v>15768.209596693499</v>
      </c>
      <c r="AP817" s="6">
        <v>634.54287297753501</v>
      </c>
      <c r="AQ817" s="6">
        <v>40331.279999999999</v>
      </c>
      <c r="AR817" s="6">
        <v>4163.8769983253296</v>
      </c>
      <c r="AS817" s="6">
        <v>4163.8769983253296</v>
      </c>
      <c r="AT817" s="6">
        <v>0</v>
      </c>
      <c r="AU817" t="s">
        <v>2973</v>
      </c>
      <c r="AV817" t="s">
        <v>2977</v>
      </c>
    </row>
    <row r="818" spans="1:48" x14ac:dyDescent="0.45">
      <c r="A818" s="5" t="s">
        <v>1659</v>
      </c>
      <c r="B818">
        <v>4131</v>
      </c>
      <c r="C818" t="s">
        <v>1650</v>
      </c>
      <c r="D818">
        <v>1101</v>
      </c>
      <c r="E818" t="s">
        <v>1660</v>
      </c>
      <c r="F818" t="s">
        <v>2739</v>
      </c>
      <c r="G818" t="s">
        <v>2744</v>
      </c>
      <c r="H818" t="s">
        <v>2745</v>
      </c>
      <c r="I818" t="s">
        <v>2742</v>
      </c>
      <c r="J818">
        <v>791.78224444308501</v>
      </c>
      <c r="K818">
        <v>1</v>
      </c>
      <c r="L818">
        <v>1</v>
      </c>
      <c r="M818">
        <v>2</v>
      </c>
      <c r="N818" s="6">
        <v>6055592.0610246602</v>
      </c>
      <c r="O818" s="6">
        <v>2801506.8705615099</v>
      </c>
      <c r="P818" s="6">
        <v>2118233.54138389</v>
      </c>
      <c r="Q818" s="6">
        <v>478106.267978677</v>
      </c>
      <c r="R818" s="6">
        <v>738409.41310052702</v>
      </c>
      <c r="S818" s="6">
        <v>293140.23126970202</v>
      </c>
      <c r="T818" s="6">
        <v>9188104.5099999998</v>
      </c>
      <c r="U818" s="6">
        <v>3003743.6440492701</v>
      </c>
      <c r="V818" s="6">
        <v>10269668.2699496</v>
      </c>
      <c r="W818" s="6">
        <v>1922179.88409972</v>
      </c>
      <c r="X818" s="6">
        <v>0</v>
      </c>
      <c r="Y818" s="6">
        <v>0</v>
      </c>
      <c r="Z818" s="6">
        <v>0</v>
      </c>
      <c r="AA818" s="6">
        <v>0</v>
      </c>
      <c r="AB818" s="6">
        <v>0</v>
      </c>
      <c r="AC818" s="6">
        <v>293140.23126970202</v>
      </c>
      <c r="AD818" s="6">
        <v>0</v>
      </c>
      <c r="AE818" s="6">
        <v>0</v>
      </c>
      <c r="AF818" s="6">
        <v>0</v>
      </c>
      <c r="AG818" s="6">
        <v>0</v>
      </c>
      <c r="AH818" s="6">
        <v>0</v>
      </c>
      <c r="AI818" s="6">
        <v>0</v>
      </c>
      <c r="AJ818" s="6">
        <v>12484988.385319</v>
      </c>
      <c r="AK818" s="6">
        <v>15768.209596693499</v>
      </c>
      <c r="AL818" s="6">
        <v>330.98244656580999</v>
      </c>
      <c r="AM818" s="6">
        <v>93035.839999999997</v>
      </c>
      <c r="AN818" s="6">
        <v>4163.8769983253296</v>
      </c>
      <c r="AO818" s="6">
        <v>15768.209596693499</v>
      </c>
      <c r="AP818" s="6">
        <v>330.98244656580999</v>
      </c>
      <c r="AQ818" s="6">
        <v>40734.411818744898</v>
      </c>
      <c r="AR818" s="6">
        <v>4163.8769983253296</v>
      </c>
      <c r="AS818" s="6">
        <v>15768.209596693499</v>
      </c>
      <c r="AT818" s="6">
        <v>0</v>
      </c>
      <c r="AU818" t="s">
        <v>2973</v>
      </c>
      <c r="AV818" t="s">
        <v>2973</v>
      </c>
    </row>
    <row r="819" spans="1:48" x14ac:dyDescent="0.45">
      <c r="A819" s="5" t="s">
        <v>1661</v>
      </c>
      <c r="B819">
        <v>4131</v>
      </c>
      <c r="C819" t="s">
        <v>1650</v>
      </c>
      <c r="D819">
        <v>1100</v>
      </c>
      <c r="E819" t="s">
        <v>1662</v>
      </c>
      <c r="F819" t="s">
        <v>2739</v>
      </c>
      <c r="G819" t="s">
        <v>2747</v>
      </c>
      <c r="H819" t="s">
        <v>2745</v>
      </c>
      <c r="I819" t="s">
        <v>2742</v>
      </c>
      <c r="J819">
        <v>600.70491749259895</v>
      </c>
      <c r="K819">
        <v>1</v>
      </c>
      <c r="L819">
        <v>1</v>
      </c>
      <c r="M819">
        <v>2</v>
      </c>
      <c r="N819" s="6">
        <v>3665474.9523726101</v>
      </c>
      <c r="O819" s="6">
        <v>1459077.1833724501</v>
      </c>
      <c r="P819" s="6">
        <v>1590062.8879750101</v>
      </c>
      <c r="Q819" s="6">
        <v>338691.80068419402</v>
      </c>
      <c r="R819" s="6">
        <v>552839.24589421903</v>
      </c>
      <c r="S819" s="6">
        <v>222397.98842986699</v>
      </c>
      <c r="T819" s="6">
        <v>5327282.67</v>
      </c>
      <c r="U819" s="6">
        <v>2278863.4002984799</v>
      </c>
      <c r="V819" s="6">
        <v>6609487.3832351398</v>
      </c>
      <c r="W819" s="6">
        <v>996658.68706333905</v>
      </c>
      <c r="X819" s="6">
        <v>0</v>
      </c>
      <c r="Y819" s="6">
        <v>0</v>
      </c>
      <c r="Z819" s="6">
        <v>0</v>
      </c>
      <c r="AA819" s="6">
        <v>0</v>
      </c>
      <c r="AB819" s="6">
        <v>0</v>
      </c>
      <c r="AC819" s="6">
        <v>222397.98842986699</v>
      </c>
      <c r="AD819" s="6">
        <v>0</v>
      </c>
      <c r="AE819" s="6">
        <v>0</v>
      </c>
      <c r="AF819" s="6">
        <v>0</v>
      </c>
      <c r="AG819" s="6">
        <v>0</v>
      </c>
      <c r="AH819" s="6">
        <v>0</v>
      </c>
      <c r="AI819" s="6">
        <v>0</v>
      </c>
      <c r="AJ819" s="6">
        <v>7828544.0587283401</v>
      </c>
      <c r="AK819" s="6">
        <v>13032.2623150905</v>
      </c>
      <c r="AL819" s="6">
        <v>330.98244656580999</v>
      </c>
      <c r="AM819" s="6">
        <v>93035.839999999997</v>
      </c>
      <c r="AN819" s="6">
        <v>4163.8769983253296</v>
      </c>
      <c r="AO819" s="6">
        <v>15768.209596693499</v>
      </c>
      <c r="AP819" s="6">
        <v>3753.1860850462999</v>
      </c>
      <c r="AQ819" s="6">
        <v>20687.885194392002</v>
      </c>
      <c r="AR819" s="6">
        <v>13032.2623150905</v>
      </c>
      <c r="AS819" s="6">
        <v>13032.2623150905</v>
      </c>
      <c r="AT819" s="6">
        <v>0</v>
      </c>
      <c r="AU819" t="s">
        <v>2973</v>
      </c>
      <c r="AV819" t="s">
        <v>2973</v>
      </c>
    </row>
    <row r="820" spans="1:48" x14ac:dyDescent="0.45">
      <c r="A820" s="5" t="s">
        <v>1663</v>
      </c>
      <c r="B820">
        <v>4131</v>
      </c>
      <c r="C820" t="s">
        <v>1650</v>
      </c>
      <c r="D820">
        <v>5250</v>
      </c>
      <c r="E820" t="s">
        <v>1664</v>
      </c>
      <c r="F820" t="s">
        <v>3</v>
      </c>
      <c r="G820" t="s">
        <v>2744</v>
      </c>
      <c r="H820" t="s">
        <v>2745</v>
      </c>
      <c r="I820" t="s">
        <v>2742</v>
      </c>
      <c r="J820">
        <v>57.306027513162</v>
      </c>
      <c r="K820">
        <v>1</v>
      </c>
      <c r="L820">
        <v>2</v>
      </c>
      <c r="M820">
        <v>2</v>
      </c>
      <c r="N820" s="6">
        <v>18699.1177897337</v>
      </c>
      <c r="O820" s="6">
        <v>26111.696324201599</v>
      </c>
      <c r="P820" s="6">
        <v>87537.871100817603</v>
      </c>
      <c r="Q820" s="6">
        <v>32310.509009159101</v>
      </c>
      <c r="R820" s="6">
        <v>52739.739784068202</v>
      </c>
      <c r="S820" s="6">
        <v>21216.315819473701</v>
      </c>
      <c r="T820" s="6">
        <v>0</v>
      </c>
      <c r="U820" s="6">
        <v>217398.93400797999</v>
      </c>
      <c r="V820" s="6">
        <v>166913.74474521799</v>
      </c>
      <c r="W820" s="6">
        <v>50485.189262762302</v>
      </c>
      <c r="X820" s="6">
        <v>0</v>
      </c>
      <c r="Y820" s="6">
        <v>0</v>
      </c>
      <c r="Z820" s="6">
        <v>0</v>
      </c>
      <c r="AA820" s="6">
        <v>0</v>
      </c>
      <c r="AB820" s="6">
        <v>0</v>
      </c>
      <c r="AC820" s="6">
        <v>21216.315819473701</v>
      </c>
      <c r="AD820" s="6">
        <v>0</v>
      </c>
      <c r="AE820" s="6">
        <v>0</v>
      </c>
      <c r="AF820" s="6">
        <v>0</v>
      </c>
      <c r="AG820" s="6">
        <v>0</v>
      </c>
      <c r="AH820" s="6">
        <v>0</v>
      </c>
      <c r="AI820" s="6">
        <v>0</v>
      </c>
      <c r="AJ820" s="6">
        <v>238615.24982745401</v>
      </c>
      <c r="AK820" s="6">
        <v>4163.8769983253296</v>
      </c>
      <c r="AL820" s="6">
        <v>330.98244656580999</v>
      </c>
      <c r="AM820" s="6">
        <v>93035.839999999997</v>
      </c>
      <c r="AN820" s="6">
        <v>4163.8769983253296</v>
      </c>
      <c r="AO820" s="6">
        <v>15768.209596693499</v>
      </c>
      <c r="AP820" s="6">
        <v>330.98244656580999</v>
      </c>
      <c r="AQ820" s="6">
        <v>40734.411818744898</v>
      </c>
      <c r="AR820" s="6">
        <v>4163.8769983253296</v>
      </c>
      <c r="AS820" s="6">
        <v>15768.209596693499</v>
      </c>
      <c r="AT820" s="6">
        <v>0</v>
      </c>
      <c r="AU820" t="s">
        <v>2973</v>
      </c>
      <c r="AV820" t="s">
        <v>2976</v>
      </c>
    </row>
    <row r="821" spans="1:48" x14ac:dyDescent="0.45">
      <c r="A821" s="5" t="s">
        <v>1667</v>
      </c>
      <c r="B821">
        <v>2110</v>
      </c>
      <c r="C821" t="s">
        <v>1668</v>
      </c>
      <c r="D821">
        <v>702</v>
      </c>
      <c r="E821" t="s">
        <v>1669</v>
      </c>
      <c r="F821" t="s">
        <v>2739</v>
      </c>
      <c r="G821" t="s">
        <v>2740</v>
      </c>
      <c r="H821" t="s">
        <v>2741</v>
      </c>
      <c r="I821" t="s">
        <v>2742</v>
      </c>
      <c r="J821">
        <v>581.53086419747001</v>
      </c>
      <c r="K821">
        <v>5</v>
      </c>
      <c r="L821">
        <v>1</v>
      </c>
      <c r="M821">
        <v>3</v>
      </c>
      <c r="N821" s="6">
        <v>4584246.8495611399</v>
      </c>
      <c r="O821" s="6">
        <v>670396.822944724</v>
      </c>
      <c r="P821" s="6">
        <v>1666042.3683048601</v>
      </c>
      <c r="Q821" s="6">
        <v>339312.464723618</v>
      </c>
      <c r="R821" s="6">
        <v>175762.165279732</v>
      </c>
      <c r="S821" s="6">
        <v>272493.08944723703</v>
      </c>
      <c r="T821" s="6">
        <v>4343379.18</v>
      </c>
      <c r="U821" s="6">
        <v>3092381.49081408</v>
      </c>
      <c r="V821" s="6">
        <v>5513698.01598325</v>
      </c>
      <c r="W821" s="6">
        <v>1922062.6548308199</v>
      </c>
      <c r="X821" s="6">
        <v>0</v>
      </c>
      <c r="Y821" s="6">
        <v>0</v>
      </c>
      <c r="Z821" s="6">
        <v>0</v>
      </c>
      <c r="AA821" s="6">
        <v>0</v>
      </c>
      <c r="AB821" s="6">
        <v>0</v>
      </c>
      <c r="AC821" s="6">
        <v>272320.936951424</v>
      </c>
      <c r="AD821" s="6">
        <v>172.15249581239601</v>
      </c>
      <c r="AE821" s="6">
        <v>0</v>
      </c>
      <c r="AF821" s="6">
        <v>0</v>
      </c>
      <c r="AG821" s="6">
        <v>0</v>
      </c>
      <c r="AH821" s="6">
        <v>0</v>
      </c>
      <c r="AI821" s="6">
        <v>0</v>
      </c>
      <c r="AJ821" s="6">
        <v>7708253.7602613103</v>
      </c>
      <c r="AK821" s="6">
        <v>13255.106882244199</v>
      </c>
      <c r="AL821" s="6">
        <v>330.98244656580999</v>
      </c>
      <c r="AM821" s="6">
        <v>93035.839999999997</v>
      </c>
      <c r="AN821" s="6">
        <v>13255.106882244199</v>
      </c>
      <c r="AO821" s="6">
        <v>16075.5787795756</v>
      </c>
      <c r="AP821" s="6">
        <v>330.98244656580999</v>
      </c>
      <c r="AQ821" s="6">
        <v>93035.839999999997</v>
      </c>
      <c r="AR821" s="6">
        <v>13255.106882244199</v>
      </c>
      <c r="AS821" s="6">
        <v>13255.106882244199</v>
      </c>
      <c r="AT821" s="6">
        <v>0</v>
      </c>
      <c r="AU821" t="s">
        <v>2973</v>
      </c>
      <c r="AV821" t="s">
        <v>2973</v>
      </c>
    </row>
    <row r="822" spans="1:48" x14ac:dyDescent="0.45">
      <c r="A822" s="5" t="s">
        <v>1670</v>
      </c>
      <c r="B822">
        <v>2110</v>
      </c>
      <c r="C822" t="s">
        <v>1668</v>
      </c>
      <c r="D822">
        <v>704</v>
      </c>
      <c r="E822" t="s">
        <v>1671</v>
      </c>
      <c r="F822" t="s">
        <v>2739</v>
      </c>
      <c r="G822" t="s">
        <v>2744</v>
      </c>
      <c r="H822" t="s">
        <v>2741</v>
      </c>
      <c r="I822" t="s">
        <v>2742</v>
      </c>
      <c r="J822">
        <v>336.51234567897598</v>
      </c>
      <c r="K822">
        <v>2</v>
      </c>
      <c r="L822">
        <v>1</v>
      </c>
      <c r="M822">
        <v>3</v>
      </c>
      <c r="N822" s="6">
        <v>3025567.8678083098</v>
      </c>
      <c r="O822" s="6">
        <v>852025.05969770602</v>
      </c>
      <c r="P822" s="6">
        <v>974221.82187552203</v>
      </c>
      <c r="Q822" s="6">
        <v>175315.80551978599</v>
      </c>
      <c r="R822" s="6">
        <v>101707.651581867</v>
      </c>
      <c r="S822" s="6">
        <v>157682.58291457201</v>
      </c>
      <c r="T822" s="6">
        <v>3339381.08</v>
      </c>
      <c r="U822" s="6">
        <v>1789457.1264831901</v>
      </c>
      <c r="V822" s="6">
        <v>4140655.9498042301</v>
      </c>
      <c r="W822" s="6">
        <v>988182.25667896494</v>
      </c>
      <c r="X822" s="6">
        <v>0</v>
      </c>
      <c r="Y822" s="6">
        <v>0</v>
      </c>
      <c r="Z822" s="6">
        <v>0</v>
      </c>
      <c r="AA822" s="6">
        <v>0</v>
      </c>
      <c r="AB822" s="6">
        <v>0</v>
      </c>
      <c r="AC822" s="6">
        <v>157582.964057265</v>
      </c>
      <c r="AD822" s="6">
        <v>99.618857307369893</v>
      </c>
      <c r="AE822" s="6">
        <v>0</v>
      </c>
      <c r="AF822" s="6">
        <v>0</v>
      </c>
      <c r="AG822" s="6">
        <v>0</v>
      </c>
      <c r="AH822" s="6">
        <v>0</v>
      </c>
      <c r="AI822" s="6">
        <v>0</v>
      </c>
      <c r="AJ822" s="6">
        <v>5286520.7893977603</v>
      </c>
      <c r="AK822" s="6">
        <v>15709.7380149047</v>
      </c>
      <c r="AL822" s="6">
        <v>330.98244656580999</v>
      </c>
      <c r="AM822" s="6">
        <v>93035.839999999997</v>
      </c>
      <c r="AN822" s="6">
        <v>13255.106882244199</v>
      </c>
      <c r="AO822" s="6">
        <v>16075.5787795756</v>
      </c>
      <c r="AP822" s="6">
        <v>330.98244656580999</v>
      </c>
      <c r="AQ822" s="6">
        <v>40734.411818744898</v>
      </c>
      <c r="AR822" s="6">
        <v>15709.7380149047</v>
      </c>
      <c r="AS822" s="6">
        <v>15709.7380149047</v>
      </c>
      <c r="AT822" s="6">
        <v>0</v>
      </c>
      <c r="AU822" t="s">
        <v>2973</v>
      </c>
      <c r="AV822" t="s">
        <v>2973</v>
      </c>
    </row>
    <row r="823" spans="1:48" x14ac:dyDescent="0.45">
      <c r="A823" s="5" t="s">
        <v>1672</v>
      </c>
      <c r="B823">
        <v>2110</v>
      </c>
      <c r="C823" t="s">
        <v>1668</v>
      </c>
      <c r="D823">
        <v>703</v>
      </c>
      <c r="E823" t="s">
        <v>1673</v>
      </c>
      <c r="F823" t="s">
        <v>2739</v>
      </c>
      <c r="G823" t="s">
        <v>2747</v>
      </c>
      <c r="H823" t="s">
        <v>2741</v>
      </c>
      <c r="I823" t="s">
        <v>2742</v>
      </c>
      <c r="J823">
        <v>261.21604938268803</v>
      </c>
      <c r="K823">
        <v>3</v>
      </c>
      <c r="L823">
        <v>1</v>
      </c>
      <c r="M823">
        <v>3</v>
      </c>
      <c r="N823" s="6">
        <v>2493505.1326305498</v>
      </c>
      <c r="O823" s="6">
        <v>638020.74735756905</v>
      </c>
      <c r="P823" s="6">
        <v>730234.87981961796</v>
      </c>
      <c r="Q823" s="6">
        <v>136088.029756595</v>
      </c>
      <c r="R823" s="6">
        <v>78950.063138400204</v>
      </c>
      <c r="S823" s="6">
        <v>122400.327638191</v>
      </c>
      <c r="T823" s="6">
        <v>2687741.58</v>
      </c>
      <c r="U823" s="6">
        <v>1389057.27270273</v>
      </c>
      <c r="V823" s="6">
        <v>3330821.0442125201</v>
      </c>
      <c r="W823" s="6">
        <v>745977.80849021103</v>
      </c>
      <c r="X823" s="6">
        <v>0</v>
      </c>
      <c r="Y823" s="6">
        <v>0</v>
      </c>
      <c r="Z823" s="6">
        <v>0</v>
      </c>
      <c r="AA823" s="6">
        <v>0</v>
      </c>
      <c r="AB823" s="6">
        <v>0</v>
      </c>
      <c r="AC823" s="6">
        <v>122322.998991311</v>
      </c>
      <c r="AD823" s="6">
        <v>77.328646880234402</v>
      </c>
      <c r="AE823" s="6">
        <v>0</v>
      </c>
      <c r="AF823" s="6">
        <v>0</v>
      </c>
      <c r="AG823" s="6">
        <v>0</v>
      </c>
      <c r="AH823" s="6">
        <v>0</v>
      </c>
      <c r="AI823" s="6">
        <v>0</v>
      </c>
      <c r="AJ823" s="6">
        <v>4199199.1803409196</v>
      </c>
      <c r="AK823" s="6">
        <v>16075.5787795756</v>
      </c>
      <c r="AL823" s="6">
        <v>330.98244656580999</v>
      </c>
      <c r="AM823" s="6">
        <v>93035.839999999997</v>
      </c>
      <c r="AN823" s="6">
        <v>13255.106882244199</v>
      </c>
      <c r="AO823" s="6">
        <v>16075.5787795756</v>
      </c>
      <c r="AP823" s="6">
        <v>3753.1860850462999</v>
      </c>
      <c r="AQ823" s="6">
        <v>20687.885194392002</v>
      </c>
      <c r="AR823" s="6">
        <v>16075.5787795756</v>
      </c>
      <c r="AS823" s="6">
        <v>16075.5787795756</v>
      </c>
      <c r="AT823" s="6">
        <v>0</v>
      </c>
      <c r="AU823" t="s">
        <v>2973</v>
      </c>
      <c r="AV823" t="s">
        <v>2973</v>
      </c>
    </row>
    <row r="824" spans="1:48" x14ac:dyDescent="0.45">
      <c r="A824" s="5" t="s">
        <v>1674</v>
      </c>
      <c r="B824">
        <v>1990</v>
      </c>
      <c r="C824" t="s">
        <v>1675</v>
      </c>
      <c r="D824">
        <v>266</v>
      </c>
      <c r="E824" t="s">
        <v>1676</v>
      </c>
      <c r="F824" t="s">
        <v>2739</v>
      </c>
      <c r="G824" t="s">
        <v>2747</v>
      </c>
      <c r="H824" t="s">
        <v>2741</v>
      </c>
      <c r="I824" t="s">
        <v>2742</v>
      </c>
      <c r="J824">
        <v>206.53472222220799</v>
      </c>
      <c r="K824">
        <v>1</v>
      </c>
      <c r="L824">
        <v>1</v>
      </c>
      <c r="M824">
        <v>2</v>
      </c>
      <c r="N824" s="6">
        <v>1208529.61920412</v>
      </c>
      <c r="O824" s="6">
        <v>260056.73</v>
      </c>
      <c r="P824" s="6">
        <v>514537.03082852199</v>
      </c>
      <c r="Q824" s="6">
        <v>154124.01077448699</v>
      </c>
      <c r="R824" s="6">
        <v>363033.270764496</v>
      </c>
      <c r="S824" s="6">
        <v>79513.754438637799</v>
      </c>
      <c r="T824" s="6">
        <v>1656892.67</v>
      </c>
      <c r="U824" s="6">
        <v>843387.99157162698</v>
      </c>
      <c r="V824" s="6">
        <v>2137221.5124120298</v>
      </c>
      <c r="W824" s="6">
        <v>363059.14915959601</v>
      </c>
      <c r="X824" s="6">
        <v>0</v>
      </c>
      <c r="Y824" s="6">
        <v>0</v>
      </c>
      <c r="Z824" s="6">
        <v>0</v>
      </c>
      <c r="AA824" s="6">
        <v>0</v>
      </c>
      <c r="AB824" s="6">
        <v>0</v>
      </c>
      <c r="AC824" s="6">
        <v>69162.460707717793</v>
      </c>
      <c r="AD824" s="6">
        <v>10351.293730920001</v>
      </c>
      <c r="AE824" s="6">
        <v>0</v>
      </c>
      <c r="AF824" s="6">
        <v>0</v>
      </c>
      <c r="AG824" s="6">
        <v>0</v>
      </c>
      <c r="AH824" s="6">
        <v>0</v>
      </c>
      <c r="AI824" s="6">
        <v>0</v>
      </c>
      <c r="AJ824" s="6">
        <v>2579794.4160102699</v>
      </c>
      <c r="AK824" s="6">
        <v>12490.8508760803</v>
      </c>
      <c r="AL824" s="6">
        <v>330.98244656580999</v>
      </c>
      <c r="AM824" s="6">
        <v>93035.839999999997</v>
      </c>
      <c r="AN824" s="6">
        <v>12301.906742884201</v>
      </c>
      <c r="AO824" s="6">
        <v>16383.2022654802</v>
      </c>
      <c r="AP824" s="6">
        <v>3753.1860850462999</v>
      </c>
      <c r="AQ824" s="6">
        <v>20687.885194392002</v>
      </c>
      <c r="AR824" s="6">
        <v>12490.8508760803</v>
      </c>
      <c r="AS824" s="6">
        <v>12490.8508760803</v>
      </c>
      <c r="AT824" s="6">
        <v>0</v>
      </c>
      <c r="AU824" t="s">
        <v>2973</v>
      </c>
      <c r="AV824" t="s">
        <v>2973</v>
      </c>
    </row>
    <row r="825" spans="1:48" x14ac:dyDescent="0.45">
      <c r="A825" s="5" t="s">
        <v>1677</v>
      </c>
      <c r="B825">
        <v>1990</v>
      </c>
      <c r="C825" t="s">
        <v>1675</v>
      </c>
      <c r="D825">
        <v>267</v>
      </c>
      <c r="E825" t="s">
        <v>1678</v>
      </c>
      <c r="F825" t="s">
        <v>2739</v>
      </c>
      <c r="G825" t="s">
        <v>2740</v>
      </c>
      <c r="H825" t="s">
        <v>2741</v>
      </c>
      <c r="I825" t="s">
        <v>2742</v>
      </c>
      <c r="J825">
        <v>204.50035714267901</v>
      </c>
      <c r="K825">
        <v>1</v>
      </c>
      <c r="L825">
        <v>1</v>
      </c>
      <c r="M825">
        <v>2</v>
      </c>
      <c r="N825" s="6">
        <v>1285063.1563764799</v>
      </c>
      <c r="O825" s="6">
        <v>184639.98</v>
      </c>
      <c r="P825" s="6">
        <v>455247.354217752</v>
      </c>
      <c r="Q825" s="6">
        <v>152605.89071185101</v>
      </c>
      <c r="R825" s="6">
        <v>359457.39644755801</v>
      </c>
      <c r="S825" s="6">
        <v>78730.544702126106</v>
      </c>
      <c r="T825" s="6">
        <v>1601933.15</v>
      </c>
      <c r="U825" s="6">
        <v>835080.62775363901</v>
      </c>
      <c r="V825" s="6">
        <v>2015325.3169186299</v>
      </c>
      <c r="W825" s="6">
        <v>421688.46083501301</v>
      </c>
      <c r="X825" s="6">
        <v>0</v>
      </c>
      <c r="Y825" s="6">
        <v>0</v>
      </c>
      <c r="Z825" s="6">
        <v>0</v>
      </c>
      <c r="AA825" s="6">
        <v>0</v>
      </c>
      <c r="AB825" s="6">
        <v>0</v>
      </c>
      <c r="AC825" s="6">
        <v>68481.211117507599</v>
      </c>
      <c r="AD825" s="6">
        <v>10249.3335846184</v>
      </c>
      <c r="AE825" s="6">
        <v>0</v>
      </c>
      <c r="AF825" s="6">
        <v>0</v>
      </c>
      <c r="AG825" s="6">
        <v>0</v>
      </c>
      <c r="AH825" s="6">
        <v>0</v>
      </c>
      <c r="AI825" s="6">
        <v>0</v>
      </c>
      <c r="AJ825" s="6">
        <v>2515744.3224557601</v>
      </c>
      <c r="AK825" s="6">
        <v>12301.906742884201</v>
      </c>
      <c r="AL825" s="6">
        <v>330.98244656580999</v>
      </c>
      <c r="AM825" s="6">
        <v>93035.839999999997</v>
      </c>
      <c r="AN825" s="6">
        <v>12301.906742884201</v>
      </c>
      <c r="AO825" s="6">
        <v>16383.2022654802</v>
      </c>
      <c r="AP825" s="6">
        <v>330.98244656580999</v>
      </c>
      <c r="AQ825" s="6">
        <v>93035.839999999997</v>
      </c>
      <c r="AR825" s="6">
        <v>12301.906742884201</v>
      </c>
      <c r="AS825" s="6">
        <v>12301.906742884201</v>
      </c>
      <c r="AT825" s="6">
        <v>0</v>
      </c>
      <c r="AU825" t="s">
        <v>2973</v>
      </c>
      <c r="AV825" t="s">
        <v>2973</v>
      </c>
    </row>
    <row r="826" spans="1:48" x14ac:dyDescent="0.45">
      <c r="A826" s="5" t="s">
        <v>1679</v>
      </c>
      <c r="B826">
        <v>1990</v>
      </c>
      <c r="C826" t="s">
        <v>1675</v>
      </c>
      <c r="D826">
        <v>268</v>
      </c>
      <c r="E826" t="s">
        <v>1680</v>
      </c>
      <c r="F826" t="s">
        <v>2739</v>
      </c>
      <c r="G826" t="s">
        <v>2744</v>
      </c>
      <c r="H826" t="s">
        <v>2741</v>
      </c>
      <c r="I826" t="s">
        <v>2742</v>
      </c>
      <c r="J826">
        <v>196.095526349154</v>
      </c>
      <c r="K826">
        <v>1</v>
      </c>
      <c r="L826">
        <v>1</v>
      </c>
      <c r="M826">
        <v>2</v>
      </c>
      <c r="N826" s="6">
        <v>1511774.2544193999</v>
      </c>
      <c r="O826" s="6">
        <v>564958.71</v>
      </c>
      <c r="P826" s="6">
        <v>532049.40495373495</v>
      </c>
      <c r="Q826" s="6">
        <v>146333.88851366701</v>
      </c>
      <c r="R826" s="6">
        <v>382061.64278795599</v>
      </c>
      <c r="S826" s="6">
        <v>75494.770859238401</v>
      </c>
      <c r="T826" s="6">
        <v>2336418.54</v>
      </c>
      <c r="U826" s="6">
        <v>800759.36067475798</v>
      </c>
      <c r="V826" s="6">
        <v>2457261.2206693599</v>
      </c>
      <c r="W826" s="6">
        <v>679916.68000539602</v>
      </c>
      <c r="X826" s="6">
        <v>0</v>
      </c>
      <c r="Y826" s="6">
        <v>0</v>
      </c>
      <c r="Z826" s="6">
        <v>0</v>
      </c>
      <c r="AA826" s="6">
        <v>0</v>
      </c>
      <c r="AB826" s="6">
        <v>0</v>
      </c>
      <c r="AC826" s="6">
        <v>65666.678174776505</v>
      </c>
      <c r="AD826" s="6">
        <v>9828.0926844618898</v>
      </c>
      <c r="AE826" s="6">
        <v>0</v>
      </c>
      <c r="AF826" s="6">
        <v>0</v>
      </c>
      <c r="AG826" s="6">
        <v>0</v>
      </c>
      <c r="AH826" s="6">
        <v>0</v>
      </c>
      <c r="AI826" s="6">
        <v>0</v>
      </c>
      <c r="AJ826" s="6">
        <v>3212672.671534</v>
      </c>
      <c r="AK826" s="6">
        <v>16383.2022654802</v>
      </c>
      <c r="AL826" s="6">
        <v>330.98244656580999</v>
      </c>
      <c r="AM826" s="6">
        <v>93035.839999999997</v>
      </c>
      <c r="AN826" s="6">
        <v>12301.906742884201</v>
      </c>
      <c r="AO826" s="6">
        <v>16383.2022654802</v>
      </c>
      <c r="AP826" s="6">
        <v>330.98244656580999</v>
      </c>
      <c r="AQ826" s="6">
        <v>40734.411818744898</v>
      </c>
      <c r="AR826" s="6">
        <v>16383.2022654802</v>
      </c>
      <c r="AS826" s="6">
        <v>16383.2022654802</v>
      </c>
      <c r="AT826" s="6">
        <v>0</v>
      </c>
      <c r="AU826" t="s">
        <v>2973</v>
      </c>
      <c r="AV826" t="s">
        <v>2973</v>
      </c>
    </row>
    <row r="827" spans="1:48" x14ac:dyDescent="0.45">
      <c r="A827" s="5" t="s">
        <v>1681</v>
      </c>
      <c r="B827">
        <v>2093</v>
      </c>
      <c r="C827" t="s">
        <v>1682</v>
      </c>
      <c r="D827">
        <v>600</v>
      </c>
      <c r="E827" t="s">
        <v>1683</v>
      </c>
      <c r="F827" t="s">
        <v>2739</v>
      </c>
      <c r="G827" t="s">
        <v>2740</v>
      </c>
      <c r="H827" t="s">
        <v>2741</v>
      </c>
      <c r="I827" t="s">
        <v>2742</v>
      </c>
      <c r="J827">
        <v>326.92452078800301</v>
      </c>
      <c r="K827">
        <v>1</v>
      </c>
      <c r="L827">
        <v>1</v>
      </c>
      <c r="M827">
        <v>5</v>
      </c>
      <c r="N827" s="6">
        <v>1907162.40117656</v>
      </c>
      <c r="O827" s="6">
        <v>587964.43567182298</v>
      </c>
      <c r="P827" s="6">
        <v>781442.56945133</v>
      </c>
      <c r="Q827" s="6">
        <v>311183.82224362902</v>
      </c>
      <c r="R827" s="6">
        <v>38031.613557238001</v>
      </c>
      <c r="S827" s="6">
        <v>249047.145540545</v>
      </c>
      <c r="T827" s="6">
        <v>2047359.59</v>
      </c>
      <c r="U827" s="6">
        <v>1578425.2521005799</v>
      </c>
      <c r="V827" s="6">
        <v>3031722.5922775301</v>
      </c>
      <c r="W827" s="6">
        <v>594062.24982305197</v>
      </c>
      <c r="X827" s="6">
        <v>0</v>
      </c>
      <c r="Y827" s="6">
        <v>0</v>
      </c>
      <c r="Z827" s="6">
        <v>0</v>
      </c>
      <c r="AA827" s="6">
        <v>0</v>
      </c>
      <c r="AB827" s="6">
        <v>0</v>
      </c>
      <c r="AC827" s="6">
        <v>190593.62799368199</v>
      </c>
      <c r="AD827" s="6">
        <v>58453.517546862699</v>
      </c>
      <c r="AE827" s="6">
        <v>0</v>
      </c>
      <c r="AF827" s="6">
        <v>0</v>
      </c>
      <c r="AG827" s="6">
        <v>0</v>
      </c>
      <c r="AH827" s="6">
        <v>0</v>
      </c>
      <c r="AI827" s="6">
        <v>0</v>
      </c>
      <c r="AJ827" s="6">
        <v>3874831.9876411199</v>
      </c>
      <c r="AK827" s="6">
        <v>11852.374909968299</v>
      </c>
      <c r="AL827" s="6">
        <v>330.98244656580999</v>
      </c>
      <c r="AM827" s="6">
        <v>93035.839999999997</v>
      </c>
      <c r="AN827" s="6">
        <v>5589.89088134555</v>
      </c>
      <c r="AO827" s="6">
        <v>21805.3898092532</v>
      </c>
      <c r="AP827" s="6">
        <v>330.98244656580999</v>
      </c>
      <c r="AQ827" s="6">
        <v>93035.839999999997</v>
      </c>
      <c r="AR827" s="6">
        <v>11852.374909968299</v>
      </c>
      <c r="AS827" s="6">
        <v>11852.374909968299</v>
      </c>
      <c r="AT827" s="6">
        <v>0</v>
      </c>
      <c r="AU827" t="s">
        <v>2973</v>
      </c>
      <c r="AV827" t="s">
        <v>2973</v>
      </c>
    </row>
    <row r="828" spans="1:48" x14ac:dyDescent="0.45">
      <c r="A828" s="5" t="s">
        <v>1684</v>
      </c>
      <c r="B828">
        <v>2093</v>
      </c>
      <c r="C828" t="s">
        <v>1682</v>
      </c>
      <c r="D828">
        <v>602</v>
      </c>
      <c r="E828" t="s">
        <v>1685</v>
      </c>
      <c r="F828" t="s">
        <v>2739</v>
      </c>
      <c r="G828" t="s">
        <v>2744</v>
      </c>
      <c r="H828" t="s">
        <v>2741</v>
      </c>
      <c r="I828" t="s">
        <v>2742</v>
      </c>
      <c r="J828">
        <v>134.12022224348701</v>
      </c>
      <c r="K828">
        <v>1</v>
      </c>
      <c r="L828">
        <v>1</v>
      </c>
      <c r="M828">
        <v>5</v>
      </c>
      <c r="N828" s="6">
        <v>1368573.8922406</v>
      </c>
      <c r="O828" s="6">
        <v>732308.68549145001</v>
      </c>
      <c r="P828" s="6">
        <v>578224.95478947798</v>
      </c>
      <c r="Q828" s="6">
        <v>127662.62774445501</v>
      </c>
      <c r="R828" s="6">
        <v>15602.4040358931</v>
      </c>
      <c r="S828" s="6">
        <v>102171.163021032</v>
      </c>
      <c r="T828" s="6">
        <v>2174826.3199999998</v>
      </c>
      <c r="U828" s="6">
        <v>647546.24430187501</v>
      </c>
      <c r="V828" s="6">
        <v>2239234.3261823799</v>
      </c>
      <c r="W828" s="6">
        <v>583138.23811949405</v>
      </c>
      <c r="X828" s="6">
        <v>0</v>
      </c>
      <c r="Y828" s="6">
        <v>0</v>
      </c>
      <c r="Z828" s="6">
        <v>0</v>
      </c>
      <c r="AA828" s="6">
        <v>0</v>
      </c>
      <c r="AB828" s="6">
        <v>0</v>
      </c>
      <c r="AC828" s="6">
        <v>78190.708005292996</v>
      </c>
      <c r="AD828" s="6">
        <v>23980.4550157392</v>
      </c>
      <c r="AE828" s="6">
        <v>0</v>
      </c>
      <c r="AF828" s="6">
        <v>0</v>
      </c>
      <c r="AG828" s="6">
        <v>0</v>
      </c>
      <c r="AH828" s="6">
        <v>0</v>
      </c>
      <c r="AI828" s="6">
        <v>0</v>
      </c>
      <c r="AJ828" s="6">
        <v>2924543.72732291</v>
      </c>
      <c r="AK828" s="6">
        <v>21805.3898092532</v>
      </c>
      <c r="AL828" s="6">
        <v>330.98244656580999</v>
      </c>
      <c r="AM828" s="6">
        <v>93035.839999999997</v>
      </c>
      <c r="AN828" s="6">
        <v>5589.89088134555</v>
      </c>
      <c r="AO828" s="6">
        <v>21805.3898092532</v>
      </c>
      <c r="AP828" s="6">
        <v>330.98244656580999</v>
      </c>
      <c r="AQ828" s="6">
        <v>40734.411818744898</v>
      </c>
      <c r="AR828" s="6">
        <v>21805.3898092532</v>
      </c>
      <c r="AS828" s="6">
        <v>21805.3898092532</v>
      </c>
      <c r="AT828" s="6">
        <v>0</v>
      </c>
      <c r="AU828" t="s">
        <v>2973</v>
      </c>
      <c r="AV828" t="s">
        <v>2973</v>
      </c>
    </row>
    <row r="829" spans="1:48" x14ac:dyDescent="0.45">
      <c r="A829" s="5" t="s">
        <v>1686</v>
      </c>
      <c r="B829">
        <v>2093</v>
      </c>
      <c r="C829" t="s">
        <v>1682</v>
      </c>
      <c r="D829">
        <v>601</v>
      </c>
      <c r="E829" t="s">
        <v>1687</v>
      </c>
      <c r="F829" t="s">
        <v>2739</v>
      </c>
      <c r="G829" t="s">
        <v>2747</v>
      </c>
      <c r="H829" t="s">
        <v>2741</v>
      </c>
      <c r="I829" t="s">
        <v>2742</v>
      </c>
      <c r="J829">
        <v>105.287671232862</v>
      </c>
      <c r="K829">
        <v>1</v>
      </c>
      <c r="L829">
        <v>1</v>
      </c>
      <c r="M829">
        <v>5</v>
      </c>
      <c r="N829" s="6">
        <v>813932.35180825496</v>
      </c>
      <c r="O829" s="6">
        <v>206402.232303514</v>
      </c>
      <c r="P829" s="6">
        <v>208040.91331327401</v>
      </c>
      <c r="Q829" s="6">
        <v>100218.300818795</v>
      </c>
      <c r="R829" s="6">
        <v>12248.2706865122</v>
      </c>
      <c r="S829" s="6">
        <v>80206.8744123332</v>
      </c>
      <c r="T829" s="6">
        <v>832502.35</v>
      </c>
      <c r="U829" s="6">
        <v>508339.71893035102</v>
      </c>
      <c r="V829" s="6">
        <v>1046529.13012927</v>
      </c>
      <c r="W829" s="6">
        <v>294312.93880107999</v>
      </c>
      <c r="X829" s="6">
        <v>0</v>
      </c>
      <c r="Y829" s="6">
        <v>0</v>
      </c>
      <c r="Z829" s="6">
        <v>0</v>
      </c>
      <c r="AA829" s="6">
        <v>0</v>
      </c>
      <c r="AB829" s="6">
        <v>0</v>
      </c>
      <c r="AC829" s="6">
        <v>61381.627768110702</v>
      </c>
      <c r="AD829" s="6">
        <v>18825.246644222501</v>
      </c>
      <c r="AE829" s="6">
        <v>0</v>
      </c>
      <c r="AF829" s="6">
        <v>0</v>
      </c>
      <c r="AG829" s="6">
        <v>0</v>
      </c>
      <c r="AH829" s="6">
        <v>0</v>
      </c>
      <c r="AI829" s="6">
        <v>0</v>
      </c>
      <c r="AJ829" s="6">
        <v>1421048.9433426801</v>
      </c>
      <c r="AK829" s="6">
        <v>13496.8218662543</v>
      </c>
      <c r="AL829" s="6">
        <v>330.98244656580999</v>
      </c>
      <c r="AM829" s="6">
        <v>93035.839999999997</v>
      </c>
      <c r="AN829" s="6">
        <v>5589.89088134555</v>
      </c>
      <c r="AO829" s="6">
        <v>21805.3898092532</v>
      </c>
      <c r="AP829" s="6">
        <v>3753.1860850462999</v>
      </c>
      <c r="AQ829" s="6">
        <v>20687.885194392002</v>
      </c>
      <c r="AR829" s="6">
        <v>13496.8218662543</v>
      </c>
      <c r="AS829" s="6">
        <v>13496.8218662543</v>
      </c>
      <c r="AT829" s="6">
        <v>0</v>
      </c>
      <c r="AU829" t="s">
        <v>2973</v>
      </c>
      <c r="AV829" t="s">
        <v>2973</v>
      </c>
    </row>
    <row r="830" spans="1:48" x14ac:dyDescent="0.45">
      <c r="A830" s="5" t="s">
        <v>2774</v>
      </c>
      <c r="B830">
        <v>2093</v>
      </c>
      <c r="C830" t="s">
        <v>1682</v>
      </c>
      <c r="D830">
        <v>2093</v>
      </c>
      <c r="E830" t="s">
        <v>1682</v>
      </c>
      <c r="F830" t="s">
        <v>1</v>
      </c>
      <c r="G830" t="s">
        <v>1</v>
      </c>
      <c r="H830" t="s">
        <v>2743</v>
      </c>
      <c r="I830" t="s">
        <v>2742</v>
      </c>
      <c r="J830">
        <v>0.65873588079699996</v>
      </c>
      <c r="K830">
        <v>0</v>
      </c>
      <c r="L830">
        <v>0</v>
      </c>
      <c r="M830">
        <v>5</v>
      </c>
      <c r="N830" s="6">
        <v>1017.29477458649</v>
      </c>
      <c r="O830" s="6">
        <v>587.95653321286102</v>
      </c>
      <c r="P830" s="6">
        <v>871.54244591721704</v>
      </c>
      <c r="Q830" s="6">
        <v>627.01919311938195</v>
      </c>
      <c r="R830" s="6">
        <v>76.631720356650703</v>
      </c>
      <c r="S830" s="6">
        <v>501.81702608967902</v>
      </c>
      <c r="T830" s="6">
        <v>0</v>
      </c>
      <c r="U830" s="6">
        <v>3180.4446671925998</v>
      </c>
      <c r="V830" s="6">
        <v>2432.5214108199598</v>
      </c>
      <c r="W830" s="6">
        <v>747.923256372639</v>
      </c>
      <c r="X830" s="6">
        <v>0</v>
      </c>
      <c r="Y830" s="6">
        <v>0</v>
      </c>
      <c r="Z830" s="6">
        <v>0</v>
      </c>
      <c r="AA830" s="6">
        <v>0</v>
      </c>
      <c r="AB830" s="6">
        <v>0</v>
      </c>
      <c r="AC830" s="6">
        <v>384.03623291422798</v>
      </c>
      <c r="AD830" s="6">
        <v>117.780793175452</v>
      </c>
      <c r="AE830" s="6">
        <v>0</v>
      </c>
      <c r="AF830" s="6">
        <v>0</v>
      </c>
      <c r="AG830" s="6">
        <v>0</v>
      </c>
      <c r="AH830" s="6">
        <v>0</v>
      </c>
      <c r="AI830" s="6">
        <v>0</v>
      </c>
      <c r="AJ830" s="6">
        <v>3682.2616932822798</v>
      </c>
      <c r="AK830" s="6">
        <v>5589.89088134555</v>
      </c>
      <c r="AL830" s="6">
        <v>330.98244656580999</v>
      </c>
      <c r="AM830" s="6">
        <v>93035.839999999997</v>
      </c>
      <c r="AN830" s="6">
        <v>5589.89088134555</v>
      </c>
      <c r="AO830" s="6">
        <v>21805.3898092532</v>
      </c>
      <c r="AP830" s="6">
        <v>634.54287297753501</v>
      </c>
      <c r="AQ830" s="6">
        <v>40331.279999999999</v>
      </c>
      <c r="AR830" s="6">
        <v>5589.89088134555</v>
      </c>
      <c r="AS830" s="6">
        <v>5589.89088134555</v>
      </c>
      <c r="AT830" s="6">
        <v>0</v>
      </c>
      <c r="AU830" t="s">
        <v>2973</v>
      </c>
      <c r="AV830" t="s">
        <v>2977</v>
      </c>
    </row>
    <row r="831" spans="1:48" x14ac:dyDescent="0.45">
      <c r="A831" s="5" t="s">
        <v>1689</v>
      </c>
      <c r="B831">
        <v>2108</v>
      </c>
      <c r="C831" t="s">
        <v>1690</v>
      </c>
      <c r="D831">
        <v>694</v>
      </c>
      <c r="E831" t="s">
        <v>1691</v>
      </c>
      <c r="F831" t="s">
        <v>2739</v>
      </c>
      <c r="G831" t="s">
        <v>2740</v>
      </c>
      <c r="H831" t="s">
        <v>2741</v>
      </c>
      <c r="I831" t="s">
        <v>2742</v>
      </c>
      <c r="J831">
        <v>286.77272727268701</v>
      </c>
      <c r="K831">
        <v>1</v>
      </c>
      <c r="L831">
        <v>1</v>
      </c>
      <c r="M831">
        <v>3</v>
      </c>
      <c r="N831" s="6">
        <v>1991215.7669748701</v>
      </c>
      <c r="O831" s="6">
        <v>569118.71208612202</v>
      </c>
      <c r="P831" s="6">
        <v>727449.37521354505</v>
      </c>
      <c r="Q831" s="6">
        <v>170840.76939324199</v>
      </c>
      <c r="R831" s="6">
        <v>48150.513764180803</v>
      </c>
      <c r="S831" s="6">
        <v>126629.935536783</v>
      </c>
      <c r="T831" s="6">
        <v>2142797.61</v>
      </c>
      <c r="U831" s="6">
        <v>1363977.52743196</v>
      </c>
      <c r="V831" s="6">
        <v>2722944.4216424599</v>
      </c>
      <c r="W831" s="6">
        <v>781198.58049295295</v>
      </c>
      <c r="X831" s="6">
        <v>0</v>
      </c>
      <c r="Y831" s="6">
        <v>0</v>
      </c>
      <c r="Z831" s="6">
        <v>1852.47773555916</v>
      </c>
      <c r="AA831" s="6">
        <v>779.65756098626605</v>
      </c>
      <c r="AB831" s="6">
        <v>0</v>
      </c>
      <c r="AC831" s="6">
        <v>126629.935536783</v>
      </c>
      <c r="AD831" s="6">
        <v>0</v>
      </c>
      <c r="AE831" s="6">
        <v>0</v>
      </c>
      <c r="AF831" s="6">
        <v>0</v>
      </c>
      <c r="AG831" s="6">
        <v>0</v>
      </c>
      <c r="AH831" s="6">
        <v>0</v>
      </c>
      <c r="AI831" s="6">
        <v>0</v>
      </c>
      <c r="AJ831" s="6">
        <v>3633405.0729687498</v>
      </c>
      <c r="AK831" s="6">
        <v>12669.9812340028</v>
      </c>
      <c r="AL831" s="6">
        <v>330.98244656580999</v>
      </c>
      <c r="AM831" s="6">
        <v>93035.839999999997</v>
      </c>
      <c r="AN831" s="6">
        <v>5197.8703733265102</v>
      </c>
      <c r="AO831" s="6">
        <v>15316.594205290099</v>
      </c>
      <c r="AP831" s="6">
        <v>330.98244656580999</v>
      </c>
      <c r="AQ831" s="6">
        <v>93035.839999999997</v>
      </c>
      <c r="AR831" s="6">
        <v>12669.9812340028</v>
      </c>
      <c r="AS831" s="6">
        <v>14162.3109580246</v>
      </c>
      <c r="AT831" s="6">
        <v>0</v>
      </c>
      <c r="AU831" t="s">
        <v>2973</v>
      </c>
      <c r="AV831" t="s">
        <v>2973</v>
      </c>
    </row>
    <row r="832" spans="1:48" x14ac:dyDescent="0.45">
      <c r="A832" s="5" t="s">
        <v>1692</v>
      </c>
      <c r="B832">
        <v>2108</v>
      </c>
      <c r="C832" t="s">
        <v>1690</v>
      </c>
      <c r="D832">
        <v>692</v>
      </c>
      <c r="E832" t="s">
        <v>1693</v>
      </c>
      <c r="F832" t="s">
        <v>2739</v>
      </c>
      <c r="G832" t="s">
        <v>2740</v>
      </c>
      <c r="H832" t="s">
        <v>2741</v>
      </c>
      <c r="I832" t="s">
        <v>2742</v>
      </c>
      <c r="J832">
        <v>386.170454545415</v>
      </c>
      <c r="K832">
        <v>1</v>
      </c>
      <c r="L832">
        <v>1</v>
      </c>
      <c r="M832">
        <v>3</v>
      </c>
      <c r="N832" s="6">
        <v>2637958.3876805902</v>
      </c>
      <c r="O832" s="6">
        <v>740232.49935144</v>
      </c>
      <c r="P832" s="6">
        <v>1098631.9405465501</v>
      </c>
      <c r="Q832" s="6">
        <v>211038.95814157301</v>
      </c>
      <c r="R832" s="6">
        <v>64444.062213037701</v>
      </c>
      <c r="S832" s="6">
        <v>170520.88680245099</v>
      </c>
      <c r="T832" s="6">
        <v>2915562.77</v>
      </c>
      <c r="U832" s="6">
        <v>1836743.0779331999</v>
      </c>
      <c r="V832" s="6">
        <v>3729346.3155324501</v>
      </c>
      <c r="W832" s="6">
        <v>1019415.07789993</v>
      </c>
      <c r="X832" s="6">
        <v>0</v>
      </c>
      <c r="Y832" s="6">
        <v>0</v>
      </c>
      <c r="Z832" s="6">
        <v>2494.5613761098998</v>
      </c>
      <c r="AA832" s="6">
        <v>1049.8931247027001</v>
      </c>
      <c r="AB832" s="6">
        <v>0</v>
      </c>
      <c r="AC832" s="6">
        <v>170520.88680245099</v>
      </c>
      <c r="AD832" s="6">
        <v>0</v>
      </c>
      <c r="AE832" s="6">
        <v>0</v>
      </c>
      <c r="AF832" s="6">
        <v>0</v>
      </c>
      <c r="AG832" s="6">
        <v>0</v>
      </c>
      <c r="AH832" s="6">
        <v>0</v>
      </c>
      <c r="AI832" s="6">
        <v>0</v>
      </c>
      <c r="AJ832" s="6">
        <v>4922826.7347356398</v>
      </c>
      <c r="AK832" s="6">
        <v>12747.8078055728</v>
      </c>
      <c r="AL832" s="6">
        <v>330.98244656580999</v>
      </c>
      <c r="AM832" s="6">
        <v>93035.839999999997</v>
      </c>
      <c r="AN832" s="6">
        <v>5197.8703733265102</v>
      </c>
      <c r="AO832" s="6">
        <v>15316.594205290099</v>
      </c>
      <c r="AP832" s="6">
        <v>330.98244656580999</v>
      </c>
      <c r="AQ832" s="6">
        <v>93035.839999999997</v>
      </c>
      <c r="AR832" s="6">
        <v>12669.9812340028</v>
      </c>
      <c r="AS832" s="6">
        <v>14162.3109580246</v>
      </c>
      <c r="AT832" s="6">
        <v>0</v>
      </c>
      <c r="AU832" t="s">
        <v>2973</v>
      </c>
      <c r="AV832" t="s">
        <v>2973</v>
      </c>
    </row>
    <row r="833" spans="1:48" x14ac:dyDescent="0.45">
      <c r="A833" s="5" t="s">
        <v>1694</v>
      </c>
      <c r="B833">
        <v>2108</v>
      </c>
      <c r="C833" t="s">
        <v>1690</v>
      </c>
      <c r="D833">
        <v>693</v>
      </c>
      <c r="E833" t="s">
        <v>1695</v>
      </c>
      <c r="F833" t="s">
        <v>2739</v>
      </c>
      <c r="G833" t="s">
        <v>2740</v>
      </c>
      <c r="H833" t="s">
        <v>2741</v>
      </c>
      <c r="I833" t="s">
        <v>2742</v>
      </c>
      <c r="J833">
        <v>142.6534090909</v>
      </c>
      <c r="K833">
        <v>2</v>
      </c>
      <c r="L833">
        <v>1</v>
      </c>
      <c r="M833">
        <v>3</v>
      </c>
      <c r="N833" s="6">
        <v>1005863.73021712</v>
      </c>
      <c r="O833" s="6">
        <v>418363.47791244002</v>
      </c>
      <c r="P833" s="6">
        <v>412126.17895937798</v>
      </c>
      <c r="Q833" s="6">
        <v>96602.7847195754</v>
      </c>
      <c r="R833" s="6">
        <v>24354.4491685961</v>
      </c>
      <c r="S833" s="6">
        <v>62991.317790502697</v>
      </c>
      <c r="T833" s="6">
        <v>1278808.01</v>
      </c>
      <c r="U833" s="6">
        <v>678502.61097711395</v>
      </c>
      <c r="V833" s="6">
        <v>1550811.4482374201</v>
      </c>
      <c r="W833" s="6">
        <v>405189.83249380998</v>
      </c>
      <c r="X833" s="6">
        <v>0</v>
      </c>
      <c r="Y833" s="6">
        <v>0</v>
      </c>
      <c r="Z833" s="6">
        <v>921.504170761757</v>
      </c>
      <c r="AA833" s="6">
        <v>387.836075124498</v>
      </c>
      <c r="AB833" s="6">
        <v>0</v>
      </c>
      <c r="AC833" s="6">
        <v>62991.317790502697</v>
      </c>
      <c r="AD833" s="6">
        <v>0</v>
      </c>
      <c r="AE833" s="6">
        <v>0</v>
      </c>
      <c r="AF833" s="6">
        <v>0</v>
      </c>
      <c r="AG833" s="6">
        <v>0</v>
      </c>
      <c r="AH833" s="6">
        <v>0</v>
      </c>
      <c r="AI833" s="6">
        <v>0</v>
      </c>
      <c r="AJ833" s="6">
        <v>2020301.9387676199</v>
      </c>
      <c r="AK833" s="6">
        <v>14162.3109580246</v>
      </c>
      <c r="AL833" s="6">
        <v>330.98244656580999</v>
      </c>
      <c r="AM833" s="6">
        <v>93035.839999999997</v>
      </c>
      <c r="AN833" s="6">
        <v>5197.8703733265102</v>
      </c>
      <c r="AO833" s="6">
        <v>15316.594205290099</v>
      </c>
      <c r="AP833" s="6">
        <v>330.98244656580999</v>
      </c>
      <c r="AQ833" s="6">
        <v>93035.839999999997</v>
      </c>
      <c r="AR833" s="6">
        <v>12669.9812340028</v>
      </c>
      <c r="AS833" s="6">
        <v>14162.3109580246</v>
      </c>
      <c r="AT833" s="6">
        <v>0</v>
      </c>
      <c r="AU833" t="s">
        <v>2973</v>
      </c>
      <c r="AV833" t="s">
        <v>2973</v>
      </c>
    </row>
    <row r="834" spans="1:48" x14ac:dyDescent="0.45">
      <c r="A834" s="5" t="s">
        <v>1696</v>
      </c>
      <c r="B834">
        <v>2108</v>
      </c>
      <c r="C834" t="s">
        <v>1690</v>
      </c>
      <c r="D834">
        <v>696</v>
      </c>
      <c r="E834" t="s">
        <v>1697</v>
      </c>
      <c r="F834" t="s">
        <v>2739</v>
      </c>
      <c r="G834" t="s">
        <v>2740</v>
      </c>
      <c r="H834" t="s">
        <v>2741</v>
      </c>
      <c r="I834" t="s">
        <v>2742</v>
      </c>
      <c r="J834">
        <v>381.306818181751</v>
      </c>
      <c r="K834">
        <v>2</v>
      </c>
      <c r="L834">
        <v>1</v>
      </c>
      <c r="M834">
        <v>3</v>
      </c>
      <c r="N834" s="6">
        <v>2742976.26900307</v>
      </c>
      <c r="O834" s="6">
        <v>815522.73702724604</v>
      </c>
      <c r="P834" s="6">
        <v>1092195.93308764</v>
      </c>
      <c r="Q834" s="6">
        <v>212153.792945002</v>
      </c>
      <c r="R834" s="6">
        <v>64648.925369988603</v>
      </c>
      <c r="S834" s="6">
        <v>168373.25594137801</v>
      </c>
      <c r="T834" s="6">
        <v>3113887.5</v>
      </c>
      <c r="U834" s="6">
        <v>1813610.1574329501</v>
      </c>
      <c r="V834" s="6">
        <v>3856748.6421077801</v>
      </c>
      <c r="W834" s="6">
        <v>1067249.20157198</v>
      </c>
      <c r="X834" s="6">
        <v>0</v>
      </c>
      <c r="Y834" s="6">
        <v>0</v>
      </c>
      <c r="Z834" s="6">
        <v>2463.1435416343902</v>
      </c>
      <c r="AA834" s="6">
        <v>1036.6702115586199</v>
      </c>
      <c r="AB834" s="6">
        <v>0</v>
      </c>
      <c r="AC834" s="6">
        <v>168373.25594137801</v>
      </c>
      <c r="AD834" s="6">
        <v>0</v>
      </c>
      <c r="AE834" s="6">
        <v>0</v>
      </c>
      <c r="AF834" s="6">
        <v>0</v>
      </c>
      <c r="AG834" s="6">
        <v>0</v>
      </c>
      <c r="AH834" s="6">
        <v>0</v>
      </c>
      <c r="AI834" s="6">
        <v>0</v>
      </c>
      <c r="AJ834" s="6">
        <v>5095870.9133743299</v>
      </c>
      <c r="AK834" s="6">
        <v>13364.2271010883</v>
      </c>
      <c r="AL834" s="6">
        <v>330.98244656580999</v>
      </c>
      <c r="AM834" s="6">
        <v>93035.839999999997</v>
      </c>
      <c r="AN834" s="6">
        <v>5197.8703733265102</v>
      </c>
      <c r="AO834" s="6">
        <v>15316.594205290099</v>
      </c>
      <c r="AP834" s="6">
        <v>330.98244656580999</v>
      </c>
      <c r="AQ834" s="6">
        <v>93035.839999999997</v>
      </c>
      <c r="AR834" s="6">
        <v>12669.9812340028</v>
      </c>
      <c r="AS834" s="6">
        <v>14162.3109580246</v>
      </c>
      <c r="AT834" s="6">
        <v>0</v>
      </c>
      <c r="AU834" t="s">
        <v>2973</v>
      </c>
      <c r="AV834" t="s">
        <v>2973</v>
      </c>
    </row>
    <row r="835" spans="1:48" x14ac:dyDescent="0.45">
      <c r="A835" s="5" t="s">
        <v>1698</v>
      </c>
      <c r="B835">
        <v>2108</v>
      </c>
      <c r="C835" t="s">
        <v>1690</v>
      </c>
      <c r="D835">
        <v>699</v>
      </c>
      <c r="E835" t="s">
        <v>1699</v>
      </c>
      <c r="F835" t="s">
        <v>2739</v>
      </c>
      <c r="G835" t="s">
        <v>2744</v>
      </c>
      <c r="H835" t="s">
        <v>2745</v>
      </c>
      <c r="I835" t="s">
        <v>2742</v>
      </c>
      <c r="J835">
        <v>653.39782761093795</v>
      </c>
      <c r="K835">
        <v>1</v>
      </c>
      <c r="L835">
        <v>1</v>
      </c>
      <c r="M835">
        <v>3</v>
      </c>
      <c r="N835" s="6">
        <v>4745509.9450513804</v>
      </c>
      <c r="O835" s="6">
        <v>2197361.8463709601</v>
      </c>
      <c r="P835" s="6">
        <v>2303908.3793801698</v>
      </c>
      <c r="Q835" s="6">
        <v>350764.70840870199</v>
      </c>
      <c r="R835" s="6">
        <v>121764.300355238</v>
      </c>
      <c r="S835" s="6">
        <v>288520.20056834602</v>
      </c>
      <c r="T835" s="6">
        <v>6611552.1699999999</v>
      </c>
      <c r="U835" s="6">
        <v>3107757.0095664598</v>
      </c>
      <c r="V835" s="6">
        <v>7702243.2263821503</v>
      </c>
      <c r="W835" s="6">
        <v>1982657.3298629699</v>
      </c>
      <c r="X835" s="6">
        <v>0</v>
      </c>
      <c r="Y835" s="6">
        <v>0</v>
      </c>
      <c r="Z835" s="6">
        <v>32632.211172684601</v>
      </c>
      <c r="AA835" s="6">
        <v>1776.4121486506101</v>
      </c>
      <c r="AB835" s="6">
        <v>0</v>
      </c>
      <c r="AC835" s="6">
        <v>288520.20056834602</v>
      </c>
      <c r="AD835" s="6">
        <v>0</v>
      </c>
      <c r="AE835" s="6">
        <v>0</v>
      </c>
      <c r="AF835" s="6">
        <v>0</v>
      </c>
      <c r="AG835" s="6">
        <v>0</v>
      </c>
      <c r="AH835" s="6">
        <v>0</v>
      </c>
      <c r="AI835" s="6">
        <v>0</v>
      </c>
      <c r="AJ835" s="6">
        <v>10007829.3801348</v>
      </c>
      <c r="AK835" s="6">
        <v>15316.594205290099</v>
      </c>
      <c r="AL835" s="6">
        <v>330.98244656580999</v>
      </c>
      <c r="AM835" s="6">
        <v>93035.839999999997</v>
      </c>
      <c r="AN835" s="6">
        <v>5197.8703733265102</v>
      </c>
      <c r="AO835" s="6">
        <v>15316.594205290099</v>
      </c>
      <c r="AP835" s="6">
        <v>330.98244656580999</v>
      </c>
      <c r="AQ835" s="6">
        <v>40734.411818744898</v>
      </c>
      <c r="AR835" s="6">
        <v>15316.594205290099</v>
      </c>
      <c r="AS835" s="6">
        <v>15316.594205290099</v>
      </c>
      <c r="AT835" s="6">
        <v>0</v>
      </c>
      <c r="AU835" t="s">
        <v>2973</v>
      </c>
      <c r="AV835" t="s">
        <v>2973</v>
      </c>
    </row>
    <row r="836" spans="1:48" x14ac:dyDescent="0.45">
      <c r="A836" s="5" t="s">
        <v>1700</v>
      </c>
      <c r="B836">
        <v>2108</v>
      </c>
      <c r="C836" t="s">
        <v>1690</v>
      </c>
      <c r="D836">
        <v>698</v>
      </c>
      <c r="E836" t="s">
        <v>1701</v>
      </c>
      <c r="F836" t="s">
        <v>2739</v>
      </c>
      <c r="G836" t="s">
        <v>2747</v>
      </c>
      <c r="H836" t="s">
        <v>2741</v>
      </c>
      <c r="I836" t="s">
        <v>2742</v>
      </c>
      <c r="J836">
        <v>349.71730519464802</v>
      </c>
      <c r="K836">
        <v>1</v>
      </c>
      <c r="L836">
        <v>1</v>
      </c>
      <c r="M836">
        <v>3</v>
      </c>
      <c r="N836" s="6">
        <v>2400982.0929301502</v>
      </c>
      <c r="O836" s="6">
        <v>1025469.6021298399</v>
      </c>
      <c r="P836" s="6">
        <v>1149913.38398345</v>
      </c>
      <c r="Q836" s="6">
        <v>196258.24816059999</v>
      </c>
      <c r="R836" s="6">
        <v>58338.045027996901</v>
      </c>
      <c r="S836" s="6">
        <v>154424.307478815</v>
      </c>
      <c r="T836" s="6">
        <v>3167600.46</v>
      </c>
      <c r="U836" s="6">
        <v>1663360.91223203</v>
      </c>
      <c r="V836" s="6">
        <v>4073609.7265393399</v>
      </c>
      <c r="W836" s="6">
        <v>754141.77538330294</v>
      </c>
      <c r="X836" s="6">
        <v>0</v>
      </c>
      <c r="Y836" s="6">
        <v>0</v>
      </c>
      <c r="Z836" s="6">
        <v>2259.0834483253002</v>
      </c>
      <c r="AA836" s="6">
        <v>950.78686106535395</v>
      </c>
      <c r="AB836" s="6">
        <v>0</v>
      </c>
      <c r="AC836" s="6">
        <v>154424.307478815</v>
      </c>
      <c r="AD836" s="6">
        <v>0</v>
      </c>
      <c r="AE836" s="6">
        <v>0</v>
      </c>
      <c r="AF836" s="6">
        <v>0</v>
      </c>
      <c r="AG836" s="6">
        <v>0</v>
      </c>
      <c r="AH836" s="6">
        <v>0</v>
      </c>
      <c r="AI836" s="6">
        <v>0</v>
      </c>
      <c r="AJ836" s="6">
        <v>4985385.6797108501</v>
      </c>
      <c r="AK836" s="6">
        <v>14255.4732226821</v>
      </c>
      <c r="AL836" s="6">
        <v>330.98244656580999</v>
      </c>
      <c r="AM836" s="6">
        <v>93035.839999999997</v>
      </c>
      <c r="AN836" s="6">
        <v>5197.8703733265102</v>
      </c>
      <c r="AO836" s="6">
        <v>15316.594205290099</v>
      </c>
      <c r="AP836" s="6">
        <v>3753.1860850462999</v>
      </c>
      <c r="AQ836" s="6">
        <v>20687.885194392002</v>
      </c>
      <c r="AR836" s="6">
        <v>14255.4732226821</v>
      </c>
      <c r="AS836" s="6">
        <v>14255.4732226821</v>
      </c>
      <c r="AT836" s="6">
        <v>0</v>
      </c>
      <c r="AU836" t="s">
        <v>2973</v>
      </c>
      <c r="AV836" t="s">
        <v>2973</v>
      </c>
    </row>
    <row r="837" spans="1:48" x14ac:dyDescent="0.45">
      <c r="A837" s="5" t="s">
        <v>1702</v>
      </c>
      <c r="B837">
        <v>2108</v>
      </c>
      <c r="C837" t="s">
        <v>1690</v>
      </c>
      <c r="D837">
        <v>2108</v>
      </c>
      <c r="E837" t="s">
        <v>1690</v>
      </c>
      <c r="F837" t="s">
        <v>1</v>
      </c>
      <c r="G837" t="s">
        <v>1</v>
      </c>
      <c r="H837" t="s">
        <v>2743</v>
      </c>
      <c r="I837" t="s">
        <v>2742</v>
      </c>
      <c r="J837">
        <v>63.343287526395997</v>
      </c>
      <c r="K837">
        <v>1</v>
      </c>
      <c r="L837">
        <v>2</v>
      </c>
      <c r="M837">
        <v>3</v>
      </c>
      <c r="N837" s="6">
        <v>67930.4491065443</v>
      </c>
      <c r="O837" s="6">
        <v>45295.690392487901</v>
      </c>
      <c r="P837" s="6">
        <v>145756.81417827299</v>
      </c>
      <c r="Q837" s="6">
        <v>31730.2122243911</v>
      </c>
      <c r="R837" s="6">
        <v>10566.6019526242</v>
      </c>
      <c r="S837" s="6">
        <v>27970.429728236501</v>
      </c>
      <c r="T837" s="6">
        <v>0</v>
      </c>
      <c r="U837" s="6">
        <v>301279.76785432099</v>
      </c>
      <c r="V837" s="6">
        <v>188195.899969158</v>
      </c>
      <c r="W837" s="6">
        <v>112502.47332758601</v>
      </c>
      <c r="X837" s="6">
        <v>0</v>
      </c>
      <c r="Y837" s="6">
        <v>0</v>
      </c>
      <c r="Z837" s="6">
        <v>409.181273811273</v>
      </c>
      <c r="AA837" s="6">
        <v>172.21328376432899</v>
      </c>
      <c r="AB837" s="6">
        <v>0</v>
      </c>
      <c r="AC837" s="6">
        <v>27970.429728236501</v>
      </c>
      <c r="AD837" s="6">
        <v>0</v>
      </c>
      <c r="AE837" s="6">
        <v>0</v>
      </c>
      <c r="AF837" s="6">
        <v>0</v>
      </c>
      <c r="AG837" s="6">
        <v>0</v>
      </c>
      <c r="AH837" s="6">
        <v>0</v>
      </c>
      <c r="AI837" s="6">
        <v>0</v>
      </c>
      <c r="AJ837" s="6">
        <v>329250.19758255698</v>
      </c>
      <c r="AK837" s="6">
        <v>5197.8703733265102</v>
      </c>
      <c r="AL837" s="6">
        <v>330.98244656580999</v>
      </c>
      <c r="AM837" s="6">
        <v>93035.839999999997</v>
      </c>
      <c r="AN837" s="6">
        <v>5197.8703733265102</v>
      </c>
      <c r="AO837" s="6">
        <v>15316.594205290099</v>
      </c>
      <c r="AP837" s="6">
        <v>634.54287297753501</v>
      </c>
      <c r="AQ837" s="6">
        <v>40331.279999999999</v>
      </c>
      <c r="AR837" s="6">
        <v>5197.8703733265102</v>
      </c>
      <c r="AS837" s="6">
        <v>5197.8703733265102</v>
      </c>
      <c r="AT837" s="6">
        <v>0</v>
      </c>
      <c r="AU837" t="s">
        <v>2973</v>
      </c>
      <c r="AV837" t="s">
        <v>2977</v>
      </c>
    </row>
    <row r="838" spans="1:48" x14ac:dyDescent="0.45">
      <c r="A838" s="5" t="s">
        <v>1703</v>
      </c>
      <c r="B838">
        <v>2108</v>
      </c>
      <c r="C838" t="s">
        <v>1690</v>
      </c>
      <c r="D838">
        <v>697</v>
      </c>
      <c r="E838" t="s">
        <v>1704</v>
      </c>
      <c r="F838" t="s">
        <v>2739</v>
      </c>
      <c r="G838" t="s">
        <v>2740</v>
      </c>
      <c r="H838" t="s">
        <v>2741</v>
      </c>
      <c r="I838" t="s">
        <v>2742</v>
      </c>
      <c r="J838">
        <v>127.53409090906899</v>
      </c>
      <c r="K838">
        <v>2</v>
      </c>
      <c r="L838">
        <v>1</v>
      </c>
      <c r="M838">
        <v>3</v>
      </c>
      <c r="N838" s="6">
        <v>847815.00903625297</v>
      </c>
      <c r="O838" s="6">
        <v>357588.70472945302</v>
      </c>
      <c r="P838" s="6">
        <v>387869.07465095102</v>
      </c>
      <c r="Q838" s="6">
        <v>88148.556006907005</v>
      </c>
      <c r="R838" s="6">
        <v>21815.562148335099</v>
      </c>
      <c r="S838" s="6">
        <v>56315.096153482002</v>
      </c>
      <c r="T838" s="6">
        <v>1096646.33</v>
      </c>
      <c r="U838" s="6">
        <v>606590.57657189795</v>
      </c>
      <c r="V838" s="6">
        <v>1414309.7995891999</v>
      </c>
      <c r="W838" s="6">
        <v>287756.53896743699</v>
      </c>
      <c r="X838" s="6">
        <v>0</v>
      </c>
      <c r="Y838" s="6">
        <v>0</v>
      </c>
      <c r="Z838" s="6">
        <v>823.83728111348103</v>
      </c>
      <c r="AA838" s="6">
        <v>346.73073414759</v>
      </c>
      <c r="AB838" s="6">
        <v>0</v>
      </c>
      <c r="AC838" s="6">
        <v>56315.096153482002</v>
      </c>
      <c r="AD838" s="6">
        <v>0</v>
      </c>
      <c r="AE838" s="6">
        <v>0</v>
      </c>
      <c r="AF838" s="6">
        <v>0</v>
      </c>
      <c r="AG838" s="6">
        <v>0</v>
      </c>
      <c r="AH838" s="6">
        <v>0</v>
      </c>
      <c r="AI838" s="6">
        <v>0</v>
      </c>
      <c r="AJ838" s="6">
        <v>1759552.00272538</v>
      </c>
      <c r="AK838" s="6">
        <v>13796.718902241801</v>
      </c>
      <c r="AL838" s="6">
        <v>330.98244656580999</v>
      </c>
      <c r="AM838" s="6">
        <v>93035.839999999997</v>
      </c>
      <c r="AN838" s="6">
        <v>5197.8703733265102</v>
      </c>
      <c r="AO838" s="6">
        <v>15316.594205290099</v>
      </c>
      <c r="AP838" s="6">
        <v>330.98244656580999</v>
      </c>
      <c r="AQ838" s="6">
        <v>93035.839999999997</v>
      </c>
      <c r="AR838" s="6">
        <v>12669.9812340028</v>
      </c>
      <c r="AS838" s="6">
        <v>14162.3109580246</v>
      </c>
      <c r="AT838" s="6">
        <v>0</v>
      </c>
      <c r="AU838" t="s">
        <v>2973</v>
      </c>
      <c r="AV838" t="s">
        <v>2973</v>
      </c>
    </row>
    <row r="839" spans="1:48" x14ac:dyDescent="0.45">
      <c r="A839" s="5" t="s">
        <v>1705</v>
      </c>
      <c r="B839">
        <v>1928</v>
      </c>
      <c r="C839" t="s">
        <v>1706</v>
      </c>
      <c r="D839">
        <v>4585</v>
      </c>
      <c r="E839" t="s">
        <v>1707</v>
      </c>
      <c r="F839" t="s">
        <v>3</v>
      </c>
      <c r="G839" t="s">
        <v>2748</v>
      </c>
      <c r="H839" t="s">
        <v>2741</v>
      </c>
      <c r="I839" t="s">
        <v>2742</v>
      </c>
      <c r="J839">
        <v>367.86470428957699</v>
      </c>
      <c r="K839">
        <v>1</v>
      </c>
      <c r="L839">
        <v>1</v>
      </c>
      <c r="M839">
        <v>1</v>
      </c>
      <c r="N839" s="6">
        <v>586049.29301531299</v>
      </c>
      <c r="O839" s="6">
        <v>450325.96283247799</v>
      </c>
      <c r="P839" s="6">
        <v>490703.45954976301</v>
      </c>
      <c r="Q839" s="6">
        <v>127378.625214186</v>
      </c>
      <c r="R839" s="6">
        <v>214924.062209444</v>
      </c>
      <c r="S839" s="6">
        <v>181334.07182608201</v>
      </c>
      <c r="T839" s="6">
        <v>0</v>
      </c>
      <c r="U839" s="6">
        <v>1869381.40282119</v>
      </c>
      <c r="V839" s="6">
        <v>1399711.5502057599</v>
      </c>
      <c r="W839" s="6">
        <v>339809.711321963</v>
      </c>
      <c r="X839" s="6">
        <v>0</v>
      </c>
      <c r="Y839" s="6">
        <v>0</v>
      </c>
      <c r="Z839" s="6">
        <v>0</v>
      </c>
      <c r="AA839" s="6">
        <v>30725.328563454099</v>
      </c>
      <c r="AB839" s="6">
        <v>99134.812730008896</v>
      </c>
      <c r="AC839" s="6">
        <v>176043.80729937699</v>
      </c>
      <c r="AD839" s="6">
        <v>5290.2645267048701</v>
      </c>
      <c r="AE839" s="6">
        <v>0</v>
      </c>
      <c r="AF839" s="6">
        <v>0</v>
      </c>
      <c r="AG839" s="6">
        <v>0</v>
      </c>
      <c r="AH839" s="6">
        <v>0</v>
      </c>
      <c r="AI839" s="6">
        <v>0</v>
      </c>
      <c r="AJ839" s="6">
        <v>2050715.47464727</v>
      </c>
      <c r="AK839" s="6">
        <v>5574.6459248044002</v>
      </c>
      <c r="AL839" s="6">
        <v>330.98244656580999</v>
      </c>
      <c r="AM839" s="6">
        <v>93035.839999999997</v>
      </c>
      <c r="AN839" s="6">
        <v>5574.6459248044002</v>
      </c>
      <c r="AO839" s="6">
        <v>16996.724734445201</v>
      </c>
      <c r="AP839" s="6">
        <v>330.98244656580999</v>
      </c>
      <c r="AQ839" s="6">
        <v>56162.493707719797</v>
      </c>
      <c r="AR839" s="6">
        <v>5574.6459248044002</v>
      </c>
      <c r="AS839" s="6">
        <v>5574.6459248044002</v>
      </c>
      <c r="AT839" s="6">
        <v>0</v>
      </c>
      <c r="AU839" t="s">
        <v>2973</v>
      </c>
      <c r="AV839" t="s">
        <v>2976</v>
      </c>
    </row>
    <row r="840" spans="1:48" x14ac:dyDescent="0.45">
      <c r="A840" s="5" t="s">
        <v>1708</v>
      </c>
      <c r="B840">
        <v>1928</v>
      </c>
      <c r="C840" t="s">
        <v>1706</v>
      </c>
      <c r="D840">
        <v>105</v>
      </c>
      <c r="E840" t="s">
        <v>1709</v>
      </c>
      <c r="F840" t="s">
        <v>2739</v>
      </c>
      <c r="G840" t="s">
        <v>2740</v>
      </c>
      <c r="H840" t="s">
        <v>2741</v>
      </c>
      <c r="I840" t="s">
        <v>2742</v>
      </c>
      <c r="J840">
        <v>534.80405036245702</v>
      </c>
      <c r="K840">
        <v>1</v>
      </c>
      <c r="L840">
        <v>1</v>
      </c>
      <c r="M840">
        <v>1</v>
      </c>
      <c r="N840" s="6">
        <v>3320385.2352688401</v>
      </c>
      <c r="O840" s="6">
        <v>1059607.27330319</v>
      </c>
      <c r="P840" s="6">
        <v>1013899.32523194</v>
      </c>
      <c r="Q840" s="6">
        <v>185320.536727181</v>
      </c>
      <c r="R840" s="6">
        <v>312906.47068773099</v>
      </c>
      <c r="S840" s="6">
        <v>263624.62870307302</v>
      </c>
      <c r="T840" s="6">
        <v>3174400.25</v>
      </c>
      <c r="U840" s="6">
        <v>2717718.5912188902</v>
      </c>
      <c r="V840" s="6">
        <v>5006619.15773034</v>
      </c>
      <c r="W840" s="6">
        <v>696259.68287826795</v>
      </c>
      <c r="X840" s="6">
        <v>0</v>
      </c>
      <c r="Y840" s="6">
        <v>0</v>
      </c>
      <c r="Z840" s="6">
        <v>0</v>
      </c>
      <c r="AA840" s="6">
        <v>45117.178383228398</v>
      </c>
      <c r="AB840" s="6">
        <v>144122.82222704799</v>
      </c>
      <c r="AC840" s="6">
        <v>255933.608435623</v>
      </c>
      <c r="AD840" s="6">
        <v>7691.0202674498696</v>
      </c>
      <c r="AE840" s="6">
        <v>0</v>
      </c>
      <c r="AF840" s="6">
        <v>0</v>
      </c>
      <c r="AG840" s="6">
        <v>0</v>
      </c>
      <c r="AH840" s="6">
        <v>0</v>
      </c>
      <c r="AI840" s="6">
        <v>0</v>
      </c>
      <c r="AJ840" s="6">
        <v>6155743.4699219596</v>
      </c>
      <c r="AK840" s="6">
        <v>11510.278326706701</v>
      </c>
      <c r="AL840" s="6">
        <v>330.98244656580999</v>
      </c>
      <c r="AM840" s="6">
        <v>93035.839999999997</v>
      </c>
      <c r="AN840" s="6">
        <v>5574.6459248044002</v>
      </c>
      <c r="AO840" s="6">
        <v>16996.724734445201</v>
      </c>
      <c r="AP840" s="6">
        <v>330.98244656580999</v>
      </c>
      <c r="AQ840" s="6">
        <v>93035.839999999997</v>
      </c>
      <c r="AR840" s="6">
        <v>5574.6459248044002</v>
      </c>
      <c r="AS840" s="6">
        <v>13157.183401677299</v>
      </c>
      <c r="AT840" s="6">
        <v>0</v>
      </c>
      <c r="AU840" t="s">
        <v>2973</v>
      </c>
      <c r="AV840" t="s">
        <v>2973</v>
      </c>
    </row>
    <row r="841" spans="1:48" x14ac:dyDescent="0.45">
      <c r="A841" s="5" t="s">
        <v>1710</v>
      </c>
      <c r="B841">
        <v>1928</v>
      </c>
      <c r="C841" t="s">
        <v>1706</v>
      </c>
      <c r="D841">
        <v>106</v>
      </c>
      <c r="E841" t="s">
        <v>1711</v>
      </c>
      <c r="F841" t="s">
        <v>2739</v>
      </c>
      <c r="G841" t="s">
        <v>2740</v>
      </c>
      <c r="H841" t="s">
        <v>2741</v>
      </c>
      <c r="I841" t="s">
        <v>2742</v>
      </c>
      <c r="J841">
        <v>199.30625000000001</v>
      </c>
      <c r="K841">
        <v>3</v>
      </c>
      <c r="L841">
        <v>1</v>
      </c>
      <c r="M841">
        <v>1</v>
      </c>
      <c r="N841" s="6">
        <v>1333871.60171275</v>
      </c>
      <c r="O841" s="6">
        <v>540921.62173795502</v>
      </c>
      <c r="P841" s="6">
        <v>463657.74699119799</v>
      </c>
      <c r="Q841" s="6">
        <v>69168.323399712695</v>
      </c>
      <c r="R841" s="6">
        <v>116444.193678368</v>
      </c>
      <c r="S841" s="6">
        <v>98245.396830562604</v>
      </c>
      <c r="T841" s="6">
        <v>1511247.11</v>
      </c>
      <c r="U841" s="6">
        <v>1012816.37751998</v>
      </c>
      <c r="V841" s="6">
        <v>2207616.21599364</v>
      </c>
      <c r="W841" s="6">
        <v>246090.051918521</v>
      </c>
      <c r="X841" s="6">
        <v>0</v>
      </c>
      <c r="Y841" s="6">
        <v>0</v>
      </c>
      <c r="Z841" s="6">
        <v>0</v>
      </c>
      <c r="AA841" s="6">
        <v>16646.7452424558</v>
      </c>
      <c r="AB841" s="6">
        <v>53710.4743653716</v>
      </c>
      <c r="AC841" s="6">
        <v>95379.172449613106</v>
      </c>
      <c r="AD841" s="6">
        <v>2866.2243809495199</v>
      </c>
      <c r="AE841" s="6">
        <v>0</v>
      </c>
      <c r="AF841" s="6">
        <v>0</v>
      </c>
      <c r="AG841" s="6">
        <v>0</v>
      </c>
      <c r="AH841" s="6">
        <v>0</v>
      </c>
      <c r="AI841" s="6">
        <v>0</v>
      </c>
      <c r="AJ841" s="6">
        <v>2622308.8843505499</v>
      </c>
      <c r="AK841" s="6">
        <v>13157.183401677299</v>
      </c>
      <c r="AL841" s="6">
        <v>330.98244656580999</v>
      </c>
      <c r="AM841" s="6">
        <v>93035.839999999997</v>
      </c>
      <c r="AN841" s="6">
        <v>5574.6459248044002</v>
      </c>
      <c r="AO841" s="6">
        <v>16996.724734445201</v>
      </c>
      <c r="AP841" s="6">
        <v>330.98244656580999</v>
      </c>
      <c r="AQ841" s="6">
        <v>93035.839999999997</v>
      </c>
      <c r="AR841" s="6">
        <v>5574.6459248044002</v>
      </c>
      <c r="AS841" s="6">
        <v>13157.183401677299</v>
      </c>
      <c r="AT841" s="6">
        <v>0</v>
      </c>
      <c r="AU841" t="s">
        <v>2973</v>
      </c>
      <c r="AV841" t="s">
        <v>2973</v>
      </c>
    </row>
    <row r="842" spans="1:48" x14ac:dyDescent="0.45">
      <c r="A842" s="5" t="s">
        <v>1712</v>
      </c>
      <c r="B842">
        <v>1928</v>
      </c>
      <c r="C842" t="s">
        <v>1706</v>
      </c>
      <c r="D842">
        <v>4802</v>
      </c>
      <c r="E842" t="s">
        <v>1713</v>
      </c>
      <c r="F842" t="s">
        <v>3</v>
      </c>
      <c r="G842" t="s">
        <v>2744</v>
      </c>
      <c r="H842" t="s">
        <v>2745</v>
      </c>
      <c r="I842" t="s">
        <v>2742</v>
      </c>
      <c r="J842">
        <v>178.71036560149599</v>
      </c>
      <c r="K842">
        <v>1</v>
      </c>
      <c r="L842">
        <v>1</v>
      </c>
      <c r="M842">
        <v>1</v>
      </c>
      <c r="N842" s="6">
        <v>284705.44250100298</v>
      </c>
      <c r="O842" s="6">
        <v>218770.42434135501</v>
      </c>
      <c r="P842" s="6">
        <v>263192.15799187601</v>
      </c>
      <c r="Q842" s="6">
        <v>61881.122098421503</v>
      </c>
      <c r="R842" s="6">
        <v>2120848.8181187599</v>
      </c>
      <c r="S842" s="6">
        <v>88092.926269265896</v>
      </c>
      <c r="T842" s="6">
        <v>2041243.88</v>
      </c>
      <c r="U842" s="6">
        <v>908154.085051417</v>
      </c>
      <c r="V842" s="6">
        <v>679986.31006740802</v>
      </c>
      <c r="W842" s="6">
        <v>189887.28095876201</v>
      </c>
      <c r="X842" s="6">
        <v>0</v>
      </c>
      <c r="Y842" s="6">
        <v>0</v>
      </c>
      <c r="Z842" s="6">
        <v>0</v>
      </c>
      <c r="AA842" s="6">
        <v>14926.505959317599</v>
      </c>
      <c r="AB842" s="6">
        <v>2064597.86806593</v>
      </c>
      <c r="AC842" s="6">
        <v>85522.891425825699</v>
      </c>
      <c r="AD842" s="6">
        <v>2570.0348434402299</v>
      </c>
      <c r="AE842" s="6">
        <v>0</v>
      </c>
      <c r="AF842" s="6">
        <v>0</v>
      </c>
      <c r="AG842" s="6">
        <v>0</v>
      </c>
      <c r="AH842" s="6">
        <v>0</v>
      </c>
      <c r="AI842" s="6">
        <v>0</v>
      </c>
      <c r="AJ842" s="6">
        <v>3037490.89132069</v>
      </c>
      <c r="AK842" s="6">
        <v>16996.724734445201</v>
      </c>
      <c r="AL842" s="6">
        <v>330.98244656580999</v>
      </c>
      <c r="AM842" s="6">
        <v>93035.839999999997</v>
      </c>
      <c r="AN842" s="6">
        <v>5574.6459248044002</v>
      </c>
      <c r="AO842" s="6">
        <v>16996.724734445201</v>
      </c>
      <c r="AP842" s="6">
        <v>330.98244656580999</v>
      </c>
      <c r="AQ842" s="6">
        <v>40734.411818744898</v>
      </c>
      <c r="AR842" s="6">
        <v>5574.6459248044002</v>
      </c>
      <c r="AS842" s="6">
        <v>16996.724734445201</v>
      </c>
      <c r="AT842" s="6">
        <v>0</v>
      </c>
      <c r="AU842" t="s">
        <v>2973</v>
      </c>
      <c r="AV842" t="s">
        <v>2973</v>
      </c>
    </row>
    <row r="843" spans="1:48" x14ac:dyDescent="0.45">
      <c r="A843" s="5" t="s">
        <v>1714</v>
      </c>
      <c r="B843">
        <v>1928</v>
      </c>
      <c r="C843" t="s">
        <v>1706</v>
      </c>
      <c r="D843">
        <v>109</v>
      </c>
      <c r="E843" t="s">
        <v>1715</v>
      </c>
      <c r="F843" t="s">
        <v>2739</v>
      </c>
      <c r="G843" t="s">
        <v>2740</v>
      </c>
      <c r="H843" t="s">
        <v>2741</v>
      </c>
      <c r="I843" t="s">
        <v>2742</v>
      </c>
      <c r="J843">
        <v>537.92014331209305</v>
      </c>
      <c r="K843">
        <v>1</v>
      </c>
      <c r="L843">
        <v>1</v>
      </c>
      <c r="M843">
        <v>1</v>
      </c>
      <c r="N843" s="6">
        <v>3352062.1871061898</v>
      </c>
      <c r="O843" s="6">
        <v>1069409.7756324101</v>
      </c>
      <c r="P843" s="6">
        <v>1091853.8155713901</v>
      </c>
      <c r="Q843" s="6">
        <v>186448.250257509</v>
      </c>
      <c r="R843" s="6">
        <v>315026.04044380801</v>
      </c>
      <c r="S843" s="6">
        <v>265160.66577365098</v>
      </c>
      <c r="T843" s="6">
        <v>3281246.4</v>
      </c>
      <c r="U843" s="6">
        <v>2733553.6690113102</v>
      </c>
      <c r="V843" s="6">
        <v>5154294.53578112</v>
      </c>
      <c r="W843" s="6">
        <v>669866.51876699005</v>
      </c>
      <c r="X843" s="6">
        <v>0</v>
      </c>
      <c r="Y843" s="6">
        <v>0</v>
      </c>
      <c r="Z843" s="6">
        <v>0</v>
      </c>
      <c r="AA843" s="6">
        <v>45676.445211209997</v>
      </c>
      <c r="AB843" s="6">
        <v>144962.569251999</v>
      </c>
      <c r="AC843" s="6">
        <v>257424.832954735</v>
      </c>
      <c r="AD843" s="6">
        <v>7735.83281891553</v>
      </c>
      <c r="AE843" s="6">
        <v>0</v>
      </c>
      <c r="AF843" s="6">
        <v>0</v>
      </c>
      <c r="AG843" s="6">
        <v>0</v>
      </c>
      <c r="AH843" s="6">
        <v>0</v>
      </c>
      <c r="AI843" s="6">
        <v>0</v>
      </c>
      <c r="AJ843" s="6">
        <v>6279960.7347849598</v>
      </c>
      <c r="AK843" s="6">
        <v>11674.5223484621</v>
      </c>
      <c r="AL843" s="6">
        <v>330.98244656580999</v>
      </c>
      <c r="AM843" s="6">
        <v>93035.839999999997</v>
      </c>
      <c r="AN843" s="6">
        <v>5574.6459248044002</v>
      </c>
      <c r="AO843" s="6">
        <v>16996.724734445201</v>
      </c>
      <c r="AP843" s="6">
        <v>330.98244656580999</v>
      </c>
      <c r="AQ843" s="6">
        <v>93035.839999999997</v>
      </c>
      <c r="AR843" s="6">
        <v>5574.6459248044002</v>
      </c>
      <c r="AS843" s="6">
        <v>13157.183401677299</v>
      </c>
      <c r="AT843" s="6">
        <v>0</v>
      </c>
      <c r="AU843" t="s">
        <v>2973</v>
      </c>
      <c r="AV843" t="s">
        <v>2973</v>
      </c>
    </row>
    <row r="844" spans="1:48" x14ac:dyDescent="0.45">
      <c r="A844" s="5" t="s">
        <v>1716</v>
      </c>
      <c r="B844">
        <v>1928</v>
      </c>
      <c r="C844" t="s">
        <v>1706</v>
      </c>
      <c r="D844">
        <v>115</v>
      </c>
      <c r="E844" t="s">
        <v>1717</v>
      </c>
      <c r="F844" t="s">
        <v>2739</v>
      </c>
      <c r="G844" t="s">
        <v>2747</v>
      </c>
      <c r="H844" t="s">
        <v>2741</v>
      </c>
      <c r="I844" t="s">
        <v>2742</v>
      </c>
      <c r="J844">
        <v>834.23356840945996</v>
      </c>
      <c r="K844">
        <v>1</v>
      </c>
      <c r="L844">
        <v>1</v>
      </c>
      <c r="M844">
        <v>1</v>
      </c>
      <c r="N844" s="6">
        <v>5314690.2228799602</v>
      </c>
      <c r="O844" s="6">
        <v>2113418.5771253798</v>
      </c>
      <c r="P844" s="6">
        <v>1793178.51568699</v>
      </c>
      <c r="Q844" s="6">
        <v>289095.00084934302</v>
      </c>
      <c r="R844" s="6">
        <v>487698.93114141998</v>
      </c>
      <c r="S844" s="6">
        <v>411224.474785731</v>
      </c>
      <c r="T844" s="6">
        <v>5758748.96</v>
      </c>
      <c r="U844" s="6">
        <v>4239332.2876831004</v>
      </c>
      <c r="V844" s="6">
        <v>8494558.3135699909</v>
      </c>
      <c r="W844" s="6">
        <v>1208729.6486102999</v>
      </c>
      <c r="X844" s="6">
        <v>0</v>
      </c>
      <c r="Y844" s="6">
        <v>0</v>
      </c>
      <c r="Z844" s="6">
        <v>0</v>
      </c>
      <c r="AA844" s="6">
        <v>69978.054215332406</v>
      </c>
      <c r="AB844" s="6">
        <v>224815.23128747201</v>
      </c>
      <c r="AC844" s="6">
        <v>399227.35681686801</v>
      </c>
      <c r="AD844" s="6">
        <v>11997.1179688631</v>
      </c>
      <c r="AE844" s="6">
        <v>0</v>
      </c>
      <c r="AF844" s="6">
        <v>0</v>
      </c>
      <c r="AG844" s="6">
        <v>0</v>
      </c>
      <c r="AH844" s="6">
        <v>0</v>
      </c>
      <c r="AI844" s="6">
        <v>0</v>
      </c>
      <c r="AJ844" s="6">
        <v>10409305.722468801</v>
      </c>
      <c r="AK844" s="6">
        <v>12477.687444674601</v>
      </c>
      <c r="AL844" s="6">
        <v>330.98244656580999</v>
      </c>
      <c r="AM844" s="6">
        <v>93035.839999999997</v>
      </c>
      <c r="AN844" s="6">
        <v>5574.6459248044002</v>
      </c>
      <c r="AO844" s="6">
        <v>16996.724734445201</v>
      </c>
      <c r="AP844" s="6">
        <v>3753.1860850462999</v>
      </c>
      <c r="AQ844" s="6">
        <v>20687.885194392002</v>
      </c>
      <c r="AR844" s="6">
        <v>12041.714197785501</v>
      </c>
      <c r="AS844" s="6">
        <v>12477.687444674601</v>
      </c>
      <c r="AT844" s="6">
        <v>0</v>
      </c>
      <c r="AU844" t="s">
        <v>2973</v>
      </c>
      <c r="AV844" t="s">
        <v>2973</v>
      </c>
    </row>
    <row r="845" spans="1:48" x14ac:dyDescent="0.45">
      <c r="A845" s="5" t="s">
        <v>1718</v>
      </c>
      <c r="B845">
        <v>1928</v>
      </c>
      <c r="C845" t="s">
        <v>1706</v>
      </c>
      <c r="D845">
        <v>107</v>
      </c>
      <c r="E845" t="s">
        <v>1719</v>
      </c>
      <c r="F845" t="s">
        <v>2739</v>
      </c>
      <c r="G845" t="s">
        <v>2740</v>
      </c>
      <c r="H845" t="s">
        <v>2741</v>
      </c>
      <c r="I845" t="s">
        <v>2742</v>
      </c>
      <c r="J845">
        <v>569.36637902013399</v>
      </c>
      <c r="K845">
        <v>1</v>
      </c>
      <c r="L845">
        <v>2</v>
      </c>
      <c r="M845">
        <v>1</v>
      </c>
      <c r="N845" s="6">
        <v>3410270.8999330299</v>
      </c>
      <c r="O845" s="6">
        <v>1094871.4999245801</v>
      </c>
      <c r="P845" s="6">
        <v>1055405.0156928599</v>
      </c>
      <c r="Q845" s="6">
        <v>197301.797080016</v>
      </c>
      <c r="R845" s="6">
        <v>333398.42746751098</v>
      </c>
      <c r="S845" s="6">
        <v>280661.674427238</v>
      </c>
      <c r="T845" s="6">
        <v>3197893.35</v>
      </c>
      <c r="U845" s="6">
        <v>2893354.2900979901</v>
      </c>
      <c r="V845" s="6">
        <v>5258506.1858379599</v>
      </c>
      <c r="W845" s="6">
        <v>631001.58514952101</v>
      </c>
      <c r="X845" s="6">
        <v>0</v>
      </c>
      <c r="Y845" s="6">
        <v>0</v>
      </c>
      <c r="Z845" s="6">
        <v>0</v>
      </c>
      <c r="AA845" s="6">
        <v>48302.943249610602</v>
      </c>
      <c r="AB845" s="6">
        <v>153436.92586090701</v>
      </c>
      <c r="AC845" s="6">
        <v>272473.61310331803</v>
      </c>
      <c r="AD845" s="6">
        <v>8188.06132391963</v>
      </c>
      <c r="AE845" s="6">
        <v>0</v>
      </c>
      <c r="AF845" s="6">
        <v>0</v>
      </c>
      <c r="AG845" s="6">
        <v>0</v>
      </c>
      <c r="AH845" s="6">
        <v>0</v>
      </c>
      <c r="AI845" s="6">
        <v>0</v>
      </c>
      <c r="AJ845" s="6">
        <v>6371909.3145252401</v>
      </c>
      <c r="AK845" s="6">
        <v>11191.228617135999</v>
      </c>
      <c r="AL845" s="6">
        <v>330.98244656580999</v>
      </c>
      <c r="AM845" s="6">
        <v>93035.839999999997</v>
      </c>
      <c r="AN845" s="6">
        <v>5574.6459248044002</v>
      </c>
      <c r="AO845" s="6">
        <v>16996.724734445201</v>
      </c>
      <c r="AP845" s="6">
        <v>330.98244656580999</v>
      </c>
      <c r="AQ845" s="6">
        <v>93035.839999999997</v>
      </c>
      <c r="AR845" s="6">
        <v>5574.6459248044002</v>
      </c>
      <c r="AS845" s="6">
        <v>13157.183401677299</v>
      </c>
      <c r="AT845" s="6">
        <v>0</v>
      </c>
      <c r="AU845" t="s">
        <v>2973</v>
      </c>
      <c r="AV845" t="s">
        <v>2973</v>
      </c>
    </row>
    <row r="846" spans="1:48" x14ac:dyDescent="0.45">
      <c r="A846" s="5" t="s">
        <v>1720</v>
      </c>
      <c r="B846">
        <v>1928</v>
      </c>
      <c r="C846" t="s">
        <v>1706</v>
      </c>
      <c r="D846">
        <v>110</v>
      </c>
      <c r="E846" t="s">
        <v>1721</v>
      </c>
      <c r="F846" t="s">
        <v>2739</v>
      </c>
      <c r="G846" t="s">
        <v>2740</v>
      </c>
      <c r="H846" t="s">
        <v>2741</v>
      </c>
      <c r="I846" t="s">
        <v>2742</v>
      </c>
      <c r="J846">
        <v>232.948686305726</v>
      </c>
      <c r="K846">
        <v>3</v>
      </c>
      <c r="L846">
        <v>1</v>
      </c>
      <c r="M846">
        <v>1</v>
      </c>
      <c r="N846" s="6">
        <v>1455093.7857869901</v>
      </c>
      <c r="O846" s="6">
        <v>580000.081171258</v>
      </c>
      <c r="P846" s="6">
        <v>498267.20121213398</v>
      </c>
      <c r="Q846" s="6">
        <v>80817.497343869501</v>
      </c>
      <c r="R846" s="6">
        <v>136099.70558025801</v>
      </c>
      <c r="S846" s="6">
        <v>114828.993708247</v>
      </c>
      <c r="T846" s="6">
        <v>1566500.82</v>
      </c>
      <c r="U846" s="6">
        <v>1183777.45109451</v>
      </c>
      <c r="V846" s="6">
        <v>2394186.2078346699</v>
      </c>
      <c r="W846" s="6">
        <v>273858.70690615202</v>
      </c>
      <c r="X846" s="6">
        <v>0</v>
      </c>
      <c r="Y846" s="6">
        <v>0</v>
      </c>
      <c r="Z846" s="6">
        <v>0</v>
      </c>
      <c r="AA846" s="6">
        <v>19456.677527654901</v>
      </c>
      <c r="AB846" s="6">
        <v>62776.678826031297</v>
      </c>
      <c r="AC846" s="6">
        <v>111478.95724827801</v>
      </c>
      <c r="AD846" s="6">
        <v>3350.03645996869</v>
      </c>
      <c r="AE846" s="6">
        <v>0</v>
      </c>
      <c r="AF846" s="6">
        <v>0</v>
      </c>
      <c r="AG846" s="6">
        <v>0</v>
      </c>
      <c r="AH846" s="6">
        <v>0</v>
      </c>
      <c r="AI846" s="6">
        <v>0</v>
      </c>
      <c r="AJ846" s="6">
        <v>2865107.2648027502</v>
      </c>
      <c r="AK846" s="6">
        <v>12299.306384765499</v>
      </c>
      <c r="AL846" s="6">
        <v>330.98244656580999</v>
      </c>
      <c r="AM846" s="6">
        <v>93035.839999999997</v>
      </c>
      <c r="AN846" s="6">
        <v>5574.6459248044002</v>
      </c>
      <c r="AO846" s="6">
        <v>16996.724734445201</v>
      </c>
      <c r="AP846" s="6">
        <v>330.98244656580999</v>
      </c>
      <c r="AQ846" s="6">
        <v>93035.839999999997</v>
      </c>
      <c r="AR846" s="6">
        <v>5574.6459248044002</v>
      </c>
      <c r="AS846" s="6">
        <v>13157.183401677299</v>
      </c>
      <c r="AT846" s="6">
        <v>0</v>
      </c>
      <c r="AU846" t="s">
        <v>2973</v>
      </c>
      <c r="AV846" t="s">
        <v>2973</v>
      </c>
    </row>
    <row r="847" spans="1:48" x14ac:dyDescent="0.45">
      <c r="A847" s="5" t="s">
        <v>1722</v>
      </c>
      <c r="B847">
        <v>1928</v>
      </c>
      <c r="C847" t="s">
        <v>1706</v>
      </c>
      <c r="D847">
        <v>114</v>
      </c>
      <c r="E847" t="s">
        <v>1723</v>
      </c>
      <c r="F847" t="s">
        <v>2739</v>
      </c>
      <c r="G847" t="s">
        <v>2740</v>
      </c>
      <c r="H847" t="s">
        <v>2741</v>
      </c>
      <c r="I847" t="s">
        <v>2742</v>
      </c>
      <c r="J847">
        <v>633.70241818146803</v>
      </c>
      <c r="K847">
        <v>1</v>
      </c>
      <c r="L847">
        <v>1</v>
      </c>
      <c r="M847">
        <v>1</v>
      </c>
      <c r="N847" s="6">
        <v>3782118.0091863801</v>
      </c>
      <c r="O847" s="6">
        <v>1187784.0791720899</v>
      </c>
      <c r="P847" s="6">
        <v>1118983.09521123</v>
      </c>
      <c r="Q847" s="6">
        <v>219584.45752740701</v>
      </c>
      <c r="R847" s="6">
        <v>370239.102472567</v>
      </c>
      <c r="S847" s="6">
        <v>312375.279484339</v>
      </c>
      <c r="T847" s="6">
        <v>3458417.42</v>
      </c>
      <c r="U847" s="6">
        <v>3220291.3235696801</v>
      </c>
      <c r="V847" s="6">
        <v>5764717.4876587596</v>
      </c>
      <c r="W847" s="6">
        <v>690287.582784742</v>
      </c>
      <c r="X847" s="6">
        <v>0</v>
      </c>
      <c r="Y847" s="6">
        <v>0</v>
      </c>
      <c r="Z847" s="6">
        <v>0</v>
      </c>
      <c r="AA847" s="6">
        <v>52929.011082166697</v>
      </c>
      <c r="AB847" s="6">
        <v>170774.662044014</v>
      </c>
      <c r="AC847" s="6">
        <v>303262.00119397702</v>
      </c>
      <c r="AD847" s="6">
        <v>9113.2782903616699</v>
      </c>
      <c r="AE847" s="6">
        <v>0</v>
      </c>
      <c r="AF847" s="6">
        <v>0</v>
      </c>
      <c r="AG847" s="6">
        <v>0</v>
      </c>
      <c r="AH847" s="6">
        <v>0</v>
      </c>
      <c r="AI847" s="6">
        <v>0</v>
      </c>
      <c r="AJ847" s="6">
        <v>6991084.0230540195</v>
      </c>
      <c r="AK847" s="6">
        <v>11032.124578467399</v>
      </c>
      <c r="AL847" s="6">
        <v>330.98244656580999</v>
      </c>
      <c r="AM847" s="6">
        <v>93035.839999999997</v>
      </c>
      <c r="AN847" s="6">
        <v>5574.6459248044002</v>
      </c>
      <c r="AO847" s="6">
        <v>16996.724734445201</v>
      </c>
      <c r="AP847" s="6">
        <v>330.98244656580999</v>
      </c>
      <c r="AQ847" s="6">
        <v>93035.839999999997</v>
      </c>
      <c r="AR847" s="6">
        <v>5574.6459248044002</v>
      </c>
      <c r="AS847" s="6">
        <v>13157.183401677299</v>
      </c>
      <c r="AT847" s="6">
        <v>0</v>
      </c>
      <c r="AU847" t="s">
        <v>2973</v>
      </c>
      <c r="AV847" t="s">
        <v>2973</v>
      </c>
    </row>
    <row r="848" spans="1:48" x14ac:dyDescent="0.45">
      <c r="A848" s="5" t="s">
        <v>1724</v>
      </c>
      <c r="B848">
        <v>1928</v>
      </c>
      <c r="C848" t="s">
        <v>1706</v>
      </c>
      <c r="D848">
        <v>116</v>
      </c>
      <c r="E848" t="s">
        <v>1725</v>
      </c>
      <c r="F848" t="s">
        <v>2739</v>
      </c>
      <c r="G848" t="s">
        <v>2747</v>
      </c>
      <c r="H848" t="s">
        <v>2741</v>
      </c>
      <c r="I848" t="s">
        <v>2742</v>
      </c>
      <c r="J848">
        <v>879.47414344803303</v>
      </c>
      <c r="K848">
        <v>1</v>
      </c>
      <c r="L848">
        <v>1</v>
      </c>
      <c r="M848">
        <v>1</v>
      </c>
      <c r="N848" s="6">
        <v>5421902.7989107696</v>
      </c>
      <c r="O848" s="6">
        <v>2195359.4963423898</v>
      </c>
      <c r="P848" s="6">
        <v>1720141.24242119</v>
      </c>
      <c r="Q848" s="6">
        <v>304792.88283208699</v>
      </c>
      <c r="R848" s="6">
        <v>514654.63749771798</v>
      </c>
      <c r="S848" s="6">
        <v>433525.22173926397</v>
      </c>
      <c r="T848" s="6">
        <v>5687619.3300000001</v>
      </c>
      <c r="U848" s="6">
        <v>4469231.7280041501</v>
      </c>
      <c r="V848" s="6">
        <v>8677320.1429407001</v>
      </c>
      <c r="W848" s="6">
        <v>1168243.2168604301</v>
      </c>
      <c r="X848" s="6">
        <v>0</v>
      </c>
      <c r="Y848" s="6">
        <v>0</v>
      </c>
      <c r="Z848" s="6">
        <v>0</v>
      </c>
      <c r="AA848" s="6">
        <v>74280.713039889306</v>
      </c>
      <c r="AB848" s="6">
        <v>237006.98516314899</v>
      </c>
      <c r="AC848" s="6">
        <v>420877.49878845102</v>
      </c>
      <c r="AD848" s="6">
        <v>12647.7229508129</v>
      </c>
      <c r="AE848" s="6">
        <v>0</v>
      </c>
      <c r="AF848" s="6">
        <v>0</v>
      </c>
      <c r="AG848" s="6">
        <v>0</v>
      </c>
      <c r="AH848" s="6">
        <v>0</v>
      </c>
      <c r="AI848" s="6">
        <v>0</v>
      </c>
      <c r="AJ848" s="6">
        <v>10590376.279743399</v>
      </c>
      <c r="AK848" s="6">
        <v>12041.714197785501</v>
      </c>
      <c r="AL848" s="6">
        <v>330.98244656580999</v>
      </c>
      <c r="AM848" s="6">
        <v>93035.839999999997</v>
      </c>
      <c r="AN848" s="6">
        <v>5574.6459248044002</v>
      </c>
      <c r="AO848" s="6">
        <v>16996.724734445201</v>
      </c>
      <c r="AP848" s="6">
        <v>3753.1860850462999</v>
      </c>
      <c r="AQ848" s="6">
        <v>20687.885194392002</v>
      </c>
      <c r="AR848" s="6">
        <v>12041.714197785501</v>
      </c>
      <c r="AS848" s="6">
        <v>12477.687444674601</v>
      </c>
      <c r="AT848" s="6">
        <v>0</v>
      </c>
      <c r="AU848" t="s">
        <v>2973</v>
      </c>
      <c r="AV848" t="s">
        <v>2973</v>
      </c>
    </row>
    <row r="849" spans="1:48" x14ac:dyDescent="0.45">
      <c r="A849" s="5" t="s">
        <v>1726</v>
      </c>
      <c r="B849">
        <v>1928</v>
      </c>
      <c r="C849" t="s">
        <v>1706</v>
      </c>
      <c r="D849">
        <v>1928</v>
      </c>
      <c r="E849" t="s">
        <v>1706</v>
      </c>
      <c r="F849" t="s">
        <v>1</v>
      </c>
      <c r="G849" t="s">
        <v>1</v>
      </c>
      <c r="H849" t="s">
        <v>2743</v>
      </c>
      <c r="I849" t="s">
        <v>2742</v>
      </c>
      <c r="J849">
        <v>94.541709908475397</v>
      </c>
      <c r="K849">
        <v>1</v>
      </c>
      <c r="L849">
        <v>5</v>
      </c>
      <c r="M849">
        <v>1</v>
      </c>
      <c r="N849" s="6">
        <v>150615.43444164199</v>
      </c>
      <c r="O849" s="6">
        <v>115734.36115482599</v>
      </c>
      <c r="P849" s="6">
        <v>126111.430596288</v>
      </c>
      <c r="Q849" s="6">
        <v>32736.473200919601</v>
      </c>
      <c r="R849" s="6">
        <v>55235.764956024097</v>
      </c>
      <c r="S849" s="6">
        <v>46603.093515622801</v>
      </c>
      <c r="T849" s="6">
        <v>0</v>
      </c>
      <c r="U849" s="6">
        <v>480433.46434969897</v>
      </c>
      <c r="V849" s="6">
        <v>359727.698232572</v>
      </c>
      <c r="W849" s="6">
        <v>87331.540039771295</v>
      </c>
      <c r="X849" s="6">
        <v>0</v>
      </c>
      <c r="Y849" s="6">
        <v>0</v>
      </c>
      <c r="Z849" s="6">
        <v>0</v>
      </c>
      <c r="AA849" s="6">
        <v>7896.4496077395897</v>
      </c>
      <c r="AB849" s="6">
        <v>25477.776469616801</v>
      </c>
      <c r="AC849" s="6">
        <v>45243.488616346804</v>
      </c>
      <c r="AD849" s="6">
        <v>1359.60489927601</v>
      </c>
      <c r="AE849" s="6">
        <v>0</v>
      </c>
      <c r="AF849" s="6">
        <v>0</v>
      </c>
      <c r="AG849" s="6">
        <v>0</v>
      </c>
      <c r="AH849" s="6">
        <v>0</v>
      </c>
      <c r="AI849" s="6">
        <v>0</v>
      </c>
      <c r="AJ849" s="6">
        <v>527036.55786532199</v>
      </c>
      <c r="AK849" s="6">
        <v>5574.6459248044002</v>
      </c>
      <c r="AL849" s="6">
        <v>330.98244656580999</v>
      </c>
      <c r="AM849" s="6">
        <v>93035.839999999997</v>
      </c>
      <c r="AN849" s="6">
        <v>5574.6459248044002</v>
      </c>
      <c r="AO849" s="6">
        <v>16996.724734445201</v>
      </c>
      <c r="AP849" s="6">
        <v>634.54287297753501</v>
      </c>
      <c r="AQ849" s="6">
        <v>40331.279999999999</v>
      </c>
      <c r="AR849" s="6">
        <v>5574.6459248044002</v>
      </c>
      <c r="AS849" s="6">
        <v>5574.6459248044002</v>
      </c>
      <c r="AT849" s="6">
        <v>0</v>
      </c>
      <c r="AU849" t="s">
        <v>2973</v>
      </c>
      <c r="AV849" t="s">
        <v>2977</v>
      </c>
    </row>
    <row r="850" spans="1:48" x14ac:dyDescent="0.45">
      <c r="A850" s="5" t="s">
        <v>1727</v>
      </c>
      <c r="B850">
        <v>1928</v>
      </c>
      <c r="C850" t="s">
        <v>1706</v>
      </c>
      <c r="D850">
        <v>118</v>
      </c>
      <c r="E850" t="s">
        <v>1728</v>
      </c>
      <c r="F850" t="s">
        <v>2739</v>
      </c>
      <c r="G850" t="s">
        <v>2744</v>
      </c>
      <c r="H850" t="s">
        <v>2745</v>
      </c>
      <c r="I850" t="s">
        <v>2742</v>
      </c>
      <c r="J850">
        <v>1937.4725431623101</v>
      </c>
      <c r="K850">
        <v>1</v>
      </c>
      <c r="L850">
        <v>1</v>
      </c>
      <c r="M850">
        <v>1</v>
      </c>
      <c r="N850" s="6">
        <v>12128179.0375004</v>
      </c>
      <c r="O850" s="6">
        <v>7294759.2890648898</v>
      </c>
      <c r="P850" s="6">
        <v>4642898.7971750498</v>
      </c>
      <c r="Q850" s="6">
        <v>671780.184637208</v>
      </c>
      <c r="R850" s="6">
        <v>1382183.13918598</v>
      </c>
      <c r="S850" s="6">
        <v>955051.62959666504</v>
      </c>
      <c r="T850" s="6">
        <v>16274128.66</v>
      </c>
      <c r="U850" s="6">
        <v>9845671.7875635307</v>
      </c>
      <c r="V850" s="6">
        <v>20227379.476833701</v>
      </c>
      <c r="W850" s="6">
        <v>5202718.5688672299</v>
      </c>
      <c r="X850" s="6">
        <v>0</v>
      </c>
      <c r="Y850" s="6">
        <v>0</v>
      </c>
      <c r="Z850" s="6">
        <v>0</v>
      </c>
      <c r="AA850" s="6">
        <v>167578.437545678</v>
      </c>
      <c r="AB850" s="6">
        <v>522123.96431687602</v>
      </c>
      <c r="AC850" s="6">
        <v>927188.82529106899</v>
      </c>
      <c r="AD850" s="6">
        <v>27862.8043055954</v>
      </c>
      <c r="AE850" s="6">
        <v>0</v>
      </c>
      <c r="AF850" s="6">
        <v>0</v>
      </c>
      <c r="AG850" s="6">
        <v>0</v>
      </c>
      <c r="AH850" s="6">
        <v>0</v>
      </c>
      <c r="AI850" s="6">
        <v>0</v>
      </c>
      <c r="AJ850" s="6">
        <v>27074852.077160198</v>
      </c>
      <c r="AK850" s="6">
        <v>13974.315234924101</v>
      </c>
      <c r="AL850" s="6">
        <v>330.98244656580999</v>
      </c>
      <c r="AM850" s="6">
        <v>93035.839999999997</v>
      </c>
      <c r="AN850" s="6">
        <v>5574.6459248044002</v>
      </c>
      <c r="AO850" s="6">
        <v>16996.724734445201</v>
      </c>
      <c r="AP850" s="6">
        <v>330.98244656580999</v>
      </c>
      <c r="AQ850" s="6">
        <v>40734.411818744898</v>
      </c>
      <c r="AR850" s="6">
        <v>5574.6459248044002</v>
      </c>
      <c r="AS850" s="6">
        <v>16996.724734445201</v>
      </c>
      <c r="AT850" s="6">
        <v>0</v>
      </c>
      <c r="AU850" t="s">
        <v>2973</v>
      </c>
      <c r="AV850" t="s">
        <v>2973</v>
      </c>
    </row>
    <row r="851" spans="1:48" x14ac:dyDescent="0.45">
      <c r="A851" s="5" t="s">
        <v>1729</v>
      </c>
      <c r="B851">
        <v>1928</v>
      </c>
      <c r="C851" t="s">
        <v>1706</v>
      </c>
      <c r="D851">
        <v>2735</v>
      </c>
      <c r="E851" t="s">
        <v>1730</v>
      </c>
      <c r="F851" t="s">
        <v>3</v>
      </c>
      <c r="G851" t="s">
        <v>2744</v>
      </c>
      <c r="H851" t="s">
        <v>2745</v>
      </c>
      <c r="I851" t="s">
        <v>2742</v>
      </c>
      <c r="J851">
        <v>165.351646545476</v>
      </c>
      <c r="K851">
        <v>1</v>
      </c>
      <c r="L851">
        <v>2</v>
      </c>
      <c r="M851">
        <v>1</v>
      </c>
      <c r="N851" s="6">
        <v>263423.520731722</v>
      </c>
      <c r="O851" s="6">
        <v>202417.18916830799</v>
      </c>
      <c r="P851" s="6">
        <v>220566.485601847</v>
      </c>
      <c r="Q851" s="6">
        <v>57255.466937335797</v>
      </c>
      <c r="R851" s="6">
        <v>96606.298876118701</v>
      </c>
      <c r="S851" s="6">
        <v>81507.921259103605</v>
      </c>
      <c r="T851" s="6">
        <v>0</v>
      </c>
      <c r="U851" s="6">
        <v>840268.96131533198</v>
      </c>
      <c r="V851" s="6">
        <v>629156.87973438599</v>
      </c>
      <c r="W851" s="6">
        <v>152741.197032589</v>
      </c>
      <c r="X851" s="6">
        <v>0</v>
      </c>
      <c r="Y851" s="6">
        <v>0</v>
      </c>
      <c r="Z851" s="6">
        <v>0</v>
      </c>
      <c r="AA851" s="6">
        <v>13810.739680582699</v>
      </c>
      <c r="AB851" s="6">
        <v>44560.144867773997</v>
      </c>
      <c r="AC851" s="6">
        <v>79129.998234819199</v>
      </c>
      <c r="AD851" s="6">
        <v>2377.9230242844401</v>
      </c>
      <c r="AE851" s="6">
        <v>0</v>
      </c>
      <c r="AF851" s="6">
        <v>0</v>
      </c>
      <c r="AG851" s="6">
        <v>0</v>
      </c>
      <c r="AH851" s="6">
        <v>0</v>
      </c>
      <c r="AI851" s="6">
        <v>0</v>
      </c>
      <c r="AJ851" s="6">
        <v>921776.88257443497</v>
      </c>
      <c r="AK851" s="6">
        <v>5574.6459248044002</v>
      </c>
      <c r="AL851" s="6">
        <v>330.98244656580999</v>
      </c>
      <c r="AM851" s="6">
        <v>93035.839999999997</v>
      </c>
      <c r="AN851" s="6">
        <v>5574.6459248044002</v>
      </c>
      <c r="AO851" s="6">
        <v>16996.724734445201</v>
      </c>
      <c r="AP851" s="6">
        <v>330.98244656580999</v>
      </c>
      <c r="AQ851" s="6">
        <v>40734.411818744898</v>
      </c>
      <c r="AR851" s="6">
        <v>5574.6459248044002</v>
      </c>
      <c r="AS851" s="6">
        <v>16996.724734445201</v>
      </c>
      <c r="AT851" s="6">
        <v>0</v>
      </c>
      <c r="AU851" t="s">
        <v>2973</v>
      </c>
      <c r="AV851" t="s">
        <v>2976</v>
      </c>
    </row>
    <row r="852" spans="1:48" x14ac:dyDescent="0.45">
      <c r="A852" s="5" t="s">
        <v>1731</v>
      </c>
      <c r="B852">
        <v>1928</v>
      </c>
      <c r="C852" t="s">
        <v>1706</v>
      </c>
      <c r="D852">
        <v>139</v>
      </c>
      <c r="E852" t="s">
        <v>1732</v>
      </c>
      <c r="F852" t="s">
        <v>2739</v>
      </c>
      <c r="G852" t="s">
        <v>2740</v>
      </c>
      <c r="H852" t="s">
        <v>2741</v>
      </c>
      <c r="I852" t="s">
        <v>2742</v>
      </c>
      <c r="J852">
        <v>543.92171076359</v>
      </c>
      <c r="K852">
        <v>1</v>
      </c>
      <c r="L852">
        <v>1</v>
      </c>
      <c r="M852">
        <v>1</v>
      </c>
      <c r="N852" s="6">
        <v>3417961.68000363</v>
      </c>
      <c r="O852" s="6">
        <v>1096957.26596895</v>
      </c>
      <c r="P852" s="6">
        <v>1037767.50882957</v>
      </c>
      <c r="Q852" s="6">
        <v>188488.342250569</v>
      </c>
      <c r="R852" s="6">
        <v>319093.06168659899</v>
      </c>
      <c r="S852" s="6">
        <v>268119.05958156002</v>
      </c>
      <c r="T852" s="6">
        <v>3296215.97</v>
      </c>
      <c r="U852" s="6">
        <v>2764051.88873932</v>
      </c>
      <c r="V852" s="6">
        <v>5263548.5972459596</v>
      </c>
      <c r="W852" s="6">
        <v>603401.010081738</v>
      </c>
      <c r="X852" s="6">
        <v>0</v>
      </c>
      <c r="Y852" s="6">
        <v>0</v>
      </c>
      <c r="Z852" s="6">
        <v>0</v>
      </c>
      <c r="AA852" s="6">
        <v>46738.336819202603</v>
      </c>
      <c r="AB852" s="6">
        <v>146579.914592427</v>
      </c>
      <c r="AC852" s="6">
        <v>260296.918184999</v>
      </c>
      <c r="AD852" s="6">
        <v>7822.1413965612001</v>
      </c>
      <c r="AE852" s="6">
        <v>0</v>
      </c>
      <c r="AF852" s="6">
        <v>0</v>
      </c>
      <c r="AG852" s="6">
        <v>0</v>
      </c>
      <c r="AH852" s="6">
        <v>0</v>
      </c>
      <c r="AI852" s="6">
        <v>0</v>
      </c>
      <c r="AJ852" s="6">
        <v>6328386.9183208896</v>
      </c>
      <c r="AK852" s="6">
        <v>11634.738590295899</v>
      </c>
      <c r="AL852" s="6">
        <v>330.98244656580999</v>
      </c>
      <c r="AM852" s="6">
        <v>93035.839999999997</v>
      </c>
      <c r="AN852" s="6">
        <v>5574.6459248044002</v>
      </c>
      <c r="AO852" s="6">
        <v>16996.724734445201</v>
      </c>
      <c r="AP852" s="6">
        <v>330.98244656580999</v>
      </c>
      <c r="AQ852" s="6">
        <v>93035.839999999997</v>
      </c>
      <c r="AR852" s="6">
        <v>5574.6459248044002</v>
      </c>
      <c r="AS852" s="6">
        <v>13157.183401677299</v>
      </c>
      <c r="AT852" s="6">
        <v>0</v>
      </c>
      <c r="AU852" t="s">
        <v>2973</v>
      </c>
      <c r="AV852" t="s">
        <v>2973</v>
      </c>
    </row>
    <row r="853" spans="1:48" x14ac:dyDescent="0.45">
      <c r="A853" s="5" t="s">
        <v>1733</v>
      </c>
      <c r="B853">
        <v>1928</v>
      </c>
      <c r="C853" t="s">
        <v>1706</v>
      </c>
      <c r="D853">
        <v>4480</v>
      </c>
      <c r="E853" t="s">
        <v>1734</v>
      </c>
      <c r="F853" t="s">
        <v>3</v>
      </c>
      <c r="G853" t="s">
        <v>2740</v>
      </c>
      <c r="H853" t="s">
        <v>2741</v>
      </c>
      <c r="I853" t="s">
        <v>2742</v>
      </c>
      <c r="J853">
        <v>198.173378069432</v>
      </c>
      <c r="K853">
        <v>1</v>
      </c>
      <c r="L853">
        <v>1</v>
      </c>
      <c r="M853">
        <v>1</v>
      </c>
      <c r="N853" s="6">
        <v>315712.18102137902</v>
      </c>
      <c r="O853" s="6">
        <v>242596.30305991901</v>
      </c>
      <c r="P853" s="6">
        <v>264348.17223667202</v>
      </c>
      <c r="Q853" s="6">
        <v>68620.4796442347</v>
      </c>
      <c r="R853" s="6">
        <v>115782.315997684</v>
      </c>
      <c r="S853" s="6">
        <v>97686.962499592904</v>
      </c>
      <c r="T853" s="6">
        <v>0</v>
      </c>
      <c r="U853" s="6">
        <v>1007059.45195989</v>
      </c>
      <c r="V853" s="6">
        <v>754042.35033302696</v>
      </c>
      <c r="W853" s="6">
        <v>183059.79782301199</v>
      </c>
      <c r="X853" s="6">
        <v>0</v>
      </c>
      <c r="Y853" s="6">
        <v>0</v>
      </c>
      <c r="Z853" s="6">
        <v>0</v>
      </c>
      <c r="AA853" s="6">
        <v>16552.123872476201</v>
      </c>
      <c r="AB853" s="6">
        <v>53405.179931373597</v>
      </c>
      <c r="AC853" s="6">
        <v>94837.029956696002</v>
      </c>
      <c r="AD853" s="6">
        <v>2849.93254289684</v>
      </c>
      <c r="AE853" s="6">
        <v>0</v>
      </c>
      <c r="AF853" s="6">
        <v>0</v>
      </c>
      <c r="AG853" s="6">
        <v>0</v>
      </c>
      <c r="AH853" s="6">
        <v>0</v>
      </c>
      <c r="AI853" s="6">
        <v>0</v>
      </c>
      <c r="AJ853" s="6">
        <v>1104746.41445948</v>
      </c>
      <c r="AK853" s="6">
        <v>5574.6459248044002</v>
      </c>
      <c r="AL853" s="6">
        <v>330.98244656580999</v>
      </c>
      <c r="AM853" s="6">
        <v>93035.839999999997</v>
      </c>
      <c r="AN853" s="6">
        <v>5574.6459248044002</v>
      </c>
      <c r="AO853" s="6">
        <v>16996.724734445201</v>
      </c>
      <c r="AP853" s="6">
        <v>330.98244656580999</v>
      </c>
      <c r="AQ853" s="6">
        <v>93035.839999999997</v>
      </c>
      <c r="AR853" s="6">
        <v>5574.6459248044002</v>
      </c>
      <c r="AS853" s="6">
        <v>13157.183401677299</v>
      </c>
      <c r="AT853" s="6">
        <v>0</v>
      </c>
      <c r="AU853" t="s">
        <v>2973</v>
      </c>
      <c r="AV853" t="s">
        <v>2976</v>
      </c>
    </row>
    <row r="854" spans="1:48" x14ac:dyDescent="0.45">
      <c r="A854" s="5" t="s">
        <v>1735</v>
      </c>
      <c r="B854">
        <v>1926</v>
      </c>
      <c r="C854" t="s">
        <v>1736</v>
      </c>
      <c r="D854">
        <v>97</v>
      </c>
      <c r="E854" t="s">
        <v>1737</v>
      </c>
      <c r="F854" t="s">
        <v>2739</v>
      </c>
      <c r="G854" t="s">
        <v>2747</v>
      </c>
      <c r="H854" t="s">
        <v>2745</v>
      </c>
      <c r="I854" t="s">
        <v>2742</v>
      </c>
      <c r="J854">
        <v>448.20185447591001</v>
      </c>
      <c r="K854">
        <v>1</v>
      </c>
      <c r="L854">
        <v>1</v>
      </c>
      <c r="M854">
        <v>1</v>
      </c>
      <c r="N854" s="6">
        <v>1959678.9014928499</v>
      </c>
      <c r="O854" s="6">
        <v>932645.09725423204</v>
      </c>
      <c r="P854" s="6">
        <v>942454.63463892904</v>
      </c>
      <c r="Q854" s="6">
        <v>223249.36767066101</v>
      </c>
      <c r="R854" s="6">
        <v>259891.03927000301</v>
      </c>
      <c r="S854" s="6">
        <v>262790.77718044602</v>
      </c>
      <c r="T854" s="6">
        <v>2798804.57</v>
      </c>
      <c r="U854" s="6">
        <v>1519114.47032667</v>
      </c>
      <c r="V854" s="6">
        <v>3873727.5360834799</v>
      </c>
      <c r="W854" s="6">
        <v>304749.974755909</v>
      </c>
      <c r="X854" s="6">
        <v>0</v>
      </c>
      <c r="Y854" s="6">
        <v>0</v>
      </c>
      <c r="Z854" s="6">
        <v>0</v>
      </c>
      <c r="AA854" s="6">
        <v>93999.130578311102</v>
      </c>
      <c r="AB854" s="6">
        <v>45442.398908976902</v>
      </c>
      <c r="AC854" s="6">
        <v>199045.458793428</v>
      </c>
      <c r="AD854" s="6">
        <v>63745.318387018902</v>
      </c>
      <c r="AE854" s="6">
        <v>0</v>
      </c>
      <c r="AF854" s="6">
        <v>0</v>
      </c>
      <c r="AG854" s="6">
        <v>0</v>
      </c>
      <c r="AH854" s="6">
        <v>0</v>
      </c>
      <c r="AI854" s="6">
        <v>0</v>
      </c>
      <c r="AJ854" s="6">
        <v>4580709.8175071198</v>
      </c>
      <c r="AK854" s="6">
        <v>10220.1938072376</v>
      </c>
      <c r="AL854" s="6">
        <v>330.98244656580999</v>
      </c>
      <c r="AM854" s="6">
        <v>93035.839999999997</v>
      </c>
      <c r="AN854" s="6">
        <v>3975.6757579477799</v>
      </c>
      <c r="AO854" s="6">
        <v>13426.8971443141</v>
      </c>
      <c r="AP854" s="6">
        <v>3753.1860850462999</v>
      </c>
      <c r="AQ854" s="6">
        <v>20687.885194392002</v>
      </c>
      <c r="AR854" s="6">
        <v>10220.1938072376</v>
      </c>
      <c r="AS854" s="6">
        <v>13426.8971443141</v>
      </c>
      <c r="AT854" s="6">
        <v>0</v>
      </c>
      <c r="AU854" t="s">
        <v>2973</v>
      </c>
      <c r="AV854" t="s">
        <v>2973</v>
      </c>
    </row>
    <row r="855" spans="1:48" x14ac:dyDescent="0.45">
      <c r="A855" s="5" t="s">
        <v>1738</v>
      </c>
      <c r="B855">
        <v>1926</v>
      </c>
      <c r="C855" t="s">
        <v>1736</v>
      </c>
      <c r="D855">
        <v>102</v>
      </c>
      <c r="E855" t="s">
        <v>1739</v>
      </c>
      <c r="F855" t="s">
        <v>2739</v>
      </c>
      <c r="G855" t="s">
        <v>2747</v>
      </c>
      <c r="H855" t="s">
        <v>2745</v>
      </c>
      <c r="I855" t="s">
        <v>2742</v>
      </c>
      <c r="J855">
        <v>410.00758331509701</v>
      </c>
      <c r="K855">
        <v>1</v>
      </c>
      <c r="L855">
        <v>1</v>
      </c>
      <c r="M855">
        <v>1</v>
      </c>
      <c r="N855" s="6">
        <v>2605656.0262794299</v>
      </c>
      <c r="O855" s="6">
        <v>921283.835375036</v>
      </c>
      <c r="P855" s="6">
        <v>1220238.95774916</v>
      </c>
      <c r="Q855" s="6">
        <v>204224.799163991</v>
      </c>
      <c r="R855" s="6">
        <v>313329.40970893402</v>
      </c>
      <c r="S855" s="6">
        <v>240396.62128404199</v>
      </c>
      <c r="T855" s="6">
        <v>3875072.44</v>
      </c>
      <c r="U855" s="6">
        <v>1389660.5882765399</v>
      </c>
      <c r="V855" s="6">
        <v>4599025.2862323802</v>
      </c>
      <c r="W855" s="6">
        <v>551902.82724861905</v>
      </c>
      <c r="X855" s="6">
        <v>0</v>
      </c>
      <c r="Y855" s="6">
        <v>0</v>
      </c>
      <c r="Z855" s="6">
        <v>0</v>
      </c>
      <c r="AA855" s="6">
        <v>85988.837344725805</v>
      </c>
      <c r="AB855" s="6">
        <v>27816.0774508172</v>
      </c>
      <c r="AC855" s="6">
        <v>182083.46689052801</v>
      </c>
      <c r="AD855" s="6">
        <v>58313.154393513898</v>
      </c>
      <c r="AE855" s="6">
        <v>0</v>
      </c>
      <c r="AF855" s="6">
        <v>0</v>
      </c>
      <c r="AG855" s="6">
        <v>0</v>
      </c>
      <c r="AH855" s="6">
        <v>0</v>
      </c>
      <c r="AI855" s="6">
        <v>0</v>
      </c>
      <c r="AJ855" s="6">
        <v>5505129.64956058</v>
      </c>
      <c r="AK855" s="6">
        <v>13426.8971443141</v>
      </c>
      <c r="AL855" s="6">
        <v>330.98244656580999</v>
      </c>
      <c r="AM855" s="6">
        <v>93035.839999999997</v>
      </c>
      <c r="AN855" s="6">
        <v>3975.6757579477799</v>
      </c>
      <c r="AO855" s="6">
        <v>13426.8971443141</v>
      </c>
      <c r="AP855" s="6">
        <v>3753.1860850462999</v>
      </c>
      <c r="AQ855" s="6">
        <v>20687.885194392002</v>
      </c>
      <c r="AR855" s="6">
        <v>10220.1938072376</v>
      </c>
      <c r="AS855" s="6">
        <v>13426.8971443141</v>
      </c>
      <c r="AT855" s="6">
        <v>0</v>
      </c>
      <c r="AU855" t="s">
        <v>2973</v>
      </c>
      <c r="AV855" t="s">
        <v>2973</v>
      </c>
    </row>
    <row r="856" spans="1:48" x14ac:dyDescent="0.45">
      <c r="A856" s="5" t="s">
        <v>1740</v>
      </c>
      <c r="B856">
        <v>1926</v>
      </c>
      <c r="C856" t="s">
        <v>1736</v>
      </c>
      <c r="D856">
        <v>101</v>
      </c>
      <c r="E856" t="s">
        <v>1741</v>
      </c>
      <c r="F856" t="s">
        <v>2739</v>
      </c>
      <c r="G856" t="s">
        <v>2740</v>
      </c>
      <c r="H856" t="s">
        <v>2741</v>
      </c>
      <c r="I856" t="s">
        <v>2742</v>
      </c>
      <c r="J856">
        <v>426.952011636782</v>
      </c>
      <c r="K856">
        <v>1</v>
      </c>
      <c r="L856">
        <v>1</v>
      </c>
      <c r="M856">
        <v>1</v>
      </c>
      <c r="N856" s="6">
        <v>2527653.2866497301</v>
      </c>
      <c r="O856" s="6">
        <v>981881.49714958202</v>
      </c>
      <c r="P856" s="6">
        <v>1103162.2570817301</v>
      </c>
      <c r="Q856" s="6">
        <v>212664.81981669599</v>
      </c>
      <c r="R856" s="6">
        <v>229065.55298068401</v>
      </c>
      <c r="S856" s="6">
        <v>250331.51879298</v>
      </c>
      <c r="T856" s="6">
        <v>3607336.17</v>
      </c>
      <c r="U856" s="6">
        <v>1447091.2436784101</v>
      </c>
      <c r="V856" s="6">
        <v>4445019.0709965304</v>
      </c>
      <c r="W856" s="6">
        <v>495146.73165541497</v>
      </c>
      <c r="X856" s="6">
        <v>0</v>
      </c>
      <c r="Y856" s="6">
        <v>0</v>
      </c>
      <c r="Z856" s="6">
        <v>0</v>
      </c>
      <c r="AA856" s="6">
        <v>89542.507447781099</v>
      </c>
      <c r="AB856" s="6">
        <v>24719.103578694601</v>
      </c>
      <c r="AC856" s="6">
        <v>189608.45027826101</v>
      </c>
      <c r="AD856" s="6">
        <v>60723.068514719198</v>
      </c>
      <c r="AE856" s="6">
        <v>0</v>
      </c>
      <c r="AF856" s="6">
        <v>0</v>
      </c>
      <c r="AG856" s="6">
        <v>0</v>
      </c>
      <c r="AH856" s="6">
        <v>0</v>
      </c>
      <c r="AI856" s="6">
        <v>0</v>
      </c>
      <c r="AJ856" s="6">
        <v>5304758.9324714001</v>
      </c>
      <c r="AK856" s="6">
        <v>12424.719378027599</v>
      </c>
      <c r="AL856" s="6">
        <v>330.98244656580999</v>
      </c>
      <c r="AM856" s="6">
        <v>93035.839999999997</v>
      </c>
      <c r="AN856" s="6">
        <v>3975.6757579477799</v>
      </c>
      <c r="AO856" s="6">
        <v>13426.8971443141</v>
      </c>
      <c r="AP856" s="6">
        <v>330.98244656580999</v>
      </c>
      <c r="AQ856" s="6">
        <v>93035.839999999997</v>
      </c>
      <c r="AR856" s="6">
        <v>11753.357401941201</v>
      </c>
      <c r="AS856" s="6">
        <v>13329.129219803601</v>
      </c>
      <c r="AT856" s="6">
        <v>0</v>
      </c>
      <c r="AU856" t="s">
        <v>2973</v>
      </c>
      <c r="AV856" t="s">
        <v>2973</v>
      </c>
    </row>
    <row r="857" spans="1:48" x14ac:dyDescent="0.45">
      <c r="A857" s="5" t="s">
        <v>1742</v>
      </c>
      <c r="B857">
        <v>1926</v>
      </c>
      <c r="C857" t="s">
        <v>1736</v>
      </c>
      <c r="D857">
        <v>99</v>
      </c>
      <c r="E857" t="s">
        <v>1743</v>
      </c>
      <c r="F857" t="s">
        <v>2739</v>
      </c>
      <c r="G857" t="s">
        <v>2740</v>
      </c>
      <c r="H857" t="s">
        <v>2741</v>
      </c>
      <c r="I857" t="s">
        <v>2742</v>
      </c>
      <c r="J857">
        <v>350.73809523807802</v>
      </c>
      <c r="K857">
        <v>1</v>
      </c>
      <c r="L857">
        <v>1</v>
      </c>
      <c r="M857">
        <v>1</v>
      </c>
      <c r="N857" s="6">
        <v>2335012.76387627</v>
      </c>
      <c r="O857" s="6">
        <v>643931.00976351497</v>
      </c>
      <c r="P857" s="6">
        <v>853241.68415783998</v>
      </c>
      <c r="Q857" s="6">
        <v>174702.66398489801</v>
      </c>
      <c r="R857" s="6">
        <v>188223.36675771099</v>
      </c>
      <c r="S857" s="6">
        <v>205645.59408657701</v>
      </c>
      <c r="T857" s="6">
        <v>3006336.14</v>
      </c>
      <c r="U857" s="6">
        <v>1188775.34854023</v>
      </c>
      <c r="V857" s="6">
        <v>3755591.9768344099</v>
      </c>
      <c r="W857" s="6">
        <v>345654.396381456</v>
      </c>
      <c r="X857" s="6">
        <v>0</v>
      </c>
      <c r="Y857" s="6">
        <v>0</v>
      </c>
      <c r="Z857" s="6">
        <v>0</v>
      </c>
      <c r="AA857" s="6">
        <v>73558.544400989806</v>
      </c>
      <c r="AB857" s="6">
        <v>20306.570923384701</v>
      </c>
      <c r="AC857" s="6">
        <v>155762.01746114899</v>
      </c>
      <c r="AD857" s="6">
        <v>49883.576625427697</v>
      </c>
      <c r="AE857" s="6">
        <v>0</v>
      </c>
      <c r="AF857" s="6">
        <v>0</v>
      </c>
      <c r="AG857" s="6">
        <v>0</v>
      </c>
      <c r="AH857" s="6">
        <v>0</v>
      </c>
      <c r="AI857" s="6">
        <v>0</v>
      </c>
      <c r="AJ857" s="6">
        <v>4400757.0826268103</v>
      </c>
      <c r="AK857" s="6">
        <v>12547.131726993101</v>
      </c>
      <c r="AL857" s="6">
        <v>330.98244656580999</v>
      </c>
      <c r="AM857" s="6">
        <v>93035.839999999997</v>
      </c>
      <c r="AN857" s="6">
        <v>3975.6757579477799</v>
      </c>
      <c r="AO857" s="6">
        <v>13426.8971443141</v>
      </c>
      <c r="AP857" s="6">
        <v>330.98244656580999</v>
      </c>
      <c r="AQ857" s="6">
        <v>93035.839999999997</v>
      </c>
      <c r="AR857" s="6">
        <v>11753.357401941201</v>
      </c>
      <c r="AS857" s="6">
        <v>13329.129219803601</v>
      </c>
      <c r="AT857" s="6">
        <v>0</v>
      </c>
      <c r="AU857" t="s">
        <v>2973</v>
      </c>
      <c r="AV857" t="s">
        <v>2973</v>
      </c>
    </row>
    <row r="858" spans="1:48" x14ac:dyDescent="0.45">
      <c r="A858" s="5" t="s">
        <v>1744</v>
      </c>
      <c r="B858">
        <v>1926</v>
      </c>
      <c r="C858" t="s">
        <v>1736</v>
      </c>
      <c r="D858">
        <v>96</v>
      </c>
      <c r="E858" t="s">
        <v>1745</v>
      </c>
      <c r="F858" t="s">
        <v>2739</v>
      </c>
      <c r="G858" t="s">
        <v>2740</v>
      </c>
      <c r="H858" t="s">
        <v>2741</v>
      </c>
      <c r="I858" t="s">
        <v>2742</v>
      </c>
      <c r="J858">
        <v>392.44768095223799</v>
      </c>
      <c r="K858">
        <v>2</v>
      </c>
      <c r="L858">
        <v>1</v>
      </c>
      <c r="M858">
        <v>1</v>
      </c>
      <c r="N858" s="6">
        <v>2840307.5634945701</v>
      </c>
      <c r="O858" s="6">
        <v>715353.29214197397</v>
      </c>
      <c r="P858" s="6">
        <v>1037746.92651548</v>
      </c>
      <c r="Q858" s="6">
        <v>195478.21085848199</v>
      </c>
      <c r="R858" s="6">
        <v>211999.000842507</v>
      </c>
      <c r="S858" s="6">
        <v>230100.857571631</v>
      </c>
      <c r="T858" s="6">
        <v>3670741.12</v>
      </c>
      <c r="U858" s="6">
        <v>1330143.8738530099</v>
      </c>
      <c r="V858" s="6">
        <v>4412236.5146423196</v>
      </c>
      <c r="W858" s="6">
        <v>483620.97483777202</v>
      </c>
      <c r="X858" s="6">
        <v>0</v>
      </c>
      <c r="Y858" s="6">
        <v>0</v>
      </c>
      <c r="Z858" s="6">
        <v>0</v>
      </c>
      <c r="AA858" s="6">
        <v>82306.086952988102</v>
      </c>
      <c r="AB858" s="6">
        <v>22721.417419926998</v>
      </c>
      <c r="AC858" s="6">
        <v>174285.152833417</v>
      </c>
      <c r="AD858" s="6">
        <v>55815.704738214597</v>
      </c>
      <c r="AE858" s="6">
        <v>0</v>
      </c>
      <c r="AF858" s="6">
        <v>0</v>
      </c>
      <c r="AG858" s="6">
        <v>0</v>
      </c>
      <c r="AH858" s="6">
        <v>0</v>
      </c>
      <c r="AI858" s="6">
        <v>0</v>
      </c>
      <c r="AJ858" s="6">
        <v>5230985.85142464</v>
      </c>
      <c r="AK858" s="6">
        <v>13329.129219803601</v>
      </c>
      <c r="AL858" s="6">
        <v>330.98244656580999</v>
      </c>
      <c r="AM858" s="6">
        <v>93035.839999999997</v>
      </c>
      <c r="AN858" s="6">
        <v>3975.6757579477799</v>
      </c>
      <c r="AO858" s="6">
        <v>13426.8971443141</v>
      </c>
      <c r="AP858" s="6">
        <v>330.98244656580999</v>
      </c>
      <c r="AQ858" s="6">
        <v>93035.839999999997</v>
      </c>
      <c r="AR858" s="6">
        <v>11753.357401941201</v>
      </c>
      <c r="AS858" s="6">
        <v>13329.129219803601</v>
      </c>
      <c r="AT858" s="6">
        <v>0</v>
      </c>
      <c r="AU858" t="s">
        <v>2973</v>
      </c>
      <c r="AV858" t="s">
        <v>2973</v>
      </c>
    </row>
    <row r="859" spans="1:48" x14ac:dyDescent="0.45">
      <c r="A859" s="5" t="s">
        <v>1746</v>
      </c>
      <c r="B859">
        <v>1926</v>
      </c>
      <c r="C859" t="s">
        <v>1736</v>
      </c>
      <c r="D859">
        <v>4820</v>
      </c>
      <c r="E859" t="s">
        <v>1747</v>
      </c>
      <c r="F859" t="s">
        <v>3</v>
      </c>
      <c r="G859" t="s">
        <v>2748</v>
      </c>
      <c r="H859" t="s">
        <v>2741</v>
      </c>
      <c r="I859" t="s">
        <v>2742</v>
      </c>
      <c r="J859">
        <v>270.42857142855598</v>
      </c>
      <c r="K859">
        <v>1</v>
      </c>
      <c r="L859">
        <v>1</v>
      </c>
      <c r="M859">
        <v>1</v>
      </c>
      <c r="N859" s="6">
        <v>48653.893871878303</v>
      </c>
      <c r="O859" s="6">
        <v>144526.752509265</v>
      </c>
      <c r="P859" s="6">
        <v>443772.84613024897</v>
      </c>
      <c r="Q859" s="6">
        <v>134700.48588286299</v>
      </c>
      <c r="R859" s="6">
        <v>144924.014187364</v>
      </c>
      <c r="S859" s="6">
        <v>158558.32310334101</v>
      </c>
      <c r="T859" s="6">
        <v>0</v>
      </c>
      <c r="U859" s="6">
        <v>916577.99258161895</v>
      </c>
      <c r="V859" s="6">
        <v>742941.82029767404</v>
      </c>
      <c r="W859" s="6">
        <v>101263.625962973</v>
      </c>
      <c r="X859" s="6">
        <v>0</v>
      </c>
      <c r="Y859" s="6">
        <v>0</v>
      </c>
      <c r="Z859" s="6">
        <v>0</v>
      </c>
      <c r="AA859" s="6">
        <v>56715.630120591602</v>
      </c>
      <c r="AB859" s="6">
        <v>15656.916200380299</v>
      </c>
      <c r="AC859" s="6">
        <v>120096.734391672</v>
      </c>
      <c r="AD859" s="6">
        <v>38461.588711669399</v>
      </c>
      <c r="AE859" s="6">
        <v>0</v>
      </c>
      <c r="AF859" s="6">
        <v>0</v>
      </c>
      <c r="AG859" s="6">
        <v>0</v>
      </c>
      <c r="AH859" s="6">
        <v>0</v>
      </c>
      <c r="AI859" s="6">
        <v>0</v>
      </c>
      <c r="AJ859" s="6">
        <v>1075136.31568496</v>
      </c>
      <c r="AK859" s="6">
        <v>3975.6757579477799</v>
      </c>
      <c r="AL859" s="6">
        <v>330.98244656580999</v>
      </c>
      <c r="AM859" s="6">
        <v>93035.839999999997</v>
      </c>
      <c r="AN859" s="6">
        <v>3975.6757579477799</v>
      </c>
      <c r="AO859" s="6">
        <v>13426.8971443141</v>
      </c>
      <c r="AP859" s="6">
        <v>330.98244656580999</v>
      </c>
      <c r="AQ859" s="6">
        <v>56162.493707719797</v>
      </c>
      <c r="AR859" s="6">
        <v>3975.6757579477799</v>
      </c>
      <c r="AS859" s="6">
        <v>3975.6757579477799</v>
      </c>
      <c r="AT859" s="6">
        <v>0</v>
      </c>
      <c r="AU859" t="s">
        <v>2973</v>
      </c>
      <c r="AV859" t="s">
        <v>2976</v>
      </c>
    </row>
    <row r="860" spans="1:48" x14ac:dyDescent="0.45">
      <c r="A860" s="5" t="s">
        <v>1748</v>
      </c>
      <c r="B860">
        <v>1926</v>
      </c>
      <c r="C860" t="s">
        <v>1736</v>
      </c>
      <c r="D860">
        <v>1926</v>
      </c>
      <c r="E860" t="s">
        <v>1736</v>
      </c>
      <c r="F860" t="s">
        <v>1</v>
      </c>
      <c r="G860" t="s">
        <v>1</v>
      </c>
      <c r="H860" t="s">
        <v>2743</v>
      </c>
      <c r="I860" t="s">
        <v>2742</v>
      </c>
      <c r="J860">
        <v>105.123232657645</v>
      </c>
      <c r="K860">
        <v>2</v>
      </c>
      <c r="L860">
        <v>5</v>
      </c>
      <c r="M860">
        <v>1</v>
      </c>
      <c r="N860" s="6">
        <v>18913.144340390401</v>
      </c>
      <c r="O860" s="6">
        <v>56181.635501851</v>
      </c>
      <c r="P860" s="6">
        <v>172507.05391246101</v>
      </c>
      <c r="Q860" s="6">
        <v>52361.887805567902</v>
      </c>
      <c r="R860" s="6">
        <v>56336.062349547501</v>
      </c>
      <c r="S860" s="6">
        <v>61636.103764287996</v>
      </c>
      <c r="T860" s="6">
        <v>0</v>
      </c>
      <c r="U860" s="6">
        <v>356299.78390981798</v>
      </c>
      <c r="V860" s="6">
        <v>288802.49381075503</v>
      </c>
      <c r="W860" s="6">
        <v>39364.034856334503</v>
      </c>
      <c r="X860" s="6">
        <v>0</v>
      </c>
      <c r="Y860" s="6">
        <v>0</v>
      </c>
      <c r="Z860" s="6">
        <v>0</v>
      </c>
      <c r="AA860" s="6">
        <v>22046.969183014098</v>
      </c>
      <c r="AB860" s="6">
        <v>6086.2860597134104</v>
      </c>
      <c r="AC860" s="6">
        <v>46684.996648789798</v>
      </c>
      <c r="AD860" s="6">
        <v>14951.1071154982</v>
      </c>
      <c r="AE860" s="6">
        <v>0</v>
      </c>
      <c r="AF860" s="6">
        <v>0</v>
      </c>
      <c r="AG860" s="6">
        <v>0</v>
      </c>
      <c r="AH860" s="6">
        <v>0</v>
      </c>
      <c r="AI860" s="6">
        <v>0</v>
      </c>
      <c r="AJ860" s="6">
        <v>417935.88767410599</v>
      </c>
      <c r="AK860" s="6">
        <v>3975.6757579477899</v>
      </c>
      <c r="AL860" s="6">
        <v>330.98244656580999</v>
      </c>
      <c r="AM860" s="6">
        <v>93035.839999999997</v>
      </c>
      <c r="AN860" s="6">
        <v>3975.6757579477799</v>
      </c>
      <c r="AO860" s="6">
        <v>13426.8971443141</v>
      </c>
      <c r="AP860" s="6">
        <v>634.54287297753501</v>
      </c>
      <c r="AQ860" s="6">
        <v>40331.279999999999</v>
      </c>
      <c r="AR860" s="6">
        <v>3975.6757579477899</v>
      </c>
      <c r="AS860" s="6">
        <v>3975.6757579477899</v>
      </c>
      <c r="AT860" s="6">
        <v>0</v>
      </c>
      <c r="AU860" t="s">
        <v>2973</v>
      </c>
      <c r="AV860" t="s">
        <v>2977</v>
      </c>
    </row>
    <row r="861" spans="1:48" x14ac:dyDescent="0.45">
      <c r="A861" s="5" t="s">
        <v>1749</v>
      </c>
      <c r="B861">
        <v>1926</v>
      </c>
      <c r="C861" t="s">
        <v>1736</v>
      </c>
      <c r="D861">
        <v>100</v>
      </c>
      <c r="E861" t="s">
        <v>1750</v>
      </c>
      <c r="F861" t="s">
        <v>2739</v>
      </c>
      <c r="G861" t="s">
        <v>2740</v>
      </c>
      <c r="H861" t="s">
        <v>2741</v>
      </c>
      <c r="I861" t="s">
        <v>2742</v>
      </c>
      <c r="J861">
        <v>361.05489542847999</v>
      </c>
      <c r="K861">
        <v>1</v>
      </c>
      <c r="L861">
        <v>1</v>
      </c>
      <c r="M861">
        <v>1</v>
      </c>
      <c r="N861" s="6">
        <v>2064917.1909660299</v>
      </c>
      <c r="O861" s="6">
        <v>662521.50875170296</v>
      </c>
      <c r="P861" s="6">
        <v>955116.68650024198</v>
      </c>
      <c r="Q861" s="6">
        <v>179841.46271116601</v>
      </c>
      <c r="R861" s="6">
        <v>193544.98120574799</v>
      </c>
      <c r="S861" s="6">
        <v>211694.56490848801</v>
      </c>
      <c r="T861" s="6">
        <v>2832199.2</v>
      </c>
      <c r="U861" s="6">
        <v>1223742.6301348901</v>
      </c>
      <c r="V861" s="6">
        <v>3312161.05043806</v>
      </c>
      <c r="W861" s="6">
        <v>647154.665060436</v>
      </c>
      <c r="X861" s="6">
        <v>0</v>
      </c>
      <c r="Y861" s="6">
        <v>0</v>
      </c>
      <c r="Z861" s="6">
        <v>0</v>
      </c>
      <c r="AA861" s="6">
        <v>75722.235243772899</v>
      </c>
      <c r="AB861" s="6">
        <v>20903.879392619001</v>
      </c>
      <c r="AC861" s="6">
        <v>160343.685757859</v>
      </c>
      <c r="AD861" s="6">
        <v>51350.879150629</v>
      </c>
      <c r="AE861" s="6">
        <v>0</v>
      </c>
      <c r="AF861" s="6">
        <v>0</v>
      </c>
      <c r="AG861" s="6">
        <v>0</v>
      </c>
      <c r="AH861" s="6">
        <v>0</v>
      </c>
      <c r="AI861" s="6">
        <v>0</v>
      </c>
      <c r="AJ861" s="6">
        <v>4267636.3950433796</v>
      </c>
      <c r="AK861" s="6">
        <v>11819.9100720648</v>
      </c>
      <c r="AL861" s="6">
        <v>330.98244656580999</v>
      </c>
      <c r="AM861" s="6">
        <v>93035.839999999997</v>
      </c>
      <c r="AN861" s="6">
        <v>3975.6757579477799</v>
      </c>
      <c r="AO861" s="6">
        <v>13426.8971443141</v>
      </c>
      <c r="AP861" s="6">
        <v>330.98244656580999</v>
      </c>
      <c r="AQ861" s="6">
        <v>93035.839999999997</v>
      </c>
      <c r="AR861" s="6">
        <v>11753.357401941201</v>
      </c>
      <c r="AS861" s="6">
        <v>13329.129219803601</v>
      </c>
      <c r="AT861" s="6">
        <v>0</v>
      </c>
      <c r="AU861" t="s">
        <v>2973</v>
      </c>
      <c r="AV861" t="s">
        <v>2973</v>
      </c>
    </row>
    <row r="862" spans="1:48" x14ac:dyDescent="0.45">
      <c r="A862" s="5" t="s">
        <v>1751</v>
      </c>
      <c r="B862">
        <v>1926</v>
      </c>
      <c r="C862" t="s">
        <v>1736</v>
      </c>
      <c r="D862">
        <v>141</v>
      </c>
      <c r="E862" t="s">
        <v>1752</v>
      </c>
      <c r="F862" t="s">
        <v>2739</v>
      </c>
      <c r="G862" t="s">
        <v>2744</v>
      </c>
      <c r="H862" t="s">
        <v>2745</v>
      </c>
      <c r="I862" t="s">
        <v>2742</v>
      </c>
      <c r="J862">
        <v>1355.91191194569</v>
      </c>
      <c r="K862">
        <v>1</v>
      </c>
      <c r="L862">
        <v>1</v>
      </c>
      <c r="M862">
        <v>1</v>
      </c>
      <c r="N862" s="6">
        <v>7343982.7051949203</v>
      </c>
      <c r="O862" s="6">
        <v>3601556.2209588299</v>
      </c>
      <c r="P862" s="6">
        <v>3547923.7534561902</v>
      </c>
      <c r="Q862" s="6">
        <v>676917.87581310095</v>
      </c>
      <c r="R862" s="6">
        <v>1409915.5461201901</v>
      </c>
      <c r="S862" s="6">
        <v>795001.496691901</v>
      </c>
      <c r="T862" s="6">
        <v>11984631.48</v>
      </c>
      <c r="U862" s="6">
        <v>4595664.6215432296</v>
      </c>
      <c r="V862" s="6">
        <v>13377234.8038458</v>
      </c>
      <c r="W862" s="6">
        <v>2192963.8853460699</v>
      </c>
      <c r="X862" s="6">
        <v>0</v>
      </c>
      <c r="Y862" s="6">
        <v>0</v>
      </c>
      <c r="Z862" s="6">
        <v>0</v>
      </c>
      <c r="AA862" s="6">
        <v>284368.615593314</v>
      </c>
      <c r="AB862" s="6">
        <v>725728.79675807001</v>
      </c>
      <c r="AC862" s="6">
        <v>602157.50091504795</v>
      </c>
      <c r="AD862" s="6">
        <v>192843.99577685201</v>
      </c>
      <c r="AE862" s="6">
        <v>0</v>
      </c>
      <c r="AF862" s="6">
        <v>0</v>
      </c>
      <c r="AG862" s="6">
        <v>0</v>
      </c>
      <c r="AH862" s="6">
        <v>0</v>
      </c>
      <c r="AI862" s="6">
        <v>0</v>
      </c>
      <c r="AJ862" s="6">
        <v>17375297.598235101</v>
      </c>
      <c r="AK862" s="6">
        <v>12814.4737465298</v>
      </c>
      <c r="AL862" s="6">
        <v>330.98244656580999</v>
      </c>
      <c r="AM862" s="6">
        <v>93035.839999999997</v>
      </c>
      <c r="AN862" s="6">
        <v>3975.6757579477799</v>
      </c>
      <c r="AO862" s="6">
        <v>13426.8971443141</v>
      </c>
      <c r="AP862" s="6">
        <v>330.98244656580999</v>
      </c>
      <c r="AQ862" s="6">
        <v>40734.411818744898</v>
      </c>
      <c r="AR862" s="6">
        <v>12814.4737465298</v>
      </c>
      <c r="AS862" s="6">
        <v>12814.4737465298</v>
      </c>
      <c r="AT862" s="6">
        <v>0</v>
      </c>
      <c r="AU862" t="s">
        <v>2973</v>
      </c>
      <c r="AV862" t="s">
        <v>2973</v>
      </c>
    </row>
    <row r="863" spans="1:48" x14ac:dyDescent="0.45">
      <c r="A863" s="5" t="s">
        <v>1753</v>
      </c>
      <c r="B863">
        <v>1926</v>
      </c>
      <c r="C863" t="s">
        <v>1736</v>
      </c>
      <c r="D863">
        <v>88</v>
      </c>
      <c r="E863" t="s">
        <v>1754</v>
      </c>
      <c r="F863" t="s">
        <v>2739</v>
      </c>
      <c r="G863" t="s">
        <v>2740</v>
      </c>
      <c r="H863" t="s">
        <v>2741</v>
      </c>
      <c r="I863" t="s">
        <v>2742</v>
      </c>
      <c r="J863">
        <v>214.33566662984001</v>
      </c>
      <c r="K863">
        <v>1</v>
      </c>
      <c r="L863">
        <v>1</v>
      </c>
      <c r="M863">
        <v>1</v>
      </c>
      <c r="N863" s="6">
        <v>1251157.09336512</v>
      </c>
      <c r="O863" s="6">
        <v>388823.08722369099</v>
      </c>
      <c r="P863" s="6">
        <v>498029.56053506403</v>
      </c>
      <c r="Q863" s="6">
        <v>106760.607004479</v>
      </c>
      <c r="R863" s="6">
        <v>148723.54798767099</v>
      </c>
      <c r="S863" s="6">
        <v>125669.797767809</v>
      </c>
      <c r="T863" s="6">
        <v>1667034.58</v>
      </c>
      <c r="U863" s="6">
        <v>726459.31611602404</v>
      </c>
      <c r="V863" s="6">
        <v>2098675.59068404</v>
      </c>
      <c r="W863" s="6">
        <v>237457.43605542</v>
      </c>
      <c r="X863" s="6">
        <v>0</v>
      </c>
      <c r="Y863" s="6">
        <v>0</v>
      </c>
      <c r="Z863" s="6">
        <v>0</v>
      </c>
      <c r="AA863" s="6">
        <v>44951.546081143097</v>
      </c>
      <c r="AB863" s="6">
        <v>12409.3232954219</v>
      </c>
      <c r="AC863" s="6">
        <v>95185.998616667101</v>
      </c>
      <c r="AD863" s="6">
        <v>30483.799151142201</v>
      </c>
      <c r="AE863" s="6">
        <v>0</v>
      </c>
      <c r="AF863" s="6">
        <v>0</v>
      </c>
      <c r="AG863" s="6">
        <v>0</v>
      </c>
      <c r="AH863" s="6">
        <v>0</v>
      </c>
      <c r="AI863" s="6">
        <v>0</v>
      </c>
      <c r="AJ863" s="6">
        <v>2519163.6938838302</v>
      </c>
      <c r="AK863" s="6">
        <v>11753.357401941201</v>
      </c>
      <c r="AL863" s="6">
        <v>330.98244656580999</v>
      </c>
      <c r="AM863" s="6">
        <v>93035.839999999997</v>
      </c>
      <c r="AN863" s="6">
        <v>3975.6757579477799</v>
      </c>
      <c r="AO863" s="6">
        <v>13426.8971443141</v>
      </c>
      <c r="AP863" s="6">
        <v>330.98244656580999</v>
      </c>
      <c r="AQ863" s="6">
        <v>93035.839999999997</v>
      </c>
      <c r="AR863" s="6">
        <v>11753.357401941201</v>
      </c>
      <c r="AS863" s="6">
        <v>13329.129219803601</v>
      </c>
      <c r="AT863" s="6">
        <v>0</v>
      </c>
      <c r="AU863" t="s">
        <v>2973</v>
      </c>
      <c r="AV863" t="s">
        <v>2973</v>
      </c>
    </row>
    <row r="864" spans="1:48" x14ac:dyDescent="0.45">
      <c r="A864" s="5" t="s">
        <v>1755</v>
      </c>
      <c r="B864">
        <v>1926</v>
      </c>
      <c r="C864" t="s">
        <v>1736</v>
      </c>
      <c r="D864">
        <v>2392</v>
      </c>
      <c r="E864" t="s">
        <v>1756</v>
      </c>
      <c r="F864" t="s">
        <v>2739</v>
      </c>
      <c r="G864" t="s">
        <v>2747</v>
      </c>
      <c r="H864" t="s">
        <v>2745</v>
      </c>
      <c r="I864" t="s">
        <v>2742</v>
      </c>
      <c r="J864">
        <v>101.30321998285299</v>
      </c>
      <c r="K864">
        <v>1</v>
      </c>
      <c r="L864">
        <v>1</v>
      </c>
      <c r="M864">
        <v>1</v>
      </c>
      <c r="N864" s="6">
        <v>497563.13046882203</v>
      </c>
      <c r="O864" s="6">
        <v>314493.78337030101</v>
      </c>
      <c r="P864" s="6">
        <v>361188.35932259099</v>
      </c>
      <c r="Q864" s="6">
        <v>50459.139288076003</v>
      </c>
      <c r="R864" s="6">
        <v>55829.818589620198</v>
      </c>
      <c r="S864" s="6">
        <v>59396.344848471897</v>
      </c>
      <c r="T864" s="6">
        <v>936181.82</v>
      </c>
      <c r="U864" s="6">
        <v>343352.41103940998</v>
      </c>
      <c r="V864" s="6">
        <v>997733.37613447895</v>
      </c>
      <c r="W864" s="6">
        <v>253213.91783957899</v>
      </c>
      <c r="X864" s="6">
        <v>0</v>
      </c>
      <c r="Y864" s="6">
        <v>0</v>
      </c>
      <c r="Z864" s="6">
        <v>0</v>
      </c>
      <c r="AA864" s="6">
        <v>21245.817053359398</v>
      </c>
      <c r="AB864" s="6">
        <v>7341.1200119927198</v>
      </c>
      <c r="AC864" s="6">
        <v>44988.537413163103</v>
      </c>
      <c r="AD864" s="6">
        <v>14407.8074353088</v>
      </c>
      <c r="AE864" s="6">
        <v>0</v>
      </c>
      <c r="AF864" s="6">
        <v>0</v>
      </c>
      <c r="AG864" s="6">
        <v>0</v>
      </c>
      <c r="AH864" s="6">
        <v>0</v>
      </c>
      <c r="AI864" s="6">
        <v>0</v>
      </c>
      <c r="AJ864" s="6">
        <v>1338930.5758878801</v>
      </c>
      <c r="AK864" s="6">
        <v>13217.058412501699</v>
      </c>
      <c r="AL864" s="6">
        <v>330.98244656580999</v>
      </c>
      <c r="AM864" s="6">
        <v>93035.839999999997</v>
      </c>
      <c r="AN864" s="6">
        <v>3975.6757579477799</v>
      </c>
      <c r="AO864" s="6">
        <v>13426.8971443141</v>
      </c>
      <c r="AP864" s="6">
        <v>3753.1860850462999</v>
      </c>
      <c r="AQ864" s="6">
        <v>20687.885194392002</v>
      </c>
      <c r="AR864" s="6">
        <v>10220.1938072376</v>
      </c>
      <c r="AS864" s="6">
        <v>13426.8971443141</v>
      </c>
      <c r="AT864" s="6">
        <v>0</v>
      </c>
      <c r="AU864" t="s">
        <v>2973</v>
      </c>
      <c r="AV864" t="s">
        <v>2973</v>
      </c>
    </row>
    <row r="865" spans="1:48" x14ac:dyDescent="0.45">
      <c r="A865" s="5" t="s">
        <v>1757</v>
      </c>
      <c r="B865">
        <v>2060</v>
      </c>
      <c r="C865" t="s">
        <v>1758</v>
      </c>
      <c r="D865">
        <v>3360</v>
      </c>
      <c r="E865" t="s">
        <v>1759</v>
      </c>
      <c r="F865" t="s">
        <v>3</v>
      </c>
      <c r="G865" t="s">
        <v>2748</v>
      </c>
      <c r="H865" t="s">
        <v>2749</v>
      </c>
      <c r="I865" t="s">
        <v>2742</v>
      </c>
      <c r="J865">
        <v>211.366332738452</v>
      </c>
      <c r="K865">
        <v>1</v>
      </c>
      <c r="L865">
        <v>1</v>
      </c>
      <c r="M865">
        <v>1</v>
      </c>
      <c r="N865" s="6">
        <v>1878812.63</v>
      </c>
      <c r="O865" s="6">
        <v>131992.17000000001</v>
      </c>
      <c r="P865" s="6">
        <v>552122.96</v>
      </c>
      <c r="Q865" s="6">
        <v>349253.73</v>
      </c>
      <c r="R865" s="6">
        <v>485534.48</v>
      </c>
      <c r="S865" s="6">
        <v>178286.3</v>
      </c>
      <c r="T865" s="6">
        <v>2555424.0699999998</v>
      </c>
      <c r="U865" s="6">
        <v>842291.9</v>
      </c>
      <c r="V865" s="6">
        <v>3112448.17</v>
      </c>
      <c r="W865" s="6">
        <v>285267.8</v>
      </c>
      <c r="X865" s="6">
        <v>0</v>
      </c>
      <c r="Y865" s="6">
        <v>0</v>
      </c>
      <c r="Z865" s="6">
        <v>0</v>
      </c>
      <c r="AA865" s="6">
        <v>0</v>
      </c>
      <c r="AB865" s="6">
        <v>0</v>
      </c>
      <c r="AC865" s="6">
        <v>169533.71</v>
      </c>
      <c r="AD865" s="6">
        <v>8752.59</v>
      </c>
      <c r="AE865" s="6">
        <v>0</v>
      </c>
      <c r="AF865" s="6">
        <v>0</v>
      </c>
      <c r="AG865" s="6">
        <v>0</v>
      </c>
      <c r="AH865" s="6">
        <v>0</v>
      </c>
      <c r="AI865" s="6">
        <v>0</v>
      </c>
      <c r="AJ865" s="6">
        <v>3576002.27</v>
      </c>
      <c r="AK865" s="6">
        <v>16918.5045871283</v>
      </c>
      <c r="AL865" s="6">
        <v>330.98244656580999</v>
      </c>
      <c r="AM865" s="6">
        <v>93035.839999999997</v>
      </c>
      <c r="AN865" s="6">
        <v>16918.5045871283</v>
      </c>
      <c r="AO865" s="6">
        <v>16918.5045871283</v>
      </c>
      <c r="AP865" s="6">
        <v>330.98244656580999</v>
      </c>
      <c r="AQ865" s="6">
        <v>56162.493707719797</v>
      </c>
      <c r="AR865" s="6">
        <v>16918.5045871283</v>
      </c>
      <c r="AS865" s="6">
        <v>16918.5045871283</v>
      </c>
      <c r="AT865" s="6">
        <v>0</v>
      </c>
      <c r="AU865" t="s">
        <v>2973</v>
      </c>
      <c r="AV865" t="s">
        <v>2973</v>
      </c>
    </row>
    <row r="866" spans="1:48" x14ac:dyDescent="0.45">
      <c r="A866" s="5" t="s">
        <v>1760</v>
      </c>
      <c r="B866">
        <v>2181</v>
      </c>
      <c r="C866" t="s">
        <v>1761</v>
      </c>
      <c r="D866">
        <v>931</v>
      </c>
      <c r="E866" t="s">
        <v>1762</v>
      </c>
      <c r="F866" t="s">
        <v>2739</v>
      </c>
      <c r="G866" t="s">
        <v>2744</v>
      </c>
      <c r="H866" t="s">
        <v>2745</v>
      </c>
      <c r="I866" t="s">
        <v>2742</v>
      </c>
      <c r="J866">
        <v>932.20130496676302</v>
      </c>
      <c r="K866">
        <v>1</v>
      </c>
      <c r="L866">
        <v>1</v>
      </c>
      <c r="M866">
        <v>2</v>
      </c>
      <c r="N866" s="6">
        <v>5781375.7496719901</v>
      </c>
      <c r="O866" s="6">
        <v>3406672.3885561498</v>
      </c>
      <c r="P866" s="6">
        <v>2415867.4972649799</v>
      </c>
      <c r="Q866" s="6">
        <v>655405.16704407404</v>
      </c>
      <c r="R866" s="6">
        <v>693297.87611155899</v>
      </c>
      <c r="S866" s="6">
        <v>410003.53822891897</v>
      </c>
      <c r="T866" s="6">
        <v>8029302.9699999997</v>
      </c>
      <c r="U866" s="6">
        <v>4923315.7086487599</v>
      </c>
      <c r="V866" s="6">
        <v>10809567.184517199</v>
      </c>
      <c r="W866" s="6">
        <v>2143051.49413158</v>
      </c>
      <c r="X866" s="6">
        <v>0</v>
      </c>
      <c r="Y866" s="6">
        <v>0</v>
      </c>
      <c r="Z866" s="6">
        <v>0</v>
      </c>
      <c r="AA866" s="6">
        <v>0</v>
      </c>
      <c r="AB866" s="6">
        <v>0</v>
      </c>
      <c r="AC866" s="6">
        <v>410003.53822891897</v>
      </c>
      <c r="AD866" s="6">
        <v>0</v>
      </c>
      <c r="AE866" s="6">
        <v>0</v>
      </c>
      <c r="AF866" s="6">
        <v>0</v>
      </c>
      <c r="AG866" s="6">
        <v>0</v>
      </c>
      <c r="AH866" s="6">
        <v>0</v>
      </c>
      <c r="AI866" s="6">
        <v>0</v>
      </c>
      <c r="AJ866" s="6">
        <v>13362622.216877701</v>
      </c>
      <c r="AK866" s="6">
        <v>14334.481346123101</v>
      </c>
      <c r="AL866" s="6">
        <v>330.98244656580999</v>
      </c>
      <c r="AM866" s="6">
        <v>93035.839999999997</v>
      </c>
      <c r="AN866" s="6">
        <v>5721.2098057166204</v>
      </c>
      <c r="AO866" s="6">
        <v>14835.0283881875</v>
      </c>
      <c r="AP866" s="6">
        <v>330.98244656580999</v>
      </c>
      <c r="AQ866" s="6">
        <v>40734.411818744898</v>
      </c>
      <c r="AR866" s="6">
        <v>14334.481346123101</v>
      </c>
      <c r="AS866" s="6">
        <v>14334.481346123101</v>
      </c>
      <c r="AT866" s="6">
        <v>0</v>
      </c>
      <c r="AU866" t="s">
        <v>2973</v>
      </c>
      <c r="AV866" t="s">
        <v>2973</v>
      </c>
    </row>
    <row r="867" spans="1:48" x14ac:dyDescent="0.45">
      <c r="A867" s="5" t="s">
        <v>1763</v>
      </c>
      <c r="B867">
        <v>2181</v>
      </c>
      <c r="C867" t="s">
        <v>1761</v>
      </c>
      <c r="D867">
        <v>930</v>
      </c>
      <c r="E867" t="s">
        <v>1764</v>
      </c>
      <c r="F867" t="s">
        <v>2739</v>
      </c>
      <c r="G867" t="s">
        <v>2747</v>
      </c>
      <c r="H867" t="s">
        <v>2741</v>
      </c>
      <c r="I867" t="s">
        <v>2742</v>
      </c>
      <c r="J867">
        <v>753.66615553111501</v>
      </c>
      <c r="K867">
        <v>2</v>
      </c>
      <c r="L867">
        <v>1</v>
      </c>
      <c r="M867">
        <v>2</v>
      </c>
      <c r="N867" s="6">
        <v>4583823.4221530696</v>
      </c>
      <c r="O867" s="6">
        <v>1435953.9244985201</v>
      </c>
      <c r="P867" s="6">
        <v>1708230.5308682099</v>
      </c>
      <c r="Q867" s="6">
        <v>523248.43811060401</v>
      </c>
      <c r="R867" s="6">
        <v>554451.04347522301</v>
      </c>
      <c r="S867" s="6">
        <v>331479.68015573802</v>
      </c>
      <c r="T867" s="6">
        <v>4825304.84</v>
      </c>
      <c r="U867" s="6">
        <v>3980402.5191056202</v>
      </c>
      <c r="V867" s="6">
        <v>7600928.1330099702</v>
      </c>
      <c r="W867" s="6">
        <v>1204779.2260956599</v>
      </c>
      <c r="X867" s="6">
        <v>0</v>
      </c>
      <c r="Y867" s="6">
        <v>0</v>
      </c>
      <c r="Z867" s="6">
        <v>0</v>
      </c>
      <c r="AA867" s="6">
        <v>0</v>
      </c>
      <c r="AB867" s="6">
        <v>0</v>
      </c>
      <c r="AC867" s="6">
        <v>331479.68015573802</v>
      </c>
      <c r="AD867" s="6">
        <v>0</v>
      </c>
      <c r="AE867" s="6">
        <v>0</v>
      </c>
      <c r="AF867" s="6">
        <v>0</v>
      </c>
      <c r="AG867" s="6">
        <v>0</v>
      </c>
      <c r="AH867" s="6">
        <v>0</v>
      </c>
      <c r="AI867" s="6">
        <v>0</v>
      </c>
      <c r="AJ867" s="6">
        <v>9137187.0392613504</v>
      </c>
      <c r="AK867" s="6">
        <v>12123.653121748999</v>
      </c>
      <c r="AL867" s="6">
        <v>330.98244656580999</v>
      </c>
      <c r="AM867" s="6">
        <v>93035.839999999997</v>
      </c>
      <c r="AN867" s="6">
        <v>5721.2098057166204</v>
      </c>
      <c r="AO867" s="6">
        <v>14835.0283881875</v>
      </c>
      <c r="AP867" s="6">
        <v>3753.1860850462999</v>
      </c>
      <c r="AQ867" s="6">
        <v>20687.885194392002</v>
      </c>
      <c r="AR867" s="6">
        <v>12123.653121748999</v>
      </c>
      <c r="AS867" s="6">
        <v>12123.653121748999</v>
      </c>
      <c r="AT867" s="6">
        <v>0</v>
      </c>
      <c r="AU867" t="s">
        <v>2973</v>
      </c>
      <c r="AV867" t="s">
        <v>2973</v>
      </c>
    </row>
    <row r="868" spans="1:48" x14ac:dyDescent="0.45">
      <c r="A868" s="5" t="s">
        <v>1765</v>
      </c>
      <c r="B868">
        <v>2181</v>
      </c>
      <c r="C868" t="s">
        <v>1761</v>
      </c>
      <c r="D868">
        <v>2181</v>
      </c>
      <c r="E868" t="s">
        <v>1761</v>
      </c>
      <c r="F868" t="s">
        <v>1</v>
      </c>
      <c r="G868" t="s">
        <v>1</v>
      </c>
      <c r="H868" t="s">
        <v>2743</v>
      </c>
      <c r="I868" t="s">
        <v>2742</v>
      </c>
      <c r="J868">
        <v>73.273003180044</v>
      </c>
      <c r="K868">
        <v>2</v>
      </c>
      <c r="L868">
        <v>4</v>
      </c>
      <c r="M868">
        <v>2</v>
      </c>
      <c r="N868" s="6">
        <v>89001.967816457094</v>
      </c>
      <c r="O868" s="6">
        <v>60545.556434270002</v>
      </c>
      <c r="P868" s="6">
        <v>132881.12188698299</v>
      </c>
      <c r="Q868" s="6">
        <v>50871.309781202603</v>
      </c>
      <c r="R868" s="6">
        <v>53683.119146663703</v>
      </c>
      <c r="S868" s="6">
        <v>32227.149222396802</v>
      </c>
      <c r="T868" s="6">
        <v>0</v>
      </c>
      <c r="U868" s="6">
        <v>386983.07506557601</v>
      </c>
      <c r="V868" s="6">
        <v>311396.890810618</v>
      </c>
      <c r="W868" s="6">
        <v>75586.184254957698</v>
      </c>
      <c r="X868" s="6">
        <v>0</v>
      </c>
      <c r="Y868" s="6">
        <v>0</v>
      </c>
      <c r="Z868" s="6">
        <v>0</v>
      </c>
      <c r="AA868" s="6">
        <v>0</v>
      </c>
      <c r="AB868" s="6">
        <v>0</v>
      </c>
      <c r="AC868" s="6">
        <v>32227.149222396802</v>
      </c>
      <c r="AD868" s="6">
        <v>0</v>
      </c>
      <c r="AE868" s="6">
        <v>0</v>
      </c>
      <c r="AF868" s="6">
        <v>0</v>
      </c>
      <c r="AG868" s="6">
        <v>0</v>
      </c>
      <c r="AH868" s="6">
        <v>0</v>
      </c>
      <c r="AI868" s="6">
        <v>0</v>
      </c>
      <c r="AJ868" s="6">
        <v>419210.22428797302</v>
      </c>
      <c r="AK868" s="6">
        <v>5721.2098057166204</v>
      </c>
      <c r="AL868" s="6">
        <v>330.98244656580999</v>
      </c>
      <c r="AM868" s="6">
        <v>93035.839999999997</v>
      </c>
      <c r="AN868" s="6">
        <v>5721.2098057166204</v>
      </c>
      <c r="AO868" s="6">
        <v>14835.0283881875</v>
      </c>
      <c r="AP868" s="6">
        <v>634.54287297753501</v>
      </c>
      <c r="AQ868" s="6">
        <v>40331.279999999999</v>
      </c>
      <c r="AR868" s="6">
        <v>5721.2098057166204</v>
      </c>
      <c r="AS868" s="6">
        <v>5721.2098057166204</v>
      </c>
      <c r="AT868" s="6">
        <v>0</v>
      </c>
      <c r="AU868" t="s">
        <v>2973</v>
      </c>
      <c r="AV868" t="s">
        <v>2977</v>
      </c>
    </row>
    <row r="869" spans="1:48" x14ac:dyDescent="0.45">
      <c r="A869" s="5" t="s">
        <v>1766</v>
      </c>
      <c r="B869">
        <v>2181</v>
      </c>
      <c r="C869" t="s">
        <v>1761</v>
      </c>
      <c r="D869">
        <v>925</v>
      </c>
      <c r="E869" t="s">
        <v>1767</v>
      </c>
      <c r="F869" t="s">
        <v>2739</v>
      </c>
      <c r="G869" t="s">
        <v>2740</v>
      </c>
      <c r="H869" t="s">
        <v>2741</v>
      </c>
      <c r="I869" t="s">
        <v>2742</v>
      </c>
      <c r="J869">
        <v>311.73105590058202</v>
      </c>
      <c r="K869">
        <v>3</v>
      </c>
      <c r="L869">
        <v>1</v>
      </c>
      <c r="M869">
        <v>2</v>
      </c>
      <c r="N869" s="6">
        <v>2718077.6376946</v>
      </c>
      <c r="O869" s="6">
        <v>590466.32591726503</v>
      </c>
      <c r="P869" s="6">
        <v>729262.65733366704</v>
      </c>
      <c r="Q869" s="6">
        <v>216425.78337035899</v>
      </c>
      <c r="R869" s="6">
        <v>233200.18339690499</v>
      </c>
      <c r="S869" s="6">
        <v>137106.476052007</v>
      </c>
      <c r="T869" s="6">
        <v>2841060.29</v>
      </c>
      <c r="U869" s="6">
        <v>1646372.2977128001</v>
      </c>
      <c r="V869" s="6">
        <v>3529081.0450367802</v>
      </c>
      <c r="W869" s="6">
        <v>958351.54267602204</v>
      </c>
      <c r="X869" s="6">
        <v>0</v>
      </c>
      <c r="Y869" s="6">
        <v>0</v>
      </c>
      <c r="Z869" s="6">
        <v>0</v>
      </c>
      <c r="AA869" s="6">
        <v>0</v>
      </c>
      <c r="AB869" s="6">
        <v>0</v>
      </c>
      <c r="AC869" s="6">
        <v>137106.476052007</v>
      </c>
      <c r="AD869" s="6">
        <v>0</v>
      </c>
      <c r="AE869" s="6">
        <v>0</v>
      </c>
      <c r="AF869" s="6">
        <v>0</v>
      </c>
      <c r="AG869" s="6">
        <v>0</v>
      </c>
      <c r="AH869" s="6">
        <v>0</v>
      </c>
      <c r="AI869" s="6">
        <v>0</v>
      </c>
      <c r="AJ869" s="6">
        <v>4624539.0637648003</v>
      </c>
      <c r="AK869" s="6">
        <v>14835.0283881875</v>
      </c>
      <c r="AL869" s="6">
        <v>330.98244656580999</v>
      </c>
      <c r="AM869" s="6">
        <v>93035.839999999997</v>
      </c>
      <c r="AN869" s="6">
        <v>5721.2098057166204</v>
      </c>
      <c r="AO869" s="6">
        <v>14835.0283881875</v>
      </c>
      <c r="AP869" s="6">
        <v>330.98244656580999</v>
      </c>
      <c r="AQ869" s="6">
        <v>93035.839999999997</v>
      </c>
      <c r="AR869" s="6">
        <v>12858.904812009499</v>
      </c>
      <c r="AS869" s="6">
        <v>14835.0283881875</v>
      </c>
      <c r="AT869" s="6">
        <v>0</v>
      </c>
      <c r="AU869" t="s">
        <v>2973</v>
      </c>
      <c r="AV869" t="s">
        <v>2973</v>
      </c>
    </row>
    <row r="870" spans="1:48" x14ac:dyDescent="0.45">
      <c r="A870" s="5" t="s">
        <v>1768</v>
      </c>
      <c r="B870">
        <v>2181</v>
      </c>
      <c r="C870" t="s">
        <v>1761</v>
      </c>
      <c r="D870">
        <v>926</v>
      </c>
      <c r="E870" t="s">
        <v>1769</v>
      </c>
      <c r="F870" t="s">
        <v>2739</v>
      </c>
      <c r="G870" t="s">
        <v>2740</v>
      </c>
      <c r="H870" t="s">
        <v>2741</v>
      </c>
      <c r="I870" t="s">
        <v>2742</v>
      </c>
      <c r="J870">
        <v>377.47005988017202</v>
      </c>
      <c r="K870">
        <v>2</v>
      </c>
      <c r="L870">
        <v>1</v>
      </c>
      <c r="M870">
        <v>2</v>
      </c>
      <c r="N870" s="6">
        <v>2803945.23935208</v>
      </c>
      <c r="O870" s="6">
        <v>635515.20121305401</v>
      </c>
      <c r="P870" s="6">
        <v>972303.86711178103</v>
      </c>
      <c r="Q870" s="6">
        <v>262066.45716580999</v>
      </c>
      <c r="R870" s="6">
        <v>279939.74367050698</v>
      </c>
      <c r="S870" s="6">
        <v>166019.99943764301</v>
      </c>
      <c r="T870" s="6">
        <v>2960205.1</v>
      </c>
      <c r="U870" s="6">
        <v>1993565.40851323</v>
      </c>
      <c r="V870" s="6">
        <v>4078453.2942395401</v>
      </c>
      <c r="W870" s="6">
        <v>875317.21427369199</v>
      </c>
      <c r="X870" s="6">
        <v>0</v>
      </c>
      <c r="Y870" s="6">
        <v>0</v>
      </c>
      <c r="Z870" s="6">
        <v>0</v>
      </c>
      <c r="AA870" s="6">
        <v>0</v>
      </c>
      <c r="AB870" s="6">
        <v>0</v>
      </c>
      <c r="AC870" s="6">
        <v>166019.99943764301</v>
      </c>
      <c r="AD870" s="6">
        <v>0</v>
      </c>
      <c r="AE870" s="6">
        <v>0</v>
      </c>
      <c r="AF870" s="6">
        <v>0</v>
      </c>
      <c r="AG870" s="6">
        <v>0</v>
      </c>
      <c r="AH870" s="6">
        <v>0</v>
      </c>
      <c r="AI870" s="6">
        <v>0</v>
      </c>
      <c r="AJ870" s="6">
        <v>5119790.5079508796</v>
      </c>
      <c r="AK870" s="6">
        <v>13563.4346988372</v>
      </c>
      <c r="AL870" s="6">
        <v>330.98244656580999</v>
      </c>
      <c r="AM870" s="6">
        <v>93035.839999999997</v>
      </c>
      <c r="AN870" s="6">
        <v>5721.2098057166204</v>
      </c>
      <c r="AO870" s="6">
        <v>14835.0283881875</v>
      </c>
      <c r="AP870" s="6">
        <v>330.98244656580999</v>
      </c>
      <c r="AQ870" s="6">
        <v>93035.839999999997</v>
      </c>
      <c r="AR870" s="6">
        <v>12858.904812009499</v>
      </c>
      <c r="AS870" s="6">
        <v>14835.0283881875</v>
      </c>
      <c r="AT870" s="6">
        <v>0</v>
      </c>
      <c r="AU870" t="s">
        <v>2973</v>
      </c>
      <c r="AV870" t="s">
        <v>2973</v>
      </c>
    </row>
    <row r="871" spans="1:48" x14ac:dyDescent="0.45">
      <c r="A871" s="5" t="s">
        <v>1770</v>
      </c>
      <c r="B871">
        <v>2181</v>
      </c>
      <c r="C871" t="s">
        <v>1761</v>
      </c>
      <c r="D871">
        <v>927</v>
      </c>
      <c r="E871" t="s">
        <v>1771</v>
      </c>
      <c r="F871" t="s">
        <v>2739</v>
      </c>
      <c r="G871" t="s">
        <v>2740</v>
      </c>
      <c r="H871" t="s">
        <v>2741</v>
      </c>
      <c r="I871" t="s">
        <v>2742</v>
      </c>
      <c r="J871">
        <v>319.08433734932902</v>
      </c>
      <c r="K871">
        <v>3</v>
      </c>
      <c r="L871">
        <v>1</v>
      </c>
      <c r="M871">
        <v>2</v>
      </c>
      <c r="N871" s="6">
        <v>2486250.28278097</v>
      </c>
      <c r="O871" s="6">
        <v>640822.07979523099</v>
      </c>
      <c r="P871" s="6">
        <v>716084.51649111498</v>
      </c>
      <c r="Q871" s="6">
        <v>221530.95229005601</v>
      </c>
      <c r="R871" s="6">
        <v>235483.130264101</v>
      </c>
      <c r="S871" s="6">
        <v>140340.618072101</v>
      </c>
      <c r="T871" s="6">
        <v>2614963.14</v>
      </c>
      <c r="U871" s="6">
        <v>1685207.8216214699</v>
      </c>
      <c r="V871" s="6">
        <v>3620713.6891818</v>
      </c>
      <c r="W871" s="6">
        <v>679457.27243966702</v>
      </c>
      <c r="X871" s="6">
        <v>0</v>
      </c>
      <c r="Y871" s="6">
        <v>0</v>
      </c>
      <c r="Z871" s="6">
        <v>0</v>
      </c>
      <c r="AA871" s="6">
        <v>0</v>
      </c>
      <c r="AB871" s="6">
        <v>0</v>
      </c>
      <c r="AC871" s="6">
        <v>140340.618072101</v>
      </c>
      <c r="AD871" s="6">
        <v>0</v>
      </c>
      <c r="AE871" s="6">
        <v>0</v>
      </c>
      <c r="AF871" s="6">
        <v>0</v>
      </c>
      <c r="AG871" s="6">
        <v>0</v>
      </c>
      <c r="AH871" s="6">
        <v>0</v>
      </c>
      <c r="AI871" s="6">
        <v>0</v>
      </c>
      <c r="AJ871" s="6">
        <v>4440511.5796935698</v>
      </c>
      <c r="AK871" s="6">
        <v>13916.419767204599</v>
      </c>
      <c r="AL871" s="6">
        <v>330.98244656580999</v>
      </c>
      <c r="AM871" s="6">
        <v>93035.839999999997</v>
      </c>
      <c r="AN871" s="6">
        <v>5721.2098057166204</v>
      </c>
      <c r="AO871" s="6">
        <v>14835.0283881875</v>
      </c>
      <c r="AP871" s="6">
        <v>330.98244656580999</v>
      </c>
      <c r="AQ871" s="6">
        <v>93035.839999999997</v>
      </c>
      <c r="AR871" s="6">
        <v>12858.904812009499</v>
      </c>
      <c r="AS871" s="6">
        <v>14835.0283881875</v>
      </c>
      <c r="AT871" s="6">
        <v>0</v>
      </c>
      <c r="AU871" t="s">
        <v>2973</v>
      </c>
      <c r="AV871" t="s">
        <v>2973</v>
      </c>
    </row>
    <row r="872" spans="1:48" x14ac:dyDescent="0.45">
      <c r="A872" s="5" t="s">
        <v>1772</v>
      </c>
      <c r="B872">
        <v>2181</v>
      </c>
      <c r="C872" t="s">
        <v>1761</v>
      </c>
      <c r="D872">
        <v>928</v>
      </c>
      <c r="E872" t="s">
        <v>1773</v>
      </c>
      <c r="F872" t="s">
        <v>2739</v>
      </c>
      <c r="G872" t="s">
        <v>2740</v>
      </c>
      <c r="H872" t="s">
        <v>2741</v>
      </c>
      <c r="I872" t="s">
        <v>2742</v>
      </c>
      <c r="J872">
        <v>330.36746987942797</v>
      </c>
      <c r="K872">
        <v>3</v>
      </c>
      <c r="L872">
        <v>1</v>
      </c>
      <c r="M872">
        <v>2</v>
      </c>
      <c r="N872" s="6">
        <v>2203305.9205308799</v>
      </c>
      <c r="O872" s="6">
        <v>667193.22358555102</v>
      </c>
      <c r="P872" s="6">
        <v>755947.33904333599</v>
      </c>
      <c r="Q872" s="6">
        <v>229364.50223792301</v>
      </c>
      <c r="R872" s="6">
        <v>247049.663935071</v>
      </c>
      <c r="S872" s="6">
        <v>145303.198831213</v>
      </c>
      <c r="T872" s="6">
        <v>2358062.2400000002</v>
      </c>
      <c r="U872" s="6">
        <v>1744798.4093327599</v>
      </c>
      <c r="V872" s="6">
        <v>3325981.4832042898</v>
      </c>
      <c r="W872" s="6">
        <v>776879.16612846998</v>
      </c>
      <c r="X872" s="6">
        <v>0</v>
      </c>
      <c r="Y872" s="6">
        <v>0</v>
      </c>
      <c r="Z872" s="6">
        <v>0</v>
      </c>
      <c r="AA872" s="6">
        <v>0</v>
      </c>
      <c r="AB872" s="6">
        <v>0</v>
      </c>
      <c r="AC872" s="6">
        <v>145303.198831213</v>
      </c>
      <c r="AD872" s="6">
        <v>0</v>
      </c>
      <c r="AE872" s="6">
        <v>0</v>
      </c>
      <c r="AF872" s="6">
        <v>0</v>
      </c>
      <c r="AG872" s="6">
        <v>0</v>
      </c>
      <c r="AH872" s="6">
        <v>0</v>
      </c>
      <c r="AI872" s="6">
        <v>0</v>
      </c>
      <c r="AJ872" s="6">
        <v>4248163.8481639801</v>
      </c>
      <c r="AK872" s="6">
        <v>12858.904812009499</v>
      </c>
      <c r="AL872" s="6">
        <v>330.98244656580999</v>
      </c>
      <c r="AM872" s="6">
        <v>93035.839999999997</v>
      </c>
      <c r="AN872" s="6">
        <v>5721.2098057166204</v>
      </c>
      <c r="AO872" s="6">
        <v>14835.0283881875</v>
      </c>
      <c r="AP872" s="6">
        <v>330.98244656580999</v>
      </c>
      <c r="AQ872" s="6">
        <v>93035.839999999997</v>
      </c>
      <c r="AR872" s="6">
        <v>12858.904812009499</v>
      </c>
      <c r="AS872" s="6">
        <v>14835.0283881875</v>
      </c>
      <c r="AT872" s="6">
        <v>0</v>
      </c>
      <c r="AU872" t="s">
        <v>2973</v>
      </c>
      <c r="AV872" t="s">
        <v>2973</v>
      </c>
    </row>
    <row r="873" spans="1:48" x14ac:dyDescent="0.45">
      <c r="A873" s="5" t="s">
        <v>2961</v>
      </c>
      <c r="B873">
        <v>2207</v>
      </c>
      <c r="C873" t="s">
        <v>1774</v>
      </c>
      <c r="D873">
        <v>4116</v>
      </c>
      <c r="E873" t="s">
        <v>2962</v>
      </c>
      <c r="F873" t="s">
        <v>2750</v>
      </c>
      <c r="G873" t="s">
        <v>2744</v>
      </c>
      <c r="H873" t="s">
        <v>2741</v>
      </c>
      <c r="I873" t="s">
        <v>2742</v>
      </c>
      <c r="J873">
        <v>48.772253733018502</v>
      </c>
      <c r="K873">
        <v>1</v>
      </c>
      <c r="L873">
        <v>1</v>
      </c>
      <c r="M873">
        <v>2</v>
      </c>
      <c r="N873" s="6">
        <v>19498.760157970799</v>
      </c>
      <c r="O873" s="6">
        <v>7457.8322412840198</v>
      </c>
      <c r="P873" s="6">
        <v>62750.0671161789</v>
      </c>
      <c r="Q873" s="6">
        <v>25265.1235234796</v>
      </c>
      <c r="R873" s="6">
        <v>453.90887109701902</v>
      </c>
      <c r="S873" s="6">
        <v>23961.577343148601</v>
      </c>
      <c r="T873" s="6">
        <v>0</v>
      </c>
      <c r="U873" s="6">
        <v>115425.69191001001</v>
      </c>
      <c r="V873" s="6">
        <v>84079.157656895593</v>
      </c>
      <c r="W873" s="6">
        <v>31346.5342531147</v>
      </c>
      <c r="X873" s="6">
        <v>0</v>
      </c>
      <c r="Y873" s="6">
        <v>0</v>
      </c>
      <c r="Z873" s="6">
        <v>0</v>
      </c>
      <c r="AA873" s="6">
        <v>0</v>
      </c>
      <c r="AB873" s="6">
        <v>0</v>
      </c>
      <c r="AC873" s="6">
        <v>23961.577343148601</v>
      </c>
      <c r="AD873" s="6">
        <v>0</v>
      </c>
      <c r="AE873" s="6">
        <v>0</v>
      </c>
      <c r="AF873" s="6">
        <v>0</v>
      </c>
      <c r="AG873" s="6">
        <v>0</v>
      </c>
      <c r="AH873" s="6">
        <v>0</v>
      </c>
      <c r="AI873" s="6">
        <v>0</v>
      </c>
      <c r="AJ873" s="6">
        <v>139387.269253159</v>
      </c>
      <c r="AK873" s="6">
        <v>2857.9214324638601</v>
      </c>
      <c r="AL873" s="6">
        <v>330.98244656580999</v>
      </c>
      <c r="AM873" s="6">
        <v>93035.839999999997</v>
      </c>
      <c r="AN873" s="6">
        <v>2857.9214324638601</v>
      </c>
      <c r="AO873" s="6">
        <v>14231.9241881338</v>
      </c>
      <c r="AP873" s="6">
        <v>330.98244656580999</v>
      </c>
      <c r="AQ873" s="6">
        <v>40734.411818744898</v>
      </c>
      <c r="AR873" s="6">
        <v>2857.9214324638601</v>
      </c>
      <c r="AS873" s="6">
        <v>13433.698504947601</v>
      </c>
      <c r="AT873" s="6">
        <v>0</v>
      </c>
      <c r="AU873" t="s">
        <v>2973</v>
      </c>
      <c r="AV873" t="s">
        <v>2976</v>
      </c>
    </row>
    <row r="874" spans="1:48" x14ac:dyDescent="0.45">
      <c r="A874" s="5" t="s">
        <v>1775</v>
      </c>
      <c r="B874">
        <v>2207</v>
      </c>
      <c r="C874" t="s">
        <v>1774</v>
      </c>
      <c r="D874">
        <v>1047</v>
      </c>
      <c r="E874" t="s">
        <v>1776</v>
      </c>
      <c r="F874" t="s">
        <v>2739</v>
      </c>
      <c r="G874" t="s">
        <v>2740</v>
      </c>
      <c r="H874" t="s">
        <v>2741</v>
      </c>
      <c r="I874" t="s">
        <v>2742</v>
      </c>
      <c r="J874">
        <v>267.82515337421898</v>
      </c>
      <c r="K874">
        <v>1</v>
      </c>
      <c r="L874">
        <v>1</v>
      </c>
      <c r="M874">
        <v>2</v>
      </c>
      <c r="N874" s="6">
        <v>2116335.9418037399</v>
      </c>
      <c r="O874" s="6">
        <v>448747.32169939601</v>
      </c>
      <c r="P874" s="6">
        <v>529715.65510237403</v>
      </c>
      <c r="Q874" s="6">
        <v>138739.44845229801</v>
      </c>
      <c r="R874" s="6">
        <v>2492.5691087589998</v>
      </c>
      <c r="S874" s="6">
        <v>131581.22981453201</v>
      </c>
      <c r="T874" s="6">
        <v>2602188.92</v>
      </c>
      <c r="U874" s="6">
        <v>633842.01616656897</v>
      </c>
      <c r="V874" s="6">
        <v>2973007.3380621299</v>
      </c>
      <c r="W874" s="6">
        <v>263023.59810443799</v>
      </c>
      <c r="X874" s="6">
        <v>0</v>
      </c>
      <c r="Y874" s="6">
        <v>0</v>
      </c>
      <c r="Z874" s="6">
        <v>0</v>
      </c>
      <c r="AA874" s="6">
        <v>0</v>
      </c>
      <c r="AB874" s="6">
        <v>0</v>
      </c>
      <c r="AC874" s="6">
        <v>131581.22981453201</v>
      </c>
      <c r="AD874" s="6">
        <v>0</v>
      </c>
      <c r="AE874" s="6">
        <v>0</v>
      </c>
      <c r="AF874" s="6">
        <v>0</v>
      </c>
      <c r="AG874" s="6">
        <v>0</v>
      </c>
      <c r="AH874" s="6">
        <v>0</v>
      </c>
      <c r="AI874" s="6">
        <v>0</v>
      </c>
      <c r="AJ874" s="6">
        <v>3367612.1659810999</v>
      </c>
      <c r="AK874" s="6">
        <v>12573.9204236568</v>
      </c>
      <c r="AL874" s="6">
        <v>330.98244656580999</v>
      </c>
      <c r="AM874" s="6">
        <v>93035.839999999997</v>
      </c>
      <c r="AN874" s="6">
        <v>2857.9214324638601</v>
      </c>
      <c r="AO874" s="6">
        <v>14231.9241881338</v>
      </c>
      <c r="AP874" s="6">
        <v>330.98244656580999</v>
      </c>
      <c r="AQ874" s="6">
        <v>93035.839999999997</v>
      </c>
      <c r="AR874" s="6">
        <v>12108.4663363522</v>
      </c>
      <c r="AS874" s="6">
        <v>14231.9241881338</v>
      </c>
      <c r="AT874" s="6">
        <v>0</v>
      </c>
      <c r="AU874" t="s">
        <v>2973</v>
      </c>
      <c r="AV874" t="s">
        <v>2973</v>
      </c>
    </row>
    <row r="875" spans="1:48" x14ac:dyDescent="0.45">
      <c r="A875" s="5" t="s">
        <v>1777</v>
      </c>
      <c r="B875">
        <v>2207</v>
      </c>
      <c r="C875" t="s">
        <v>1774</v>
      </c>
      <c r="D875">
        <v>4202</v>
      </c>
      <c r="E875" t="s">
        <v>1778</v>
      </c>
      <c r="F875" t="s">
        <v>3</v>
      </c>
      <c r="G875" t="s">
        <v>2744</v>
      </c>
      <c r="H875" t="s">
        <v>2741</v>
      </c>
      <c r="I875" t="s">
        <v>2742</v>
      </c>
      <c r="J875">
        <v>75.835806164815693</v>
      </c>
      <c r="K875">
        <v>1</v>
      </c>
      <c r="L875">
        <v>2</v>
      </c>
      <c r="M875">
        <v>2</v>
      </c>
      <c r="N875" s="6">
        <v>44552.023739357603</v>
      </c>
      <c r="O875" s="6">
        <v>11596.1571789503</v>
      </c>
      <c r="P875" s="6">
        <v>97569.8591396056</v>
      </c>
      <c r="Q875" s="6">
        <v>39284.651899520599</v>
      </c>
      <c r="R875" s="6">
        <v>705.78131069018104</v>
      </c>
      <c r="S875" s="6">
        <v>37257.772518477301</v>
      </c>
      <c r="T875" s="6">
        <v>14233.47</v>
      </c>
      <c r="U875" s="6">
        <v>179475.00326812401</v>
      </c>
      <c r="V875" s="6">
        <v>144967.85716760901</v>
      </c>
      <c r="W875" s="6">
        <v>48740.616100514999</v>
      </c>
      <c r="X875" s="6">
        <v>0</v>
      </c>
      <c r="Y875" s="6">
        <v>0</v>
      </c>
      <c r="Z875" s="6">
        <v>0</v>
      </c>
      <c r="AA875" s="6">
        <v>0</v>
      </c>
      <c r="AB875" s="6">
        <v>0</v>
      </c>
      <c r="AC875" s="6">
        <v>37257.772518477301</v>
      </c>
      <c r="AD875" s="6">
        <v>0</v>
      </c>
      <c r="AE875" s="6">
        <v>0</v>
      </c>
      <c r="AF875" s="6">
        <v>0</v>
      </c>
      <c r="AG875" s="6">
        <v>0</v>
      </c>
      <c r="AH875" s="6">
        <v>0</v>
      </c>
      <c r="AI875" s="6">
        <v>0</v>
      </c>
      <c r="AJ875" s="6">
        <v>230966.245786602</v>
      </c>
      <c r="AK875" s="6">
        <v>3045.6094220800801</v>
      </c>
      <c r="AL875" s="6">
        <v>330.98244656580999</v>
      </c>
      <c r="AM875" s="6">
        <v>93035.839999999997</v>
      </c>
      <c r="AN875" s="6">
        <v>2857.9214324638601</v>
      </c>
      <c r="AO875" s="6">
        <v>14231.9241881338</v>
      </c>
      <c r="AP875" s="6">
        <v>330.98244656580999</v>
      </c>
      <c r="AQ875" s="6">
        <v>40734.411818744898</v>
      </c>
      <c r="AR875" s="6">
        <v>2857.9214324638601</v>
      </c>
      <c r="AS875" s="6">
        <v>13433.698504947601</v>
      </c>
      <c r="AT875" s="6">
        <v>0</v>
      </c>
      <c r="AU875" t="s">
        <v>2973</v>
      </c>
      <c r="AV875" t="s">
        <v>2973</v>
      </c>
    </row>
    <row r="876" spans="1:48" x14ac:dyDescent="0.45">
      <c r="A876" s="5" t="s">
        <v>1779</v>
      </c>
      <c r="B876">
        <v>2207</v>
      </c>
      <c r="C876" t="s">
        <v>1774</v>
      </c>
      <c r="D876">
        <v>5287</v>
      </c>
      <c r="E876" t="s">
        <v>1780</v>
      </c>
      <c r="F876" t="s">
        <v>2739</v>
      </c>
      <c r="G876" t="s">
        <v>2740</v>
      </c>
      <c r="H876" t="s">
        <v>2741</v>
      </c>
      <c r="I876" t="s">
        <v>2742</v>
      </c>
      <c r="J876">
        <v>248.54917751718801</v>
      </c>
      <c r="K876">
        <v>1</v>
      </c>
      <c r="L876">
        <v>1</v>
      </c>
      <c r="M876">
        <v>2</v>
      </c>
      <c r="N876" s="6">
        <v>2212740.31956222</v>
      </c>
      <c r="O876" s="6">
        <v>452178.86578152003</v>
      </c>
      <c r="P876" s="6">
        <v>619235.59887724905</v>
      </c>
      <c r="Q876" s="6">
        <v>128754.05975713101</v>
      </c>
      <c r="R876" s="6">
        <v>2313.1733299940202</v>
      </c>
      <c r="S876" s="6">
        <v>122111.03413952301</v>
      </c>
      <c r="T876" s="6">
        <v>2826999.03</v>
      </c>
      <c r="U876" s="6">
        <v>588222.98730811395</v>
      </c>
      <c r="V876" s="6">
        <v>2579586.97870071</v>
      </c>
      <c r="W876" s="6">
        <v>835635.03860740701</v>
      </c>
      <c r="X876" s="6">
        <v>0</v>
      </c>
      <c r="Y876" s="6">
        <v>0</v>
      </c>
      <c r="Z876" s="6">
        <v>0</v>
      </c>
      <c r="AA876" s="6">
        <v>0</v>
      </c>
      <c r="AB876" s="6">
        <v>0</v>
      </c>
      <c r="AC876" s="6">
        <v>122111.03413952301</v>
      </c>
      <c r="AD876" s="6">
        <v>0</v>
      </c>
      <c r="AE876" s="6">
        <v>0</v>
      </c>
      <c r="AF876" s="6">
        <v>0</v>
      </c>
      <c r="AG876" s="6">
        <v>0</v>
      </c>
      <c r="AH876" s="6">
        <v>0</v>
      </c>
      <c r="AI876" s="6">
        <v>0</v>
      </c>
      <c r="AJ876" s="6">
        <v>3537333.0514476402</v>
      </c>
      <c r="AK876" s="6">
        <v>14231.9241881338</v>
      </c>
      <c r="AL876" s="6">
        <v>330.98244656580999</v>
      </c>
      <c r="AM876" s="6">
        <v>93035.839999999997</v>
      </c>
      <c r="AN876" s="6">
        <v>2857.9214324638601</v>
      </c>
      <c r="AO876" s="6">
        <v>14231.9241881338</v>
      </c>
      <c r="AP876" s="6">
        <v>330.98244656580999</v>
      </c>
      <c r="AQ876" s="6">
        <v>93035.839999999997</v>
      </c>
      <c r="AR876" s="6">
        <v>12108.4663363522</v>
      </c>
      <c r="AS876" s="6">
        <v>14231.9241881338</v>
      </c>
      <c r="AT876" s="6">
        <v>0</v>
      </c>
      <c r="AU876" t="s">
        <v>2973</v>
      </c>
      <c r="AV876" t="s">
        <v>2973</v>
      </c>
    </row>
    <row r="877" spans="1:48" x14ac:dyDescent="0.45">
      <c r="A877" s="5" t="s">
        <v>1781</v>
      </c>
      <c r="B877">
        <v>2207</v>
      </c>
      <c r="C877" t="s">
        <v>1774</v>
      </c>
      <c r="D877">
        <v>1052</v>
      </c>
      <c r="E877" t="s">
        <v>1782</v>
      </c>
      <c r="F877" t="s">
        <v>2739</v>
      </c>
      <c r="G877" t="s">
        <v>2744</v>
      </c>
      <c r="H877" t="s">
        <v>2741</v>
      </c>
      <c r="I877" t="s">
        <v>2742</v>
      </c>
      <c r="J877">
        <v>810.06231894674397</v>
      </c>
      <c r="K877">
        <v>1</v>
      </c>
      <c r="L877">
        <v>1</v>
      </c>
      <c r="M877">
        <v>2</v>
      </c>
      <c r="N877" s="6">
        <v>5379077.49931903</v>
      </c>
      <c r="O877" s="6">
        <v>2612433.23071915</v>
      </c>
      <c r="P877" s="6">
        <v>2064972.95539094</v>
      </c>
      <c r="Q877" s="6">
        <v>419630.48625842499</v>
      </c>
      <c r="R877" s="6">
        <v>8039.0092638352498</v>
      </c>
      <c r="S877" s="6">
        <v>397979.78199789498</v>
      </c>
      <c r="T877" s="6">
        <v>8567038.5</v>
      </c>
      <c r="U877" s="6">
        <v>1917114.6809513799</v>
      </c>
      <c r="V877" s="6">
        <v>8598175.0005242601</v>
      </c>
      <c r="W877" s="6">
        <v>1885978.1804271101</v>
      </c>
      <c r="X877" s="6">
        <v>0</v>
      </c>
      <c r="Y877" s="6">
        <v>0</v>
      </c>
      <c r="Z877" s="6">
        <v>0</v>
      </c>
      <c r="AA877" s="6">
        <v>0</v>
      </c>
      <c r="AB877" s="6">
        <v>0</v>
      </c>
      <c r="AC877" s="6">
        <v>397979.78199789498</v>
      </c>
      <c r="AD877" s="6">
        <v>0</v>
      </c>
      <c r="AE877" s="6">
        <v>0</v>
      </c>
      <c r="AF877" s="6">
        <v>0</v>
      </c>
      <c r="AG877" s="6">
        <v>0</v>
      </c>
      <c r="AH877" s="6">
        <v>0</v>
      </c>
      <c r="AI877" s="6">
        <v>0</v>
      </c>
      <c r="AJ877" s="6">
        <v>10882132.9629493</v>
      </c>
      <c r="AK877" s="6">
        <v>13433.698504947601</v>
      </c>
      <c r="AL877" s="6">
        <v>330.98244656580999</v>
      </c>
      <c r="AM877" s="6">
        <v>93035.839999999997</v>
      </c>
      <c r="AN877" s="6">
        <v>2857.9214324638601</v>
      </c>
      <c r="AO877" s="6">
        <v>14231.9241881338</v>
      </c>
      <c r="AP877" s="6">
        <v>330.98244656580999</v>
      </c>
      <c r="AQ877" s="6">
        <v>40734.411818744898</v>
      </c>
      <c r="AR877" s="6">
        <v>2857.9214324638601</v>
      </c>
      <c r="AS877" s="6">
        <v>13433.698504947601</v>
      </c>
      <c r="AT877" s="6">
        <v>0</v>
      </c>
      <c r="AU877" t="s">
        <v>2973</v>
      </c>
      <c r="AV877" t="s">
        <v>2973</v>
      </c>
    </row>
    <row r="878" spans="1:48" x14ac:dyDescent="0.45">
      <c r="A878" s="5" t="s">
        <v>1783</v>
      </c>
      <c r="B878">
        <v>2207</v>
      </c>
      <c r="C878" t="s">
        <v>1774</v>
      </c>
      <c r="D878">
        <v>1048</v>
      </c>
      <c r="E878" t="s">
        <v>1784</v>
      </c>
      <c r="F878" t="s">
        <v>2739</v>
      </c>
      <c r="G878" t="s">
        <v>2740</v>
      </c>
      <c r="H878" t="s">
        <v>2741</v>
      </c>
      <c r="I878" t="s">
        <v>2742</v>
      </c>
      <c r="J878">
        <v>442.20254509337599</v>
      </c>
      <c r="K878">
        <v>1</v>
      </c>
      <c r="L878">
        <v>1</v>
      </c>
      <c r="M878">
        <v>2</v>
      </c>
      <c r="N878" s="6">
        <v>3494583.85976945</v>
      </c>
      <c r="O878" s="6">
        <v>527880.58793954004</v>
      </c>
      <c r="P878" s="6">
        <v>881491.86271250097</v>
      </c>
      <c r="Q878" s="6">
        <v>229070.85625648699</v>
      </c>
      <c r="R878" s="6">
        <v>4115.4476710941299</v>
      </c>
      <c r="S878" s="6">
        <v>217252.01676335</v>
      </c>
      <c r="T878" s="6">
        <v>4090614.5</v>
      </c>
      <c r="U878" s="6">
        <v>1046528.11434907</v>
      </c>
      <c r="V878" s="6">
        <v>4754585.2471458204</v>
      </c>
      <c r="W878" s="6">
        <v>382557.36720325099</v>
      </c>
      <c r="X878" s="6">
        <v>0</v>
      </c>
      <c r="Y878" s="6">
        <v>0</v>
      </c>
      <c r="Z878" s="6">
        <v>0</v>
      </c>
      <c r="AA878" s="6">
        <v>0</v>
      </c>
      <c r="AB878" s="6">
        <v>0</v>
      </c>
      <c r="AC878" s="6">
        <v>217252.01676335</v>
      </c>
      <c r="AD878" s="6">
        <v>0</v>
      </c>
      <c r="AE878" s="6">
        <v>0</v>
      </c>
      <c r="AF878" s="6">
        <v>0</v>
      </c>
      <c r="AG878" s="6">
        <v>0</v>
      </c>
      <c r="AH878" s="6">
        <v>0</v>
      </c>
      <c r="AI878" s="6">
        <v>0</v>
      </c>
      <c r="AJ878" s="6">
        <v>5354394.63111242</v>
      </c>
      <c r="AK878" s="6">
        <v>12108.4663363522</v>
      </c>
      <c r="AL878" s="6">
        <v>330.98244656580999</v>
      </c>
      <c r="AM878" s="6">
        <v>93035.839999999997</v>
      </c>
      <c r="AN878" s="6">
        <v>2857.9214324638601</v>
      </c>
      <c r="AO878" s="6">
        <v>14231.9241881338</v>
      </c>
      <c r="AP878" s="6">
        <v>330.98244656580999</v>
      </c>
      <c r="AQ878" s="6">
        <v>93035.839999999997</v>
      </c>
      <c r="AR878" s="6">
        <v>12108.4663363522</v>
      </c>
      <c r="AS878" s="6">
        <v>14231.9241881338</v>
      </c>
      <c r="AT878" s="6">
        <v>0</v>
      </c>
      <c r="AU878" t="s">
        <v>2973</v>
      </c>
      <c r="AV878" t="s">
        <v>2973</v>
      </c>
    </row>
    <row r="879" spans="1:48" x14ac:dyDescent="0.45">
      <c r="A879" s="5" t="s">
        <v>1785</v>
      </c>
      <c r="B879">
        <v>2207</v>
      </c>
      <c r="C879" t="s">
        <v>1774</v>
      </c>
      <c r="D879">
        <v>1051</v>
      </c>
      <c r="E879" t="s">
        <v>1786</v>
      </c>
      <c r="F879" t="s">
        <v>2739</v>
      </c>
      <c r="G879" t="s">
        <v>2747</v>
      </c>
      <c r="H879" t="s">
        <v>2741</v>
      </c>
      <c r="I879" t="s">
        <v>2742</v>
      </c>
      <c r="J879">
        <v>760.88354236602902</v>
      </c>
      <c r="K879">
        <v>1</v>
      </c>
      <c r="L879">
        <v>1</v>
      </c>
      <c r="M879">
        <v>2</v>
      </c>
      <c r="N879" s="6">
        <v>4753427.3845512802</v>
      </c>
      <c r="O879" s="6">
        <v>1070436.1265114199</v>
      </c>
      <c r="P879" s="6">
        <v>1674939.0186006101</v>
      </c>
      <c r="Q879" s="6">
        <v>394154.77476379299</v>
      </c>
      <c r="R879" s="6">
        <v>7081.3170054073298</v>
      </c>
      <c r="S879" s="6">
        <v>373818.48190438602</v>
      </c>
      <c r="T879" s="6">
        <v>6099311.7199999997</v>
      </c>
      <c r="U879" s="6">
        <v>1800726.90143251</v>
      </c>
      <c r="V879" s="6">
        <v>6979767.3425503103</v>
      </c>
      <c r="W879" s="6">
        <v>920271.27888220199</v>
      </c>
      <c r="X879" s="6">
        <v>0</v>
      </c>
      <c r="Y879" s="6">
        <v>0</v>
      </c>
      <c r="Z879" s="6">
        <v>0</v>
      </c>
      <c r="AA879" s="6">
        <v>0</v>
      </c>
      <c r="AB879" s="6">
        <v>0</v>
      </c>
      <c r="AC879" s="6">
        <v>373818.48190438602</v>
      </c>
      <c r="AD879" s="6">
        <v>0</v>
      </c>
      <c r="AE879" s="6">
        <v>0</v>
      </c>
      <c r="AF879" s="6">
        <v>0</v>
      </c>
      <c r="AG879" s="6">
        <v>0</v>
      </c>
      <c r="AH879" s="6">
        <v>0</v>
      </c>
      <c r="AI879" s="6">
        <v>0</v>
      </c>
      <c r="AJ879" s="6">
        <v>8273857.1033368995</v>
      </c>
      <c r="AK879" s="6">
        <v>10874.0124377098</v>
      </c>
      <c r="AL879" s="6">
        <v>330.98244656580999</v>
      </c>
      <c r="AM879" s="6">
        <v>93035.839999999997</v>
      </c>
      <c r="AN879" s="6">
        <v>2857.9214324638601</v>
      </c>
      <c r="AO879" s="6">
        <v>14231.9241881338</v>
      </c>
      <c r="AP879" s="6">
        <v>3753.1860850462999</v>
      </c>
      <c r="AQ879" s="6">
        <v>20687.885194392002</v>
      </c>
      <c r="AR879" s="6">
        <v>10874.0124377098</v>
      </c>
      <c r="AS879" s="6">
        <v>10874.0124377098</v>
      </c>
      <c r="AT879" s="6">
        <v>0</v>
      </c>
      <c r="AU879" t="s">
        <v>2973</v>
      </c>
      <c r="AV879" t="s">
        <v>2973</v>
      </c>
    </row>
    <row r="880" spans="1:48" x14ac:dyDescent="0.45">
      <c r="A880" s="5" t="s">
        <v>1787</v>
      </c>
      <c r="B880">
        <v>2207</v>
      </c>
      <c r="C880" t="s">
        <v>1774</v>
      </c>
      <c r="D880">
        <v>1049</v>
      </c>
      <c r="E880" t="s">
        <v>1428</v>
      </c>
      <c r="F880" t="s">
        <v>2739</v>
      </c>
      <c r="G880" t="s">
        <v>2740</v>
      </c>
      <c r="H880" t="s">
        <v>2741</v>
      </c>
      <c r="I880" t="s">
        <v>2742</v>
      </c>
      <c r="J880">
        <v>420.384481702583</v>
      </c>
      <c r="K880">
        <v>1</v>
      </c>
      <c r="L880">
        <v>1</v>
      </c>
      <c r="M880">
        <v>2</v>
      </c>
      <c r="N880" s="6">
        <v>3403838.8410969698</v>
      </c>
      <c r="O880" s="6">
        <v>573739.53792874399</v>
      </c>
      <c r="P880" s="6">
        <v>844396.47306059196</v>
      </c>
      <c r="Q880" s="6">
        <v>217768.60908888699</v>
      </c>
      <c r="R880" s="6">
        <v>3912.3934391234302</v>
      </c>
      <c r="S880" s="6">
        <v>206532.905518707</v>
      </c>
      <c r="T880" s="6">
        <v>4048762.94</v>
      </c>
      <c r="U880" s="6">
        <v>994892.91461431596</v>
      </c>
      <c r="V880" s="6">
        <v>4668110.2781923302</v>
      </c>
      <c r="W880" s="6">
        <v>375545.57642198802</v>
      </c>
      <c r="X880" s="6">
        <v>0</v>
      </c>
      <c r="Y880" s="6">
        <v>0</v>
      </c>
      <c r="Z880" s="6">
        <v>0</v>
      </c>
      <c r="AA880" s="6">
        <v>0</v>
      </c>
      <c r="AB880" s="6">
        <v>0</v>
      </c>
      <c r="AC880" s="6">
        <v>206532.905518707</v>
      </c>
      <c r="AD880" s="6">
        <v>0</v>
      </c>
      <c r="AE880" s="6">
        <v>0</v>
      </c>
      <c r="AF880" s="6">
        <v>0</v>
      </c>
      <c r="AG880" s="6">
        <v>0</v>
      </c>
      <c r="AH880" s="6">
        <v>0</v>
      </c>
      <c r="AI880" s="6">
        <v>0</v>
      </c>
      <c r="AJ880" s="6">
        <v>5250188.7601330196</v>
      </c>
      <c r="AK880" s="6">
        <v>12489.016575658199</v>
      </c>
      <c r="AL880" s="6">
        <v>330.98244656580999</v>
      </c>
      <c r="AM880" s="6">
        <v>93035.839999999997</v>
      </c>
      <c r="AN880" s="6">
        <v>2857.9214324638601</v>
      </c>
      <c r="AO880" s="6">
        <v>14231.9241881338</v>
      </c>
      <c r="AP880" s="6">
        <v>330.98244656580999</v>
      </c>
      <c r="AQ880" s="6">
        <v>93035.839999999997</v>
      </c>
      <c r="AR880" s="6">
        <v>12108.4663363522</v>
      </c>
      <c r="AS880" s="6">
        <v>14231.9241881338</v>
      </c>
      <c r="AT880" s="6">
        <v>0</v>
      </c>
      <c r="AU880" t="s">
        <v>2973</v>
      </c>
      <c r="AV880" t="s">
        <v>2973</v>
      </c>
    </row>
    <row r="881" spans="1:48" x14ac:dyDescent="0.45">
      <c r="A881" s="5" t="s">
        <v>1788</v>
      </c>
      <c r="B881">
        <v>2192</v>
      </c>
      <c r="C881" t="s">
        <v>1789</v>
      </c>
      <c r="D881">
        <v>3378</v>
      </c>
      <c r="E881" t="s">
        <v>1790</v>
      </c>
      <c r="F881" t="s">
        <v>2739</v>
      </c>
      <c r="G881" t="s">
        <v>2748</v>
      </c>
      <c r="H881" t="s">
        <v>2745</v>
      </c>
      <c r="I881" t="s">
        <v>2742</v>
      </c>
      <c r="J881">
        <v>311.96702342491301</v>
      </c>
      <c r="K881">
        <v>1</v>
      </c>
      <c r="L881">
        <v>1</v>
      </c>
      <c r="M881">
        <v>1</v>
      </c>
      <c r="N881" s="6">
        <v>2374133.83</v>
      </c>
      <c r="O881" s="6">
        <v>713305.95</v>
      </c>
      <c r="P881" s="6">
        <v>645378.9</v>
      </c>
      <c r="Q881" s="6">
        <v>253132.23</v>
      </c>
      <c r="R881" s="6">
        <v>124863.63</v>
      </c>
      <c r="S881" s="6">
        <v>186217.32</v>
      </c>
      <c r="T881" s="6">
        <v>4110814.54</v>
      </c>
      <c r="U881" s="6">
        <v>0</v>
      </c>
      <c r="V881" s="6">
        <v>3482745.78</v>
      </c>
      <c r="W881" s="6">
        <v>628068.76</v>
      </c>
      <c r="X881" s="6">
        <v>0</v>
      </c>
      <c r="Y881" s="6">
        <v>0</v>
      </c>
      <c r="Z881" s="6">
        <v>0</v>
      </c>
      <c r="AA881" s="6">
        <v>0</v>
      </c>
      <c r="AB881" s="6">
        <v>0</v>
      </c>
      <c r="AC881" s="6">
        <v>41438.589999999997</v>
      </c>
      <c r="AD881" s="6">
        <v>144778.73000000001</v>
      </c>
      <c r="AE881" s="6">
        <v>0</v>
      </c>
      <c r="AF881" s="6">
        <v>0</v>
      </c>
      <c r="AG881" s="6">
        <v>0</v>
      </c>
      <c r="AH881" s="6">
        <v>0</v>
      </c>
      <c r="AI881" s="6">
        <v>0</v>
      </c>
      <c r="AJ881" s="6">
        <v>4297031.8600000003</v>
      </c>
      <c r="AK881" s="6">
        <v>13773.9938434046</v>
      </c>
      <c r="AL881" s="6">
        <v>330.98244656580999</v>
      </c>
      <c r="AM881" s="6">
        <v>93035.839999999997</v>
      </c>
      <c r="AN881" s="6">
        <v>13773.9938434046</v>
      </c>
      <c r="AO881" s="6">
        <v>13773.9938434046</v>
      </c>
      <c r="AP881" s="6">
        <v>330.98244656580999</v>
      </c>
      <c r="AQ881" s="6">
        <v>56162.493707719797</v>
      </c>
      <c r="AR881" s="6">
        <v>13773.9938434046</v>
      </c>
      <c r="AS881" s="6">
        <v>13773.9938434046</v>
      </c>
      <c r="AT881" s="6">
        <v>0</v>
      </c>
      <c r="AU881" t="s">
        <v>2973</v>
      </c>
      <c r="AV881" t="s">
        <v>2973</v>
      </c>
    </row>
    <row r="882" spans="1:48" x14ac:dyDescent="0.45">
      <c r="A882" s="5" t="s">
        <v>1791</v>
      </c>
      <c r="B882">
        <v>1900</v>
      </c>
      <c r="C882" t="s">
        <v>1792</v>
      </c>
      <c r="D882">
        <v>18</v>
      </c>
      <c r="E882" t="s">
        <v>1793</v>
      </c>
      <c r="F882" t="s">
        <v>2739</v>
      </c>
      <c r="G882" t="s">
        <v>2740</v>
      </c>
      <c r="H882" t="s">
        <v>2741</v>
      </c>
      <c r="I882" t="s">
        <v>2742</v>
      </c>
      <c r="J882">
        <v>32.177625938402102</v>
      </c>
      <c r="K882">
        <v>1</v>
      </c>
      <c r="L882">
        <v>1</v>
      </c>
      <c r="M882">
        <v>1</v>
      </c>
      <c r="N882" s="6">
        <v>304698.890362031</v>
      </c>
      <c r="O882" s="6">
        <v>28060.595376894598</v>
      </c>
      <c r="P882" s="6">
        <v>83292.840255052797</v>
      </c>
      <c r="Q882" s="6">
        <v>20112.667981095899</v>
      </c>
      <c r="R882" s="6">
        <v>10613.1075678</v>
      </c>
      <c r="S882" s="6">
        <v>13047.4203970371</v>
      </c>
      <c r="T882" s="6">
        <v>358502.63</v>
      </c>
      <c r="U882" s="6">
        <v>88275.471542874002</v>
      </c>
      <c r="V882" s="6">
        <v>429451.082056963</v>
      </c>
      <c r="W882" s="6">
        <v>11396.757727917</v>
      </c>
      <c r="X882" s="6">
        <v>0</v>
      </c>
      <c r="Y882" s="6">
        <v>0</v>
      </c>
      <c r="Z882" s="6">
        <v>0</v>
      </c>
      <c r="AA882" s="6">
        <v>128.18417331397399</v>
      </c>
      <c r="AB882" s="6">
        <v>5802.0775846796196</v>
      </c>
      <c r="AC882" s="6">
        <v>13047.4203970371</v>
      </c>
      <c r="AD882" s="6">
        <v>0</v>
      </c>
      <c r="AE882" s="6">
        <v>0</v>
      </c>
      <c r="AF882" s="6">
        <v>0</v>
      </c>
      <c r="AG882" s="6">
        <v>0</v>
      </c>
      <c r="AH882" s="6">
        <v>0</v>
      </c>
      <c r="AI882" s="6">
        <v>0</v>
      </c>
      <c r="AJ882" s="6">
        <v>459825.52193991101</v>
      </c>
      <c r="AK882" s="6">
        <v>14290.2252273104</v>
      </c>
      <c r="AL882" s="6">
        <v>330.98244656580999</v>
      </c>
      <c r="AM882" s="6">
        <v>93035.839999999997</v>
      </c>
      <c r="AN882" s="6">
        <v>4332.8267212246101</v>
      </c>
      <c r="AO882" s="6">
        <v>14918.6487290474</v>
      </c>
      <c r="AP882" s="6">
        <v>330.98244656580999</v>
      </c>
      <c r="AQ882" s="6">
        <v>93035.839999999997</v>
      </c>
      <c r="AR882" s="6">
        <v>11960.4278082817</v>
      </c>
      <c r="AS882" s="6">
        <v>14290.2252273104</v>
      </c>
      <c r="AT882" s="6">
        <v>0</v>
      </c>
      <c r="AU882" t="s">
        <v>2973</v>
      </c>
      <c r="AV882" t="s">
        <v>2973</v>
      </c>
    </row>
    <row r="883" spans="1:48" x14ac:dyDescent="0.45">
      <c r="A883" s="5" t="s">
        <v>1794</v>
      </c>
      <c r="B883">
        <v>1900</v>
      </c>
      <c r="C883" t="s">
        <v>1792</v>
      </c>
      <c r="D883">
        <v>3162</v>
      </c>
      <c r="E883" t="s">
        <v>1795</v>
      </c>
      <c r="F883" t="s">
        <v>2739</v>
      </c>
      <c r="G883" t="s">
        <v>2740</v>
      </c>
      <c r="H883" t="s">
        <v>2741</v>
      </c>
      <c r="I883" t="s">
        <v>2742</v>
      </c>
      <c r="J883">
        <v>177.214782553596</v>
      </c>
      <c r="K883">
        <v>1</v>
      </c>
      <c r="L883">
        <v>1</v>
      </c>
      <c r="M883">
        <v>1</v>
      </c>
      <c r="N883" s="6">
        <v>1083707.2563452099</v>
      </c>
      <c r="O883" s="6">
        <v>412781.75069312297</v>
      </c>
      <c r="P883" s="6">
        <v>384538.28469355701</v>
      </c>
      <c r="Q883" s="6">
        <v>110768.33603777</v>
      </c>
      <c r="R883" s="6">
        <v>88549.341039094099</v>
      </c>
      <c r="S883" s="6">
        <v>71857.251774029006</v>
      </c>
      <c r="T883" s="6">
        <v>1594177.39</v>
      </c>
      <c r="U883" s="6">
        <v>486167.57880875102</v>
      </c>
      <c r="V883" s="6">
        <v>1926374.69655496</v>
      </c>
      <c r="W883" s="6">
        <v>120037.19627357399</v>
      </c>
      <c r="X883" s="6">
        <v>0</v>
      </c>
      <c r="Y883" s="6">
        <v>0</v>
      </c>
      <c r="Z883" s="6">
        <v>0</v>
      </c>
      <c r="AA883" s="6">
        <v>705.96042244179398</v>
      </c>
      <c r="AB883" s="6">
        <v>33227.115557773097</v>
      </c>
      <c r="AC883" s="6">
        <v>71857.251774029006</v>
      </c>
      <c r="AD883" s="6">
        <v>0</v>
      </c>
      <c r="AE883" s="6">
        <v>0</v>
      </c>
      <c r="AF883" s="6">
        <v>0</v>
      </c>
      <c r="AG883" s="6">
        <v>0</v>
      </c>
      <c r="AH883" s="6">
        <v>0</v>
      </c>
      <c r="AI883" s="6">
        <v>0</v>
      </c>
      <c r="AJ883" s="6">
        <v>2152202.22058278</v>
      </c>
      <c r="AK883" s="6">
        <v>12144.597587009301</v>
      </c>
      <c r="AL883" s="6">
        <v>330.98244656580999</v>
      </c>
      <c r="AM883" s="6">
        <v>93035.839999999997</v>
      </c>
      <c r="AN883" s="6">
        <v>4332.8267212246101</v>
      </c>
      <c r="AO883" s="6">
        <v>14918.6487290474</v>
      </c>
      <c r="AP883" s="6">
        <v>330.98244656580999</v>
      </c>
      <c r="AQ883" s="6">
        <v>93035.839999999997</v>
      </c>
      <c r="AR883" s="6">
        <v>11960.4278082817</v>
      </c>
      <c r="AS883" s="6">
        <v>14290.2252273104</v>
      </c>
      <c r="AT883" s="6">
        <v>0</v>
      </c>
      <c r="AU883" t="s">
        <v>2973</v>
      </c>
      <c r="AV883" t="s">
        <v>2973</v>
      </c>
    </row>
    <row r="884" spans="1:48" x14ac:dyDescent="0.45">
      <c r="A884" s="5" t="s">
        <v>1796</v>
      </c>
      <c r="B884">
        <v>1900</v>
      </c>
      <c r="C884" t="s">
        <v>1792</v>
      </c>
      <c r="D884">
        <v>3440</v>
      </c>
      <c r="E884" t="s">
        <v>1797</v>
      </c>
      <c r="F884" t="s">
        <v>3</v>
      </c>
      <c r="G884" t="s">
        <v>2748</v>
      </c>
      <c r="H884" t="s">
        <v>2745</v>
      </c>
      <c r="I884" t="s">
        <v>2742</v>
      </c>
      <c r="J884">
        <v>199.218290699004</v>
      </c>
      <c r="K884">
        <v>1</v>
      </c>
      <c r="L884">
        <v>1</v>
      </c>
      <c r="M884">
        <v>1</v>
      </c>
      <c r="N884" s="6">
        <v>227259.633973288</v>
      </c>
      <c r="O884" s="6">
        <v>104642.067329107</v>
      </c>
      <c r="P884" s="6">
        <v>255456.442672345</v>
      </c>
      <c r="Q884" s="6">
        <v>124521.65813167101</v>
      </c>
      <c r="R884" s="6">
        <v>70519.271884943606</v>
      </c>
      <c r="S884" s="6">
        <v>80779.259305981104</v>
      </c>
      <c r="T884" s="6">
        <v>235867.5</v>
      </c>
      <c r="U884" s="6">
        <v>546531.57399135397</v>
      </c>
      <c r="V884" s="6">
        <v>643991.87454454403</v>
      </c>
      <c r="W884" s="6">
        <v>96880.387714846802</v>
      </c>
      <c r="X884" s="6">
        <v>0</v>
      </c>
      <c r="Y884" s="6">
        <v>0</v>
      </c>
      <c r="Z884" s="6">
        <v>0</v>
      </c>
      <c r="AA884" s="6">
        <v>793.61454294855901</v>
      </c>
      <c r="AB884" s="6">
        <v>40733.197189015002</v>
      </c>
      <c r="AC884" s="6">
        <v>80779.259305981104</v>
      </c>
      <c r="AD884" s="6">
        <v>0</v>
      </c>
      <c r="AE884" s="6">
        <v>0</v>
      </c>
      <c r="AF884" s="6">
        <v>0</v>
      </c>
      <c r="AG884" s="6">
        <v>0</v>
      </c>
      <c r="AH884" s="6">
        <v>0</v>
      </c>
      <c r="AI884" s="6">
        <v>0</v>
      </c>
      <c r="AJ884" s="6">
        <v>863178.33329733601</v>
      </c>
      <c r="AK884" s="6">
        <v>4332.8267212246101</v>
      </c>
      <c r="AL884" s="6">
        <v>330.98244656580999</v>
      </c>
      <c r="AM884" s="6">
        <v>93035.839999999997</v>
      </c>
      <c r="AN884" s="6">
        <v>4332.8267212246101</v>
      </c>
      <c r="AO884" s="6">
        <v>14918.6487290474</v>
      </c>
      <c r="AP884" s="6">
        <v>330.98244656580999</v>
      </c>
      <c r="AQ884" s="6">
        <v>56162.493707719797</v>
      </c>
      <c r="AR884" s="6">
        <v>4332.8267212246101</v>
      </c>
      <c r="AS884" s="6">
        <v>4332.8267212246101</v>
      </c>
      <c r="AT884" s="6">
        <v>0</v>
      </c>
      <c r="AU884" t="s">
        <v>2973</v>
      </c>
      <c r="AV884" t="s">
        <v>2973</v>
      </c>
    </row>
    <row r="885" spans="1:48" x14ac:dyDescent="0.45">
      <c r="A885" s="5" t="s">
        <v>1798</v>
      </c>
      <c r="B885">
        <v>1900</v>
      </c>
      <c r="C885" t="s">
        <v>1792</v>
      </c>
      <c r="D885">
        <v>20</v>
      </c>
      <c r="E885" t="s">
        <v>1799</v>
      </c>
      <c r="F885" t="s">
        <v>2739</v>
      </c>
      <c r="G885" t="s">
        <v>2740</v>
      </c>
      <c r="H885" t="s">
        <v>2745</v>
      </c>
      <c r="I885" t="s">
        <v>2742</v>
      </c>
      <c r="J885">
        <v>379.14416185284</v>
      </c>
      <c r="K885">
        <v>1</v>
      </c>
      <c r="L885">
        <v>1</v>
      </c>
      <c r="M885">
        <v>1</v>
      </c>
      <c r="N885" s="6">
        <v>2463848.2217043298</v>
      </c>
      <c r="O885" s="6">
        <v>831124.35452777904</v>
      </c>
      <c r="P885" s="6">
        <v>713550.89759476599</v>
      </c>
      <c r="Q885" s="6">
        <v>236984.56371252501</v>
      </c>
      <c r="R885" s="6">
        <v>135482.53286097699</v>
      </c>
      <c r="S885" s="6">
        <v>153735.806371983</v>
      </c>
      <c r="T885" s="6">
        <v>3340853.87</v>
      </c>
      <c r="U885" s="6">
        <v>1040136.70040038</v>
      </c>
      <c r="V885" s="6">
        <v>3847674.2658912898</v>
      </c>
      <c r="W885" s="6">
        <v>453011.044609264</v>
      </c>
      <c r="X885" s="6">
        <v>0</v>
      </c>
      <c r="Y885" s="6">
        <v>0</v>
      </c>
      <c r="Z885" s="6">
        <v>0</v>
      </c>
      <c r="AA885" s="6">
        <v>1510.3749744298</v>
      </c>
      <c r="AB885" s="6">
        <v>78794.884925392995</v>
      </c>
      <c r="AC885" s="6">
        <v>153735.806371983</v>
      </c>
      <c r="AD885" s="6">
        <v>0</v>
      </c>
      <c r="AE885" s="6">
        <v>0</v>
      </c>
      <c r="AF885" s="6">
        <v>0</v>
      </c>
      <c r="AG885" s="6">
        <v>0</v>
      </c>
      <c r="AH885" s="6">
        <v>0</v>
      </c>
      <c r="AI885" s="6">
        <v>0</v>
      </c>
      <c r="AJ885" s="6">
        <v>4534726.3767723599</v>
      </c>
      <c r="AK885" s="6">
        <v>11960.4278082817</v>
      </c>
      <c r="AL885" s="6">
        <v>330.98244656580999</v>
      </c>
      <c r="AM885" s="6">
        <v>93035.839999999997</v>
      </c>
      <c r="AN885" s="6">
        <v>4332.8267212246101</v>
      </c>
      <c r="AO885" s="6">
        <v>14918.6487290474</v>
      </c>
      <c r="AP885" s="6">
        <v>330.98244656580999</v>
      </c>
      <c r="AQ885" s="6">
        <v>93035.839999999997</v>
      </c>
      <c r="AR885" s="6">
        <v>11960.4278082817</v>
      </c>
      <c r="AS885" s="6">
        <v>14290.2252273104</v>
      </c>
      <c r="AT885" s="6">
        <v>0</v>
      </c>
      <c r="AU885" t="s">
        <v>2973</v>
      </c>
      <c r="AV885" t="s">
        <v>2973</v>
      </c>
    </row>
    <row r="886" spans="1:48" x14ac:dyDescent="0.45">
      <c r="A886" s="5" t="s">
        <v>1800</v>
      </c>
      <c r="B886">
        <v>1900</v>
      </c>
      <c r="C886" t="s">
        <v>1792</v>
      </c>
      <c r="D886">
        <v>22</v>
      </c>
      <c r="E886" t="s">
        <v>1801</v>
      </c>
      <c r="F886" t="s">
        <v>2739</v>
      </c>
      <c r="G886" t="s">
        <v>2744</v>
      </c>
      <c r="H886" t="s">
        <v>2745</v>
      </c>
      <c r="I886" t="s">
        <v>2742</v>
      </c>
      <c r="J886">
        <v>472.14248629260601</v>
      </c>
      <c r="K886">
        <v>1</v>
      </c>
      <c r="L886">
        <v>1</v>
      </c>
      <c r="M886">
        <v>1</v>
      </c>
      <c r="N886" s="6">
        <v>3092981.0861996799</v>
      </c>
      <c r="O886" s="6">
        <v>2136708.7140061599</v>
      </c>
      <c r="P886" s="6">
        <v>1070457.93029472</v>
      </c>
      <c r="Q886" s="6">
        <v>295113.29035742499</v>
      </c>
      <c r="R886" s="6">
        <v>257022.009363839</v>
      </c>
      <c r="S886" s="6">
        <v>191444.87283662701</v>
      </c>
      <c r="T886" s="6">
        <v>5557016.54</v>
      </c>
      <c r="U886" s="6">
        <v>1295266.4902218201</v>
      </c>
      <c r="V886" s="6">
        <v>5477938.3935388001</v>
      </c>
      <c r="W886" s="6">
        <v>1269206.98021282</v>
      </c>
      <c r="X886" s="6">
        <v>0</v>
      </c>
      <c r="Y886" s="6">
        <v>0</v>
      </c>
      <c r="Z886" s="6">
        <v>0</v>
      </c>
      <c r="AA886" s="6">
        <v>1880.8470956706999</v>
      </c>
      <c r="AB886" s="6">
        <v>103256.809374529</v>
      </c>
      <c r="AC886" s="6">
        <v>191444.87283662701</v>
      </c>
      <c r="AD886" s="6">
        <v>0</v>
      </c>
      <c r="AE886" s="6">
        <v>0</v>
      </c>
      <c r="AF886" s="6">
        <v>0</v>
      </c>
      <c r="AG886" s="6">
        <v>0</v>
      </c>
      <c r="AH886" s="6">
        <v>0</v>
      </c>
      <c r="AI886" s="6">
        <v>0</v>
      </c>
      <c r="AJ886" s="6">
        <v>7043727.9030584404</v>
      </c>
      <c r="AK886" s="6">
        <v>14918.6487290474</v>
      </c>
      <c r="AL886" s="6">
        <v>330.98244656580999</v>
      </c>
      <c r="AM886" s="6">
        <v>93035.839999999997</v>
      </c>
      <c r="AN886" s="6">
        <v>4332.8267212246101</v>
      </c>
      <c r="AO886" s="6">
        <v>14918.6487290474</v>
      </c>
      <c r="AP886" s="6">
        <v>330.98244656580999</v>
      </c>
      <c r="AQ886" s="6">
        <v>40734.411818744898</v>
      </c>
      <c r="AR886" s="6">
        <v>14918.6487290474</v>
      </c>
      <c r="AS886" s="6">
        <v>14918.6487290474</v>
      </c>
      <c r="AT886" s="6">
        <v>0</v>
      </c>
      <c r="AU886" t="s">
        <v>2973</v>
      </c>
      <c r="AV886" t="s">
        <v>2973</v>
      </c>
    </row>
    <row r="887" spans="1:48" x14ac:dyDescent="0.45">
      <c r="A887" s="5" t="s">
        <v>1802</v>
      </c>
      <c r="B887">
        <v>1900</v>
      </c>
      <c r="C887" t="s">
        <v>1792</v>
      </c>
      <c r="D887">
        <v>21</v>
      </c>
      <c r="E887" t="s">
        <v>1803</v>
      </c>
      <c r="F887" t="s">
        <v>2739</v>
      </c>
      <c r="G887" t="s">
        <v>2747</v>
      </c>
      <c r="H887" t="s">
        <v>2745</v>
      </c>
      <c r="I887" t="s">
        <v>2742</v>
      </c>
      <c r="J887">
        <v>361.74898267092198</v>
      </c>
      <c r="K887">
        <v>1</v>
      </c>
      <c r="L887">
        <v>1</v>
      </c>
      <c r="M887">
        <v>1</v>
      </c>
      <c r="N887" s="6">
        <v>2046971.7414154699</v>
      </c>
      <c r="O887" s="6">
        <v>862912.83806693205</v>
      </c>
      <c r="P887" s="6">
        <v>712083.02448956203</v>
      </c>
      <c r="Q887" s="6">
        <v>226111.683779513</v>
      </c>
      <c r="R887" s="6">
        <v>125266.127283346</v>
      </c>
      <c r="S887" s="6">
        <v>146682.38931434299</v>
      </c>
      <c r="T887" s="6">
        <v>2980930.31</v>
      </c>
      <c r="U887" s="6">
        <v>992415.10503482295</v>
      </c>
      <c r="V887" s="6">
        <v>3577100.2574134399</v>
      </c>
      <c r="W887" s="6">
        <v>323624.76346158102</v>
      </c>
      <c r="X887" s="6">
        <v>0</v>
      </c>
      <c r="Y887" s="6">
        <v>0</v>
      </c>
      <c r="Z887" s="6">
        <v>0</v>
      </c>
      <c r="AA887" s="6">
        <v>1441.07879119518</v>
      </c>
      <c r="AB887" s="6">
        <v>71179.315368610303</v>
      </c>
      <c r="AC887" s="6">
        <v>146682.38931434299</v>
      </c>
      <c r="AD887" s="6">
        <v>0</v>
      </c>
      <c r="AE887" s="6">
        <v>0</v>
      </c>
      <c r="AF887" s="6">
        <v>0</v>
      </c>
      <c r="AG887" s="6">
        <v>0</v>
      </c>
      <c r="AH887" s="6">
        <v>0</v>
      </c>
      <c r="AI887" s="6">
        <v>0</v>
      </c>
      <c r="AJ887" s="6">
        <v>4120027.8043491701</v>
      </c>
      <c r="AK887" s="6">
        <v>11389.189746795</v>
      </c>
      <c r="AL887" s="6">
        <v>330.98244656580999</v>
      </c>
      <c r="AM887" s="6">
        <v>93035.839999999997</v>
      </c>
      <c r="AN887" s="6">
        <v>4332.8267212246101</v>
      </c>
      <c r="AO887" s="6">
        <v>14918.6487290474</v>
      </c>
      <c r="AP887" s="6">
        <v>3753.1860850462999</v>
      </c>
      <c r="AQ887" s="6">
        <v>20687.885194392002</v>
      </c>
      <c r="AR887" s="6">
        <v>11389.189746795</v>
      </c>
      <c r="AS887" s="6">
        <v>11389.189746795</v>
      </c>
      <c r="AT887" s="6">
        <v>0</v>
      </c>
      <c r="AU887" t="s">
        <v>2973</v>
      </c>
      <c r="AV887" t="s">
        <v>2973</v>
      </c>
    </row>
    <row r="888" spans="1:48" x14ac:dyDescent="0.45">
      <c r="A888" s="5" t="s">
        <v>1804</v>
      </c>
      <c r="B888">
        <v>2039</v>
      </c>
      <c r="C888" t="s">
        <v>1805</v>
      </c>
      <c r="D888">
        <v>3247</v>
      </c>
      <c r="E888" t="s">
        <v>1806</v>
      </c>
      <c r="F888" t="s">
        <v>3</v>
      </c>
      <c r="G888" t="s">
        <v>2748</v>
      </c>
      <c r="H888" t="s">
        <v>2745</v>
      </c>
      <c r="I888" t="s">
        <v>2742</v>
      </c>
      <c r="J888">
        <v>80.502673899218607</v>
      </c>
      <c r="K888">
        <v>1</v>
      </c>
      <c r="L888">
        <v>1</v>
      </c>
      <c r="M888">
        <v>3</v>
      </c>
      <c r="N888" s="6">
        <v>102565.35373005101</v>
      </c>
      <c r="O888" s="6">
        <v>34930.830116017401</v>
      </c>
      <c r="P888" s="6">
        <v>135499.861123376</v>
      </c>
      <c r="Q888" s="6">
        <v>53169.206343122103</v>
      </c>
      <c r="R888" s="6">
        <v>54562.610261986898</v>
      </c>
      <c r="S888" s="6">
        <v>46024.595191438697</v>
      </c>
      <c r="T888" s="6">
        <v>0</v>
      </c>
      <c r="U888" s="6">
        <v>380727.86157455301</v>
      </c>
      <c r="V888" s="6">
        <v>310347.44287608302</v>
      </c>
      <c r="W888" s="6">
        <v>70380.418698470399</v>
      </c>
      <c r="X888" s="6">
        <v>0</v>
      </c>
      <c r="Y888" s="6">
        <v>0</v>
      </c>
      <c r="Z888" s="6">
        <v>0</v>
      </c>
      <c r="AA888" s="6">
        <v>0</v>
      </c>
      <c r="AB888" s="6">
        <v>0</v>
      </c>
      <c r="AC888" s="6">
        <v>33098.839673518101</v>
      </c>
      <c r="AD888" s="6">
        <v>12925.755517920599</v>
      </c>
      <c r="AE888" s="6">
        <v>0</v>
      </c>
      <c r="AF888" s="6">
        <v>0</v>
      </c>
      <c r="AG888" s="6">
        <v>0</v>
      </c>
      <c r="AH888" s="6">
        <v>0</v>
      </c>
      <c r="AI888" s="6">
        <v>0</v>
      </c>
      <c r="AJ888" s="6">
        <v>426752.45676599198</v>
      </c>
      <c r="AK888" s="6">
        <v>5301.0966728911799</v>
      </c>
      <c r="AL888" s="6">
        <v>330.98244656580999</v>
      </c>
      <c r="AM888" s="6">
        <v>93035.839999999997</v>
      </c>
      <c r="AN888" s="6">
        <v>5301.0966728911799</v>
      </c>
      <c r="AO888" s="6">
        <v>14564.683152096601</v>
      </c>
      <c r="AP888" s="6">
        <v>330.98244656580999</v>
      </c>
      <c r="AQ888" s="6">
        <v>56162.493707719797</v>
      </c>
      <c r="AR888" s="6">
        <v>5301.0966728911799</v>
      </c>
      <c r="AS888" s="6">
        <v>5301.0966728911799</v>
      </c>
      <c r="AT888" s="6">
        <v>0</v>
      </c>
      <c r="AU888" t="s">
        <v>2973</v>
      </c>
      <c r="AV888" t="s">
        <v>2976</v>
      </c>
    </row>
    <row r="889" spans="1:48" x14ac:dyDescent="0.45">
      <c r="A889" s="5" t="s">
        <v>1807</v>
      </c>
      <c r="B889">
        <v>2039</v>
      </c>
      <c r="C889" t="s">
        <v>1805</v>
      </c>
      <c r="D889">
        <v>370</v>
      </c>
      <c r="E889" t="s">
        <v>1808</v>
      </c>
      <c r="F889" t="s">
        <v>2739</v>
      </c>
      <c r="G889" t="s">
        <v>2740</v>
      </c>
      <c r="H889" t="s">
        <v>2741</v>
      </c>
      <c r="I889" t="s">
        <v>2742</v>
      </c>
      <c r="J889">
        <v>417.36427880848697</v>
      </c>
      <c r="K889">
        <v>1</v>
      </c>
      <c r="L889">
        <v>1</v>
      </c>
      <c r="M889">
        <v>3</v>
      </c>
      <c r="N889" s="6">
        <v>2484557.8597567002</v>
      </c>
      <c r="O889" s="6">
        <v>626583.57293794001</v>
      </c>
      <c r="P889" s="6">
        <v>966429.32301931502</v>
      </c>
      <c r="Q889" s="6">
        <v>275654.53897838999</v>
      </c>
      <c r="R889" s="6">
        <v>371428.43985104101</v>
      </c>
      <c r="S889" s="6">
        <v>238613.46523191399</v>
      </c>
      <c r="T889" s="6">
        <v>2750778.81</v>
      </c>
      <c r="U889" s="6">
        <v>1973874.92454338</v>
      </c>
      <c r="V889" s="6">
        <v>3958816.63721669</v>
      </c>
      <c r="W889" s="6">
        <v>765837.09732669499</v>
      </c>
      <c r="X889" s="6">
        <v>0</v>
      </c>
      <c r="Y889" s="6">
        <v>0</v>
      </c>
      <c r="Z889" s="6">
        <v>0</v>
      </c>
      <c r="AA889" s="6">
        <v>0</v>
      </c>
      <c r="AB889" s="6">
        <v>0</v>
      </c>
      <c r="AC889" s="6">
        <v>171600.180225438</v>
      </c>
      <c r="AD889" s="6">
        <v>67013.285006476202</v>
      </c>
      <c r="AE889" s="6">
        <v>0</v>
      </c>
      <c r="AF889" s="6">
        <v>0</v>
      </c>
      <c r="AG889" s="6">
        <v>0</v>
      </c>
      <c r="AH889" s="6">
        <v>0</v>
      </c>
      <c r="AI889" s="6">
        <v>0</v>
      </c>
      <c r="AJ889" s="6">
        <v>4963267.1997752897</v>
      </c>
      <c r="AK889" s="6">
        <v>11891.9309863908</v>
      </c>
      <c r="AL889" s="6">
        <v>330.98244656580999</v>
      </c>
      <c r="AM889" s="6">
        <v>93035.839999999997</v>
      </c>
      <c r="AN889" s="6">
        <v>5301.0966728911799</v>
      </c>
      <c r="AO889" s="6">
        <v>14564.683152096601</v>
      </c>
      <c r="AP889" s="6">
        <v>330.98244656580999</v>
      </c>
      <c r="AQ889" s="6">
        <v>93035.839999999997</v>
      </c>
      <c r="AR889" s="6">
        <v>11663.0543051843</v>
      </c>
      <c r="AS889" s="6">
        <v>12190.8964681822</v>
      </c>
      <c r="AT889" s="6">
        <v>0</v>
      </c>
      <c r="AU889" t="s">
        <v>2973</v>
      </c>
      <c r="AV889" t="s">
        <v>2973</v>
      </c>
    </row>
    <row r="890" spans="1:48" x14ac:dyDescent="0.45">
      <c r="A890" s="5" t="s">
        <v>1809</v>
      </c>
      <c r="B890">
        <v>2039</v>
      </c>
      <c r="C890" t="s">
        <v>1805</v>
      </c>
      <c r="D890">
        <v>371</v>
      </c>
      <c r="E890" t="s">
        <v>1810</v>
      </c>
      <c r="F890" t="s">
        <v>2739</v>
      </c>
      <c r="G890" t="s">
        <v>2740</v>
      </c>
      <c r="H890" t="s">
        <v>2741</v>
      </c>
      <c r="I890" t="s">
        <v>2742</v>
      </c>
      <c r="J890">
        <v>369.27335562622801</v>
      </c>
      <c r="K890">
        <v>3</v>
      </c>
      <c r="L890">
        <v>1</v>
      </c>
      <c r="M890">
        <v>3</v>
      </c>
      <c r="N890" s="6">
        <v>2211688.7682601502</v>
      </c>
      <c r="O890" s="6">
        <v>619499.30130652804</v>
      </c>
      <c r="P890" s="6">
        <v>850649.59900806204</v>
      </c>
      <c r="Q890" s="6">
        <v>243892.16272353701</v>
      </c>
      <c r="R890" s="6">
        <v>364924.25788088702</v>
      </c>
      <c r="S890" s="6">
        <v>211119.15771839101</v>
      </c>
      <c r="T890" s="6">
        <v>2544219.4900000002</v>
      </c>
      <c r="U890" s="6">
        <v>1746434.5991791701</v>
      </c>
      <c r="V890" s="6">
        <v>3592097.9025677801</v>
      </c>
      <c r="W890" s="6">
        <v>698556.18661138695</v>
      </c>
      <c r="X890" s="6">
        <v>0</v>
      </c>
      <c r="Y890" s="6">
        <v>0</v>
      </c>
      <c r="Z890" s="6">
        <v>0</v>
      </c>
      <c r="AA890" s="6">
        <v>0</v>
      </c>
      <c r="AB890" s="6">
        <v>0</v>
      </c>
      <c r="AC890" s="6">
        <v>151827.49841174099</v>
      </c>
      <c r="AD890" s="6">
        <v>59291.659306649497</v>
      </c>
      <c r="AE890" s="6">
        <v>0</v>
      </c>
      <c r="AF890" s="6">
        <v>0</v>
      </c>
      <c r="AG890" s="6">
        <v>0</v>
      </c>
      <c r="AH890" s="6">
        <v>0</v>
      </c>
      <c r="AI890" s="6">
        <v>0</v>
      </c>
      <c r="AJ890" s="6">
        <v>4501773.2468975596</v>
      </c>
      <c r="AK890" s="6">
        <v>12190.8964681822</v>
      </c>
      <c r="AL890" s="6">
        <v>330.98244656580999</v>
      </c>
      <c r="AM890" s="6">
        <v>93035.839999999997</v>
      </c>
      <c r="AN890" s="6">
        <v>5301.0966728911799</v>
      </c>
      <c r="AO890" s="6">
        <v>14564.683152096601</v>
      </c>
      <c r="AP890" s="6">
        <v>330.98244656580999</v>
      </c>
      <c r="AQ890" s="6">
        <v>93035.839999999997</v>
      </c>
      <c r="AR890" s="6">
        <v>11663.0543051843</v>
      </c>
      <c r="AS890" s="6">
        <v>12190.8964681822</v>
      </c>
      <c r="AT890" s="6">
        <v>0</v>
      </c>
      <c r="AU890" t="s">
        <v>2973</v>
      </c>
      <c r="AV890" t="s">
        <v>2973</v>
      </c>
    </row>
    <row r="891" spans="1:48" x14ac:dyDescent="0.45">
      <c r="A891" s="5" t="s">
        <v>1811</v>
      </c>
      <c r="B891">
        <v>2039</v>
      </c>
      <c r="C891" t="s">
        <v>1805</v>
      </c>
      <c r="D891">
        <v>374</v>
      </c>
      <c r="E891" t="s">
        <v>1812</v>
      </c>
      <c r="F891" t="s">
        <v>2739</v>
      </c>
      <c r="G891" t="s">
        <v>2744</v>
      </c>
      <c r="H891" t="s">
        <v>2745</v>
      </c>
      <c r="I891" t="s">
        <v>2742</v>
      </c>
      <c r="J891">
        <v>632.52436333952096</v>
      </c>
      <c r="K891">
        <v>1</v>
      </c>
      <c r="L891">
        <v>1</v>
      </c>
      <c r="M891">
        <v>3</v>
      </c>
      <c r="N891" s="6">
        <v>3869784.9998198901</v>
      </c>
      <c r="O891" s="6">
        <v>2332985.6877277298</v>
      </c>
      <c r="P891" s="6">
        <v>1774341.4515500001</v>
      </c>
      <c r="Q891" s="6">
        <v>417760.26512552099</v>
      </c>
      <c r="R891" s="6">
        <v>456020.79682970198</v>
      </c>
      <c r="S891" s="6">
        <v>361623.73696889699</v>
      </c>
      <c r="T891" s="6">
        <v>5859444.1399999997</v>
      </c>
      <c r="U891" s="6">
        <v>2991449.06105285</v>
      </c>
      <c r="V891" s="6">
        <v>7503508.3546042498</v>
      </c>
      <c r="W891" s="6">
        <v>1347384.8464486001</v>
      </c>
      <c r="X891" s="6">
        <v>0</v>
      </c>
      <c r="Y891" s="6">
        <v>0</v>
      </c>
      <c r="Z891" s="6">
        <v>0</v>
      </c>
      <c r="AA891" s="6">
        <v>0</v>
      </c>
      <c r="AB891" s="6">
        <v>0</v>
      </c>
      <c r="AC891" s="6">
        <v>260063.69077850101</v>
      </c>
      <c r="AD891" s="6">
        <v>101560.04619039599</v>
      </c>
      <c r="AE891" s="6">
        <v>0</v>
      </c>
      <c r="AF891" s="6">
        <v>0</v>
      </c>
      <c r="AG891" s="6">
        <v>0</v>
      </c>
      <c r="AH891" s="6">
        <v>0</v>
      </c>
      <c r="AI891" s="6">
        <v>0</v>
      </c>
      <c r="AJ891" s="6">
        <v>9212516.9380217493</v>
      </c>
      <c r="AK891" s="6">
        <v>14564.683152096601</v>
      </c>
      <c r="AL891" s="6">
        <v>330.98244656580999</v>
      </c>
      <c r="AM891" s="6">
        <v>93035.839999999997</v>
      </c>
      <c r="AN891" s="6">
        <v>5301.0966728911799</v>
      </c>
      <c r="AO891" s="6">
        <v>14564.683152096601</v>
      </c>
      <c r="AP891" s="6">
        <v>330.98244656580999</v>
      </c>
      <c r="AQ891" s="6">
        <v>40734.411818744898</v>
      </c>
      <c r="AR891" s="6">
        <v>14564.683152096601</v>
      </c>
      <c r="AS891" s="6">
        <v>14564.683152096601</v>
      </c>
      <c r="AT891" s="6">
        <v>0</v>
      </c>
      <c r="AU891" t="s">
        <v>2973</v>
      </c>
      <c r="AV891" t="s">
        <v>2973</v>
      </c>
    </row>
    <row r="892" spans="1:48" x14ac:dyDescent="0.45">
      <c r="A892" s="5" t="s">
        <v>1813</v>
      </c>
      <c r="B892">
        <v>2039</v>
      </c>
      <c r="C892" t="s">
        <v>1805</v>
      </c>
      <c r="D892">
        <v>2039</v>
      </c>
      <c r="E892" t="s">
        <v>1805</v>
      </c>
      <c r="F892" t="s">
        <v>1</v>
      </c>
      <c r="G892" t="s">
        <v>1</v>
      </c>
      <c r="H892" t="s">
        <v>2743</v>
      </c>
      <c r="I892" t="s">
        <v>2742</v>
      </c>
      <c r="J892">
        <v>22.207197251722</v>
      </c>
      <c r="K892">
        <v>1</v>
      </c>
      <c r="L892">
        <v>3</v>
      </c>
      <c r="M892">
        <v>3</v>
      </c>
      <c r="N892" s="6">
        <v>28293.334011828199</v>
      </c>
      <c r="O892" s="6">
        <v>9635.9014797931904</v>
      </c>
      <c r="P892" s="6">
        <v>37378.536610036201</v>
      </c>
      <c r="Q892" s="6">
        <v>14667.0786917884</v>
      </c>
      <c r="R892" s="6">
        <v>15051.4584170667</v>
      </c>
      <c r="S892" s="6">
        <v>12696.190254829</v>
      </c>
      <c r="T892" s="6">
        <v>0</v>
      </c>
      <c r="U892" s="6">
        <v>105026.30921051301</v>
      </c>
      <c r="V892" s="6">
        <v>85611.403282637897</v>
      </c>
      <c r="W892" s="6">
        <v>19414.905927874901</v>
      </c>
      <c r="X892" s="6">
        <v>0</v>
      </c>
      <c r="Y892" s="6">
        <v>0</v>
      </c>
      <c r="Z892" s="6">
        <v>0</v>
      </c>
      <c r="AA892" s="6">
        <v>0</v>
      </c>
      <c r="AB892" s="6">
        <v>0</v>
      </c>
      <c r="AC892" s="6">
        <v>9130.5347491081502</v>
      </c>
      <c r="AD892" s="6">
        <v>3565.6555057208202</v>
      </c>
      <c r="AE892" s="6">
        <v>0</v>
      </c>
      <c r="AF892" s="6">
        <v>0</v>
      </c>
      <c r="AG892" s="6">
        <v>0</v>
      </c>
      <c r="AH892" s="6">
        <v>0</v>
      </c>
      <c r="AI892" s="6">
        <v>0</v>
      </c>
      <c r="AJ892" s="6">
        <v>117722.499465342</v>
      </c>
      <c r="AK892" s="6">
        <v>5301.0966728911799</v>
      </c>
      <c r="AL892" s="6">
        <v>330.98244656580999</v>
      </c>
      <c r="AM892" s="6">
        <v>93035.839999999997</v>
      </c>
      <c r="AN892" s="6">
        <v>5301.0966728911799</v>
      </c>
      <c r="AO892" s="6">
        <v>14564.683152096601</v>
      </c>
      <c r="AP892" s="6">
        <v>634.54287297753501</v>
      </c>
      <c r="AQ892" s="6">
        <v>40331.279999999999</v>
      </c>
      <c r="AR892" s="6">
        <v>5301.0966728911799</v>
      </c>
      <c r="AS892" s="6">
        <v>5301.0966728911799</v>
      </c>
      <c r="AT892" s="6">
        <v>0</v>
      </c>
      <c r="AU892" t="s">
        <v>2973</v>
      </c>
      <c r="AV892" t="s">
        <v>2977</v>
      </c>
    </row>
    <row r="893" spans="1:48" x14ac:dyDescent="0.45">
      <c r="A893" s="5" t="s">
        <v>1814</v>
      </c>
      <c r="B893">
        <v>2039</v>
      </c>
      <c r="C893" t="s">
        <v>1805</v>
      </c>
      <c r="D893">
        <v>372</v>
      </c>
      <c r="E893" t="s">
        <v>1815</v>
      </c>
      <c r="F893" t="s">
        <v>2739</v>
      </c>
      <c r="G893" t="s">
        <v>2740</v>
      </c>
      <c r="H893" t="s">
        <v>2741</v>
      </c>
      <c r="I893" t="s">
        <v>2742</v>
      </c>
      <c r="J893">
        <v>453.335475759914</v>
      </c>
      <c r="K893">
        <v>2</v>
      </c>
      <c r="L893">
        <v>1</v>
      </c>
      <c r="M893">
        <v>3</v>
      </c>
      <c r="N893" s="6">
        <v>2704490.3452338502</v>
      </c>
      <c r="O893" s="6">
        <v>677684.28697473498</v>
      </c>
      <c r="P893" s="6">
        <v>1010106.98100953</v>
      </c>
      <c r="Q893" s="6">
        <v>299412.259069947</v>
      </c>
      <c r="R893" s="6">
        <v>336403.65785540402</v>
      </c>
      <c r="S893" s="6">
        <v>259178.74211096001</v>
      </c>
      <c r="T893" s="6">
        <v>2884101.09</v>
      </c>
      <c r="U893" s="6">
        <v>2143996.4401434599</v>
      </c>
      <c r="V893" s="6">
        <v>4258367.2866914803</v>
      </c>
      <c r="W893" s="6">
        <v>769730.24345198495</v>
      </c>
      <c r="X893" s="6">
        <v>0</v>
      </c>
      <c r="Y893" s="6">
        <v>0</v>
      </c>
      <c r="Z893" s="6">
        <v>0</v>
      </c>
      <c r="AA893" s="6">
        <v>0</v>
      </c>
      <c r="AB893" s="6">
        <v>0</v>
      </c>
      <c r="AC893" s="6">
        <v>186389.81171333601</v>
      </c>
      <c r="AD893" s="6">
        <v>72788.930397624295</v>
      </c>
      <c r="AE893" s="6">
        <v>0</v>
      </c>
      <c r="AF893" s="6">
        <v>0</v>
      </c>
      <c r="AG893" s="6">
        <v>0</v>
      </c>
      <c r="AH893" s="6">
        <v>0</v>
      </c>
      <c r="AI893" s="6">
        <v>0</v>
      </c>
      <c r="AJ893" s="6">
        <v>5287276.2722544298</v>
      </c>
      <c r="AK893" s="6">
        <v>11663.0543051843</v>
      </c>
      <c r="AL893" s="6">
        <v>330.98244656580999</v>
      </c>
      <c r="AM893" s="6">
        <v>93035.839999999997</v>
      </c>
      <c r="AN893" s="6">
        <v>5301.0966728911799</v>
      </c>
      <c r="AO893" s="6">
        <v>14564.683152096601</v>
      </c>
      <c r="AP893" s="6">
        <v>330.98244656580999</v>
      </c>
      <c r="AQ893" s="6">
        <v>93035.839999999997</v>
      </c>
      <c r="AR893" s="6">
        <v>11663.0543051843</v>
      </c>
      <c r="AS893" s="6">
        <v>12190.8964681822</v>
      </c>
      <c r="AT893" s="6">
        <v>0</v>
      </c>
      <c r="AU893" t="s">
        <v>2973</v>
      </c>
      <c r="AV893" t="s">
        <v>2973</v>
      </c>
    </row>
    <row r="894" spans="1:48" x14ac:dyDescent="0.45">
      <c r="A894" s="5" t="s">
        <v>1816</v>
      </c>
      <c r="B894">
        <v>2039</v>
      </c>
      <c r="C894" t="s">
        <v>1805</v>
      </c>
      <c r="D894">
        <v>373</v>
      </c>
      <c r="E894" t="s">
        <v>1817</v>
      </c>
      <c r="F894" t="s">
        <v>2739</v>
      </c>
      <c r="G894" t="s">
        <v>2747</v>
      </c>
      <c r="H894" t="s">
        <v>2745</v>
      </c>
      <c r="I894" t="s">
        <v>2742</v>
      </c>
      <c r="J894">
        <v>588.99723953095497</v>
      </c>
      <c r="K894">
        <v>1</v>
      </c>
      <c r="L894">
        <v>1</v>
      </c>
      <c r="M894">
        <v>3</v>
      </c>
      <c r="N894" s="6">
        <v>3095860.72918753</v>
      </c>
      <c r="O894" s="6">
        <v>1226002.5194572499</v>
      </c>
      <c r="P894" s="6">
        <v>1367403.7976796799</v>
      </c>
      <c r="Q894" s="6">
        <v>389012.11906769499</v>
      </c>
      <c r="R894" s="6">
        <v>465854.88890391198</v>
      </c>
      <c r="S894" s="6">
        <v>336738.62252357003</v>
      </c>
      <c r="T894" s="6">
        <v>3758541.37</v>
      </c>
      <c r="U894" s="6">
        <v>2785592.6842960701</v>
      </c>
      <c r="V894" s="6">
        <v>5871777.8027610797</v>
      </c>
      <c r="W894" s="6">
        <v>672356.25153498806</v>
      </c>
      <c r="X894" s="6">
        <v>0</v>
      </c>
      <c r="Y894" s="6">
        <v>0</v>
      </c>
      <c r="Z894" s="6">
        <v>0</v>
      </c>
      <c r="AA894" s="6">
        <v>0</v>
      </c>
      <c r="AB894" s="6">
        <v>0</v>
      </c>
      <c r="AC894" s="6">
        <v>242167.42444835801</v>
      </c>
      <c r="AD894" s="6">
        <v>94571.198075212596</v>
      </c>
      <c r="AE894" s="6">
        <v>0</v>
      </c>
      <c r="AF894" s="6">
        <v>0</v>
      </c>
      <c r="AG894" s="6">
        <v>0</v>
      </c>
      <c r="AH894" s="6">
        <v>0</v>
      </c>
      <c r="AI894" s="6">
        <v>0</v>
      </c>
      <c r="AJ894" s="6">
        <v>6880872.6768196402</v>
      </c>
      <c r="AK894" s="6">
        <v>11682.3513167892</v>
      </c>
      <c r="AL894" s="6">
        <v>330.98244656580999</v>
      </c>
      <c r="AM894" s="6">
        <v>93035.839999999997</v>
      </c>
      <c r="AN894" s="6">
        <v>5301.0966728911799</v>
      </c>
      <c r="AO894" s="6">
        <v>14564.683152096601</v>
      </c>
      <c r="AP894" s="6">
        <v>3753.1860850462999</v>
      </c>
      <c r="AQ894" s="6">
        <v>20687.885194392002</v>
      </c>
      <c r="AR894" s="6">
        <v>11682.3513167892</v>
      </c>
      <c r="AS894" s="6">
        <v>11682.3513167892</v>
      </c>
      <c r="AT894" s="6">
        <v>0</v>
      </c>
      <c r="AU894" t="s">
        <v>2973</v>
      </c>
      <c r="AV894" t="s">
        <v>2973</v>
      </c>
    </row>
    <row r="895" spans="1:48" x14ac:dyDescent="0.45">
      <c r="A895" s="5" t="s">
        <v>1818</v>
      </c>
      <c r="B895">
        <v>2202</v>
      </c>
      <c r="C895" t="s">
        <v>1819</v>
      </c>
      <c r="D895">
        <v>1027</v>
      </c>
      <c r="E895" t="s">
        <v>1820</v>
      </c>
      <c r="F895" t="s">
        <v>2739</v>
      </c>
      <c r="G895" t="s">
        <v>2740</v>
      </c>
      <c r="H895" t="s">
        <v>2741</v>
      </c>
      <c r="I895" t="s">
        <v>2742</v>
      </c>
      <c r="J895">
        <v>124.362745098028</v>
      </c>
      <c r="K895">
        <v>1</v>
      </c>
      <c r="L895">
        <v>1</v>
      </c>
      <c r="M895">
        <v>2</v>
      </c>
      <c r="N895" s="6">
        <v>734696.11</v>
      </c>
      <c r="O895" s="6">
        <v>214483.225494988</v>
      </c>
      <c r="P895" s="6">
        <v>474443.666551442</v>
      </c>
      <c r="Q895" s="6">
        <v>136446.80718463601</v>
      </c>
      <c r="R895" s="6">
        <v>166200.43103647299</v>
      </c>
      <c r="S895" s="6">
        <v>56018.118275287699</v>
      </c>
      <c r="T895" s="6">
        <v>1090552.03</v>
      </c>
      <c r="U895" s="6">
        <v>635718.21026753797</v>
      </c>
      <c r="V895" s="6">
        <v>1524971.7546148601</v>
      </c>
      <c r="W895" s="6">
        <v>201298.48565267501</v>
      </c>
      <c r="X895" s="6">
        <v>0</v>
      </c>
      <c r="Y895" s="6">
        <v>0</v>
      </c>
      <c r="Z895" s="6">
        <v>0</v>
      </c>
      <c r="AA895" s="6">
        <v>0</v>
      </c>
      <c r="AB895" s="6">
        <v>0</v>
      </c>
      <c r="AC895" s="6">
        <v>56018.118275287699</v>
      </c>
      <c r="AD895" s="6">
        <v>0</v>
      </c>
      <c r="AE895" s="6">
        <v>0</v>
      </c>
      <c r="AF895" s="6">
        <v>0</v>
      </c>
      <c r="AG895" s="6">
        <v>0</v>
      </c>
      <c r="AH895" s="6">
        <v>0</v>
      </c>
      <c r="AI895" s="6">
        <v>0</v>
      </c>
      <c r="AJ895" s="6">
        <v>1782288.35854282</v>
      </c>
      <c r="AK895" s="6">
        <v>14331.3687482368</v>
      </c>
      <c r="AL895" s="6">
        <v>330.98244656580999</v>
      </c>
      <c r="AM895" s="6">
        <v>93035.839999999997</v>
      </c>
      <c r="AN895" s="6">
        <v>14331.3687482368</v>
      </c>
      <c r="AO895" s="6">
        <v>16089.5137814382</v>
      </c>
      <c r="AP895" s="6">
        <v>330.98244656580999</v>
      </c>
      <c r="AQ895" s="6">
        <v>93035.839999999997</v>
      </c>
      <c r="AR895" s="6">
        <v>14331.3687482368</v>
      </c>
      <c r="AS895" s="6">
        <v>14331.3687482368</v>
      </c>
      <c r="AT895" s="6">
        <v>0</v>
      </c>
      <c r="AU895" t="s">
        <v>2973</v>
      </c>
      <c r="AV895" t="s">
        <v>2973</v>
      </c>
    </row>
    <row r="896" spans="1:48" x14ac:dyDescent="0.45">
      <c r="A896" s="5" t="s">
        <v>1821</v>
      </c>
      <c r="B896">
        <v>2202</v>
      </c>
      <c r="C896" t="s">
        <v>1819</v>
      </c>
      <c r="D896">
        <v>1028</v>
      </c>
      <c r="E896" t="s">
        <v>1822</v>
      </c>
      <c r="F896" t="s">
        <v>2739</v>
      </c>
      <c r="G896" t="s">
        <v>2744</v>
      </c>
      <c r="H896" t="s">
        <v>2745</v>
      </c>
      <c r="I896" t="s">
        <v>2742</v>
      </c>
      <c r="J896">
        <v>190.47576036715</v>
      </c>
      <c r="K896">
        <v>1</v>
      </c>
      <c r="L896">
        <v>1</v>
      </c>
      <c r="M896">
        <v>2</v>
      </c>
      <c r="N896" s="6">
        <v>1255005.68</v>
      </c>
      <c r="O896" s="6">
        <v>533511.85450501204</v>
      </c>
      <c r="P896" s="6">
        <v>684111.30344855797</v>
      </c>
      <c r="Q896" s="6">
        <v>208983.88281536399</v>
      </c>
      <c r="R896" s="6">
        <v>297251.49896352697</v>
      </c>
      <c r="S896" s="6">
        <v>85798.151724712297</v>
      </c>
      <c r="T896" s="6">
        <v>2005189.11</v>
      </c>
      <c r="U896" s="6">
        <v>973675.10973246198</v>
      </c>
      <c r="V896" s="6">
        <v>2676689.9553851401</v>
      </c>
      <c r="W896" s="6">
        <v>302174.26434732502</v>
      </c>
      <c r="X896" s="6">
        <v>0</v>
      </c>
      <c r="Y896" s="6">
        <v>0</v>
      </c>
      <c r="Z896" s="6">
        <v>0</v>
      </c>
      <c r="AA896" s="6">
        <v>0</v>
      </c>
      <c r="AB896" s="6">
        <v>0</v>
      </c>
      <c r="AC896" s="6">
        <v>85798.151724712297</v>
      </c>
      <c r="AD896" s="6">
        <v>0</v>
      </c>
      <c r="AE896" s="6">
        <v>0</v>
      </c>
      <c r="AF896" s="6">
        <v>0</v>
      </c>
      <c r="AG896" s="6">
        <v>0</v>
      </c>
      <c r="AH896" s="6">
        <v>0</v>
      </c>
      <c r="AI896" s="6">
        <v>0</v>
      </c>
      <c r="AJ896" s="6">
        <v>3064662.37145718</v>
      </c>
      <c r="AK896" s="6">
        <v>16089.5137814382</v>
      </c>
      <c r="AL896" s="6">
        <v>330.98244656580999</v>
      </c>
      <c r="AM896" s="6">
        <v>93035.839999999997</v>
      </c>
      <c r="AN896" s="6">
        <v>14331.3687482368</v>
      </c>
      <c r="AO896" s="6">
        <v>16089.5137814382</v>
      </c>
      <c r="AP896" s="6">
        <v>330.98244656580999</v>
      </c>
      <c r="AQ896" s="6">
        <v>40734.411818744898</v>
      </c>
      <c r="AR896" s="6">
        <v>16089.5137814382</v>
      </c>
      <c r="AS896" s="6">
        <v>16089.5137814382</v>
      </c>
      <c r="AT896" s="6">
        <v>0</v>
      </c>
      <c r="AU896" t="s">
        <v>2973</v>
      </c>
      <c r="AV896" t="s">
        <v>2973</v>
      </c>
    </row>
    <row r="897" spans="1:48" x14ac:dyDescent="0.45">
      <c r="A897" s="5" t="s">
        <v>1823</v>
      </c>
      <c r="B897">
        <v>2016</v>
      </c>
      <c r="C897" t="s">
        <v>1824</v>
      </c>
      <c r="D897">
        <v>347</v>
      </c>
      <c r="E897" t="s">
        <v>1825</v>
      </c>
      <c r="F897" t="s">
        <v>2739</v>
      </c>
      <c r="G897" t="s">
        <v>2740</v>
      </c>
      <c r="H897" t="s">
        <v>2741</v>
      </c>
      <c r="I897" t="s">
        <v>2742</v>
      </c>
      <c r="J897">
        <v>8</v>
      </c>
      <c r="K897">
        <v>0</v>
      </c>
      <c r="L897">
        <v>0</v>
      </c>
      <c r="M897">
        <v>3</v>
      </c>
      <c r="N897" s="6">
        <v>104907.98</v>
      </c>
      <c r="O897" s="6">
        <v>14146.51</v>
      </c>
      <c r="P897" s="6">
        <v>35973.79</v>
      </c>
      <c r="Q897" s="6">
        <v>38011.58</v>
      </c>
      <c r="R897" s="6">
        <v>0</v>
      </c>
      <c r="S897" s="6">
        <v>16146</v>
      </c>
      <c r="T897" s="6">
        <v>193039.86</v>
      </c>
      <c r="U897" s="6">
        <v>0</v>
      </c>
      <c r="V897" s="6">
        <v>181104.08</v>
      </c>
      <c r="W897" s="6">
        <v>11935.78</v>
      </c>
      <c r="X897" s="6">
        <v>0</v>
      </c>
      <c r="Y897" s="6">
        <v>0</v>
      </c>
      <c r="Z897" s="6">
        <v>0</v>
      </c>
      <c r="AA897" s="6">
        <v>0</v>
      </c>
      <c r="AB897" s="6">
        <v>0</v>
      </c>
      <c r="AC897" s="6">
        <v>16146</v>
      </c>
      <c r="AD897" s="6">
        <v>0</v>
      </c>
      <c r="AE897" s="6">
        <v>0</v>
      </c>
      <c r="AF897" s="6">
        <v>0</v>
      </c>
      <c r="AG897" s="6">
        <v>0</v>
      </c>
      <c r="AH897" s="6">
        <v>0</v>
      </c>
      <c r="AI897" s="6">
        <v>0</v>
      </c>
      <c r="AJ897" s="6">
        <v>209185.86</v>
      </c>
      <c r="AK897" s="6">
        <v>26148.232499999998</v>
      </c>
      <c r="AL897" s="6">
        <v>330.98244656580999</v>
      </c>
      <c r="AM897" s="6">
        <v>93035.839999999997</v>
      </c>
      <c r="AN897" s="6">
        <v>26148.232499999998</v>
      </c>
      <c r="AO897" s="6">
        <v>26148.232499999998</v>
      </c>
      <c r="AP897" s="6">
        <v>330.98244656580999</v>
      </c>
      <c r="AQ897" s="6">
        <v>93035.839999999997</v>
      </c>
      <c r="AR897" s="6">
        <v>26148.232499999998</v>
      </c>
      <c r="AS897" s="6">
        <v>26148.232499999998</v>
      </c>
      <c r="AT897" s="6">
        <v>0</v>
      </c>
      <c r="AU897" t="s">
        <v>2973</v>
      </c>
      <c r="AV897" t="s">
        <v>2973</v>
      </c>
    </row>
    <row r="898" spans="1:48" x14ac:dyDescent="0.45">
      <c r="A898" s="5" t="s">
        <v>1826</v>
      </c>
      <c r="B898">
        <v>1897</v>
      </c>
      <c r="C898" t="s">
        <v>1827</v>
      </c>
      <c r="D898">
        <v>15</v>
      </c>
      <c r="E898" t="s">
        <v>1828</v>
      </c>
      <c r="F898" t="s">
        <v>3</v>
      </c>
      <c r="G898" t="s">
        <v>2748</v>
      </c>
      <c r="H898" t="s">
        <v>2745</v>
      </c>
      <c r="I898" t="s">
        <v>2742</v>
      </c>
      <c r="J898">
        <v>207.425394995011</v>
      </c>
      <c r="K898">
        <v>1</v>
      </c>
      <c r="L898">
        <v>1</v>
      </c>
      <c r="M898">
        <v>2</v>
      </c>
      <c r="N898" s="6">
        <v>1982998.6</v>
      </c>
      <c r="O898" s="6">
        <v>400226.87</v>
      </c>
      <c r="P898" s="6">
        <v>1030962.9</v>
      </c>
      <c r="Q898" s="6">
        <v>208676.38</v>
      </c>
      <c r="R898" s="6">
        <v>293711.88</v>
      </c>
      <c r="S898" s="6">
        <v>109152.47</v>
      </c>
      <c r="T898" s="6">
        <v>2203706.04</v>
      </c>
      <c r="U898" s="6">
        <v>1712870.59</v>
      </c>
      <c r="V898" s="6">
        <v>3299755.79</v>
      </c>
      <c r="W898" s="6">
        <v>616820.84</v>
      </c>
      <c r="X898" s="6">
        <v>0</v>
      </c>
      <c r="Y898" s="6">
        <v>0</v>
      </c>
      <c r="Z898" s="6">
        <v>0</v>
      </c>
      <c r="AA898" s="6">
        <v>0</v>
      </c>
      <c r="AB898" s="6">
        <v>0</v>
      </c>
      <c r="AC898" s="6">
        <v>108873.19</v>
      </c>
      <c r="AD898" s="6">
        <v>279.27999999999997</v>
      </c>
      <c r="AE898" s="6">
        <v>0</v>
      </c>
      <c r="AF898" s="6">
        <v>0</v>
      </c>
      <c r="AG898" s="6">
        <v>0</v>
      </c>
      <c r="AH898" s="6">
        <v>0</v>
      </c>
      <c r="AI898" s="6">
        <v>0</v>
      </c>
      <c r="AJ898" s="6">
        <v>4025729.1</v>
      </c>
      <c r="AK898" s="6">
        <v>19408.082120787702</v>
      </c>
      <c r="AL898" s="6">
        <v>330.98244656580999</v>
      </c>
      <c r="AM898" s="6">
        <v>93035.839999999997</v>
      </c>
      <c r="AN898" s="6">
        <v>19408.082120787702</v>
      </c>
      <c r="AO898" s="6">
        <v>19408.082120787702</v>
      </c>
      <c r="AP898" s="6">
        <v>330.98244656580999</v>
      </c>
      <c r="AQ898" s="6">
        <v>56162.493707719797</v>
      </c>
      <c r="AR898" s="6">
        <v>19408.082120787702</v>
      </c>
      <c r="AS898" s="6">
        <v>19408.082120787702</v>
      </c>
      <c r="AT898" s="6">
        <v>0</v>
      </c>
      <c r="AU898" t="s">
        <v>2973</v>
      </c>
      <c r="AV898" t="s">
        <v>2973</v>
      </c>
    </row>
    <row r="899" spans="1:48" x14ac:dyDescent="0.45">
      <c r="A899" s="5" t="s">
        <v>1829</v>
      </c>
      <c r="B899">
        <v>2047</v>
      </c>
      <c r="C899" t="s">
        <v>1830</v>
      </c>
      <c r="D899">
        <v>407</v>
      </c>
      <c r="E899" t="s">
        <v>1831</v>
      </c>
      <c r="F899" t="s">
        <v>2739</v>
      </c>
      <c r="G899" t="s">
        <v>2740</v>
      </c>
      <c r="H899" t="s">
        <v>2745</v>
      </c>
      <c r="I899" t="s">
        <v>2742</v>
      </c>
      <c r="J899">
        <v>16.267087185687</v>
      </c>
      <c r="K899">
        <v>1</v>
      </c>
      <c r="L899">
        <v>2</v>
      </c>
      <c r="M899">
        <v>2</v>
      </c>
      <c r="N899" s="6">
        <v>152054.14568260199</v>
      </c>
      <c r="O899" s="6">
        <v>41942.054883586097</v>
      </c>
      <c r="P899" s="6">
        <v>69425.435819928301</v>
      </c>
      <c r="Q899" s="6">
        <v>103029.527305362</v>
      </c>
      <c r="R899" s="6">
        <v>82018.128995399995</v>
      </c>
      <c r="S899" s="6">
        <v>20070.354507292701</v>
      </c>
      <c r="T899" s="6">
        <v>318895</v>
      </c>
      <c r="U899" s="6">
        <v>129574.29268687899</v>
      </c>
      <c r="V899" s="6">
        <v>401367.51662111899</v>
      </c>
      <c r="W899" s="6">
        <v>47101.776065759703</v>
      </c>
      <c r="X899" s="6">
        <v>0</v>
      </c>
      <c r="Y899" s="6">
        <v>0</v>
      </c>
      <c r="Z899" s="6">
        <v>0</v>
      </c>
      <c r="AA899" s="6">
        <v>0</v>
      </c>
      <c r="AB899" s="6">
        <v>0</v>
      </c>
      <c r="AC899" s="6">
        <v>13006.695046365199</v>
      </c>
      <c r="AD899" s="6">
        <v>7063.6594609274898</v>
      </c>
      <c r="AE899" s="6">
        <v>0</v>
      </c>
      <c r="AF899" s="6">
        <v>0</v>
      </c>
      <c r="AG899" s="6">
        <v>0</v>
      </c>
      <c r="AH899" s="6">
        <v>0</v>
      </c>
      <c r="AI899" s="6">
        <v>0</v>
      </c>
      <c r="AJ899" s="6">
        <v>468539.64719417098</v>
      </c>
      <c r="AK899" s="6">
        <v>28802.922234684302</v>
      </c>
      <c r="AL899" s="6">
        <v>330.98244656580999</v>
      </c>
      <c r="AM899" s="6">
        <v>93035.839999999997</v>
      </c>
      <c r="AN899" s="6">
        <v>9199.2282014594493</v>
      </c>
      <c r="AO899" s="6">
        <v>28802.922234684302</v>
      </c>
      <c r="AP899" s="6">
        <v>330.98244656580999</v>
      </c>
      <c r="AQ899" s="6">
        <v>93035.839999999997</v>
      </c>
      <c r="AR899" s="6">
        <v>28802.922234684302</v>
      </c>
      <c r="AS899" s="6">
        <v>28802.922234684302</v>
      </c>
      <c r="AT899" s="6">
        <v>0</v>
      </c>
      <c r="AU899" t="s">
        <v>2973</v>
      </c>
      <c r="AV899" t="s">
        <v>2973</v>
      </c>
    </row>
    <row r="900" spans="1:48" x14ac:dyDescent="0.45">
      <c r="A900" s="5" t="s">
        <v>1832</v>
      </c>
      <c r="B900">
        <v>2047</v>
      </c>
      <c r="C900" t="s">
        <v>1830</v>
      </c>
      <c r="D900">
        <v>2047</v>
      </c>
      <c r="E900" t="s">
        <v>1830</v>
      </c>
      <c r="F900" t="s">
        <v>1</v>
      </c>
      <c r="G900" t="s">
        <v>1</v>
      </c>
      <c r="H900" t="s">
        <v>2743</v>
      </c>
      <c r="I900" t="s">
        <v>2742</v>
      </c>
      <c r="J900">
        <v>3.9999999999989999</v>
      </c>
      <c r="K900">
        <v>0</v>
      </c>
      <c r="L900">
        <v>0</v>
      </c>
      <c r="M900">
        <v>2</v>
      </c>
      <c r="N900" s="6">
        <v>1313.8543173979101</v>
      </c>
      <c r="O900" s="6">
        <v>2010.94511641389</v>
      </c>
      <c r="P900" s="6">
        <v>77.564180071710595</v>
      </c>
      <c r="Q900" s="6">
        <v>8291.4726946377505</v>
      </c>
      <c r="R900" s="6">
        <v>20167.871004600001</v>
      </c>
      <c r="S900" s="6">
        <v>4935.2054927072904</v>
      </c>
      <c r="T900" s="6">
        <v>0</v>
      </c>
      <c r="U900" s="6">
        <v>31861.7073131213</v>
      </c>
      <c r="V900" s="6">
        <v>30605.483378880999</v>
      </c>
      <c r="W900" s="6">
        <v>1256.2239342403</v>
      </c>
      <c r="X900" s="6">
        <v>0</v>
      </c>
      <c r="Y900" s="6">
        <v>0</v>
      </c>
      <c r="Z900" s="6">
        <v>0</v>
      </c>
      <c r="AA900" s="6">
        <v>0</v>
      </c>
      <c r="AB900" s="6">
        <v>0</v>
      </c>
      <c r="AC900" s="6">
        <v>3198.2849536347799</v>
      </c>
      <c r="AD900" s="6">
        <v>1736.9205390725101</v>
      </c>
      <c r="AE900" s="6">
        <v>0</v>
      </c>
      <c r="AF900" s="6">
        <v>0</v>
      </c>
      <c r="AG900" s="6">
        <v>0</v>
      </c>
      <c r="AH900" s="6">
        <v>0</v>
      </c>
      <c r="AI900" s="6">
        <v>0</v>
      </c>
      <c r="AJ900" s="6">
        <v>36796.912805828601</v>
      </c>
      <c r="AK900" s="6">
        <v>9199.2282014594493</v>
      </c>
      <c r="AL900" s="6">
        <v>330.98244656580999</v>
      </c>
      <c r="AM900" s="6">
        <v>93035.839999999997</v>
      </c>
      <c r="AN900" s="6">
        <v>9199.2282014594493</v>
      </c>
      <c r="AO900" s="6">
        <v>28802.922234684302</v>
      </c>
      <c r="AP900" s="6">
        <v>634.54287297753501</v>
      </c>
      <c r="AQ900" s="6">
        <v>40331.279999999999</v>
      </c>
      <c r="AR900" s="6">
        <v>9199.2282014594493</v>
      </c>
      <c r="AS900" s="6">
        <v>9199.2282014594493</v>
      </c>
      <c r="AT900" s="6">
        <v>0</v>
      </c>
      <c r="AU900" t="s">
        <v>2973</v>
      </c>
      <c r="AV900" t="s">
        <v>2977</v>
      </c>
    </row>
    <row r="901" spans="1:48" x14ac:dyDescent="0.45">
      <c r="A901" s="5" t="s">
        <v>1833</v>
      </c>
      <c r="B901">
        <v>2081</v>
      </c>
      <c r="C901" t="s">
        <v>1834</v>
      </c>
      <c r="D901">
        <v>500</v>
      </c>
      <c r="E901" t="s">
        <v>1835</v>
      </c>
      <c r="F901" t="s">
        <v>2739</v>
      </c>
      <c r="G901" t="s">
        <v>2740</v>
      </c>
      <c r="H901" t="s">
        <v>2741</v>
      </c>
      <c r="I901" t="s">
        <v>2742</v>
      </c>
      <c r="J901">
        <v>436.84796036317198</v>
      </c>
      <c r="K901">
        <v>1</v>
      </c>
      <c r="L901">
        <v>1</v>
      </c>
      <c r="M901">
        <v>1</v>
      </c>
      <c r="N901" s="6">
        <v>2578022.0515410602</v>
      </c>
      <c r="O901" s="6">
        <v>578364.27545958501</v>
      </c>
      <c r="P901" s="6">
        <v>1146564.19956087</v>
      </c>
      <c r="Q901" s="6">
        <v>273011.30092777102</v>
      </c>
      <c r="R901" s="6">
        <v>248763.178123444</v>
      </c>
      <c r="S901" s="6">
        <v>236301.279774011</v>
      </c>
      <c r="T901" s="6">
        <v>3671169.69</v>
      </c>
      <c r="U901" s="6">
        <v>1153555.3156127301</v>
      </c>
      <c r="V901" s="6">
        <v>3803049.8210045001</v>
      </c>
      <c r="W901" s="6">
        <v>1021675.18460823</v>
      </c>
      <c r="X901" s="6">
        <v>0</v>
      </c>
      <c r="Y901" s="6">
        <v>0</v>
      </c>
      <c r="Z901" s="6">
        <v>0</v>
      </c>
      <c r="AA901" s="6">
        <v>0</v>
      </c>
      <c r="AB901" s="6">
        <v>0</v>
      </c>
      <c r="AC901" s="6">
        <v>190529.02525550799</v>
      </c>
      <c r="AD901" s="6">
        <v>45772.2545185036</v>
      </c>
      <c r="AE901" s="6">
        <v>0</v>
      </c>
      <c r="AF901" s="6">
        <v>0</v>
      </c>
      <c r="AG901" s="6">
        <v>0</v>
      </c>
      <c r="AH901" s="6">
        <v>0</v>
      </c>
      <c r="AI901" s="6">
        <v>0</v>
      </c>
      <c r="AJ901" s="6">
        <v>5061026.2853867402</v>
      </c>
      <c r="AK901" s="6">
        <v>11585.326577190101</v>
      </c>
      <c r="AL901" s="6">
        <v>330.98244656580999</v>
      </c>
      <c r="AM901" s="6">
        <v>93035.839999999997</v>
      </c>
      <c r="AN901" s="6">
        <v>3181.5567920502299</v>
      </c>
      <c r="AO901" s="6">
        <v>11969.5837203431</v>
      </c>
      <c r="AP901" s="6">
        <v>330.98244656580999</v>
      </c>
      <c r="AQ901" s="6">
        <v>93035.839999999997</v>
      </c>
      <c r="AR901" s="6">
        <v>11585.326577190101</v>
      </c>
      <c r="AS901" s="6">
        <v>11585.326577190101</v>
      </c>
      <c r="AT901" s="6">
        <v>0</v>
      </c>
      <c r="AU901" t="s">
        <v>2973</v>
      </c>
      <c r="AV901" t="s">
        <v>2973</v>
      </c>
    </row>
    <row r="902" spans="1:48" x14ac:dyDescent="0.45">
      <c r="A902" s="5" t="s">
        <v>1836</v>
      </c>
      <c r="B902">
        <v>2081</v>
      </c>
      <c r="C902" t="s">
        <v>1834</v>
      </c>
      <c r="D902">
        <v>502</v>
      </c>
      <c r="E902" t="s">
        <v>1837</v>
      </c>
      <c r="F902" t="s">
        <v>2739</v>
      </c>
      <c r="G902" t="s">
        <v>2748</v>
      </c>
      <c r="H902" t="s">
        <v>2745</v>
      </c>
      <c r="I902" t="s">
        <v>2742</v>
      </c>
      <c r="J902">
        <v>604.06682220205903</v>
      </c>
      <c r="K902">
        <v>1</v>
      </c>
      <c r="L902">
        <v>1</v>
      </c>
      <c r="M902">
        <v>1</v>
      </c>
      <c r="N902" s="6">
        <v>3468733.3339715102</v>
      </c>
      <c r="O902" s="6">
        <v>1462905.57722327</v>
      </c>
      <c r="P902" s="6">
        <v>1384851.2472902499</v>
      </c>
      <c r="Q902" s="6">
        <v>377438.98934759299</v>
      </c>
      <c r="R902" s="6">
        <v>209745.37975118001</v>
      </c>
      <c r="S902" s="6">
        <v>326753.87344534899</v>
      </c>
      <c r="T902" s="6">
        <v>5308555.5</v>
      </c>
      <c r="U902" s="6">
        <v>1595119.02758381</v>
      </c>
      <c r="V902" s="6">
        <v>5790030.5467694504</v>
      </c>
      <c r="W902" s="6">
        <v>1113643.9808143701</v>
      </c>
      <c r="X902" s="6">
        <v>0</v>
      </c>
      <c r="Y902" s="6">
        <v>0</v>
      </c>
      <c r="Z902" s="6">
        <v>0</v>
      </c>
      <c r="AA902" s="6">
        <v>0</v>
      </c>
      <c r="AB902" s="6">
        <v>0</v>
      </c>
      <c r="AC902" s="6">
        <v>263460.68487459299</v>
      </c>
      <c r="AD902" s="6">
        <v>63293.188570755898</v>
      </c>
      <c r="AE902" s="6">
        <v>0</v>
      </c>
      <c r="AF902" s="6">
        <v>0</v>
      </c>
      <c r="AG902" s="6">
        <v>0</v>
      </c>
      <c r="AH902" s="6">
        <v>0</v>
      </c>
      <c r="AI902" s="6">
        <v>0</v>
      </c>
      <c r="AJ902" s="6">
        <v>7230428.4010291696</v>
      </c>
      <c r="AK902" s="6">
        <v>11969.5837203431</v>
      </c>
      <c r="AL902" s="6">
        <v>330.98244656580999</v>
      </c>
      <c r="AM902" s="6">
        <v>93035.839999999997</v>
      </c>
      <c r="AN902" s="6">
        <v>3181.5567920502299</v>
      </c>
      <c r="AO902" s="6">
        <v>11969.5837203431</v>
      </c>
      <c r="AP902" s="6">
        <v>330.98244656580999</v>
      </c>
      <c r="AQ902" s="6">
        <v>56162.493707719797</v>
      </c>
      <c r="AR902" s="6">
        <v>11969.5837203431</v>
      </c>
      <c r="AS902" s="6">
        <v>11969.5837203431</v>
      </c>
      <c r="AT902" s="6">
        <v>0</v>
      </c>
      <c r="AU902" t="s">
        <v>2973</v>
      </c>
      <c r="AV902" t="s">
        <v>2973</v>
      </c>
    </row>
    <row r="903" spans="1:48" x14ac:dyDescent="0.45">
      <c r="A903" s="5" t="s">
        <v>1838</v>
      </c>
      <c r="B903">
        <v>2081</v>
      </c>
      <c r="C903" t="s">
        <v>1834</v>
      </c>
      <c r="D903">
        <v>2081</v>
      </c>
      <c r="E903" t="s">
        <v>1834</v>
      </c>
      <c r="F903" t="s">
        <v>1</v>
      </c>
      <c r="G903" t="s">
        <v>1</v>
      </c>
      <c r="H903" t="s">
        <v>2743</v>
      </c>
      <c r="I903" t="s">
        <v>2742</v>
      </c>
      <c r="J903">
        <v>2</v>
      </c>
      <c r="K903">
        <v>0</v>
      </c>
      <c r="L903">
        <v>0</v>
      </c>
      <c r="M903">
        <v>1</v>
      </c>
      <c r="N903" s="6">
        <v>132.25448742872001</v>
      </c>
      <c r="O903" s="6">
        <v>564.10731714142003</v>
      </c>
      <c r="P903" s="6">
        <v>2647.51314887734</v>
      </c>
      <c r="Q903" s="6">
        <v>1249.65972463669</v>
      </c>
      <c r="R903" s="6">
        <v>687.73212537635004</v>
      </c>
      <c r="S903" s="6">
        <v>1081.8467806399401</v>
      </c>
      <c r="T903" s="6">
        <v>0</v>
      </c>
      <c r="U903" s="6">
        <v>5281.2668034605204</v>
      </c>
      <c r="V903" s="6">
        <v>4643.2022260621497</v>
      </c>
      <c r="W903" s="6">
        <v>638.06457739837299</v>
      </c>
      <c r="X903" s="6">
        <v>0</v>
      </c>
      <c r="Y903" s="6">
        <v>0</v>
      </c>
      <c r="Z903" s="6">
        <v>0</v>
      </c>
      <c r="AA903" s="6">
        <v>0</v>
      </c>
      <c r="AB903" s="6">
        <v>0</v>
      </c>
      <c r="AC903" s="6">
        <v>872.28986989941302</v>
      </c>
      <c r="AD903" s="6">
        <v>209.55691074052899</v>
      </c>
      <c r="AE903" s="6">
        <v>0</v>
      </c>
      <c r="AF903" s="6">
        <v>0</v>
      </c>
      <c r="AG903" s="6">
        <v>0</v>
      </c>
      <c r="AH903" s="6">
        <v>0</v>
      </c>
      <c r="AI903" s="6">
        <v>0</v>
      </c>
      <c r="AJ903" s="6">
        <v>6363.1135841004598</v>
      </c>
      <c r="AK903" s="6">
        <v>3181.5567920502299</v>
      </c>
      <c r="AL903" s="6">
        <v>330.98244656580999</v>
      </c>
      <c r="AM903" s="6">
        <v>93035.839999999997</v>
      </c>
      <c r="AN903" s="6">
        <v>3181.5567920502299</v>
      </c>
      <c r="AO903" s="6">
        <v>11969.5837203431</v>
      </c>
      <c r="AP903" s="6">
        <v>634.54287297753501</v>
      </c>
      <c r="AQ903" s="6">
        <v>40331.279999999999</v>
      </c>
      <c r="AR903" s="6">
        <v>3181.5567920502299</v>
      </c>
      <c r="AS903" s="6">
        <v>3181.5567920502299</v>
      </c>
      <c r="AT903" s="6">
        <v>0</v>
      </c>
      <c r="AU903" t="s">
        <v>2973</v>
      </c>
      <c r="AV903" t="s">
        <v>2977</v>
      </c>
    </row>
    <row r="904" spans="1:48" x14ac:dyDescent="0.45">
      <c r="A904" s="5" t="s">
        <v>1839</v>
      </c>
      <c r="B904">
        <v>2062</v>
      </c>
      <c r="C904" t="s">
        <v>1840</v>
      </c>
      <c r="D904">
        <v>497</v>
      </c>
      <c r="E904" t="s">
        <v>1841</v>
      </c>
      <c r="F904" t="s">
        <v>2739</v>
      </c>
      <c r="G904" t="s">
        <v>2740</v>
      </c>
      <c r="H904" t="s">
        <v>2741</v>
      </c>
      <c r="I904" t="s">
        <v>2742</v>
      </c>
      <c r="J904">
        <v>4.8117647058820001</v>
      </c>
      <c r="K904">
        <v>0</v>
      </c>
      <c r="L904">
        <v>0</v>
      </c>
      <c r="M904">
        <v>3</v>
      </c>
      <c r="N904" s="6">
        <v>124597</v>
      </c>
      <c r="O904" s="6">
        <v>2092.1789052068898</v>
      </c>
      <c r="P904" s="6">
        <v>65066.300400533197</v>
      </c>
      <c r="Q904" s="6">
        <v>55348</v>
      </c>
      <c r="R904" s="6">
        <v>27234.736982642698</v>
      </c>
      <c r="S904" s="6">
        <v>23711.198905206202</v>
      </c>
      <c r="T904" s="6">
        <v>221219</v>
      </c>
      <c r="U904" s="6">
        <v>53119.216288382697</v>
      </c>
      <c r="V904" s="6">
        <v>248735.216288383</v>
      </c>
      <c r="W904" s="6">
        <v>25603</v>
      </c>
      <c r="X904" s="6">
        <v>0</v>
      </c>
      <c r="Y904" s="6">
        <v>0</v>
      </c>
      <c r="Z904" s="6">
        <v>0</v>
      </c>
      <c r="AA904" s="6">
        <v>0</v>
      </c>
      <c r="AB904" s="6">
        <v>0</v>
      </c>
      <c r="AC904" s="6">
        <v>23463.368931908401</v>
      </c>
      <c r="AD904" s="6">
        <v>247.82997329772201</v>
      </c>
      <c r="AE904" s="6">
        <v>0</v>
      </c>
      <c r="AF904" s="6">
        <v>0</v>
      </c>
      <c r="AG904" s="6">
        <v>0</v>
      </c>
      <c r="AH904" s="6">
        <v>0</v>
      </c>
      <c r="AI904" s="6">
        <v>0</v>
      </c>
      <c r="AJ904" s="6">
        <v>298049.415193589</v>
      </c>
      <c r="AK904" s="6">
        <v>61941.810003562103</v>
      </c>
      <c r="AL904" s="6">
        <v>330.98244656580999</v>
      </c>
      <c r="AM904" s="6">
        <v>93035.839999999997</v>
      </c>
      <c r="AN904" s="6">
        <v>15967.2012016028</v>
      </c>
      <c r="AO904" s="6">
        <v>61941.810003562103</v>
      </c>
      <c r="AP904" s="6">
        <v>330.98244656580999</v>
      </c>
      <c r="AQ904" s="6">
        <v>93035.839999999997</v>
      </c>
      <c r="AR904" s="6">
        <v>61941.810003562103</v>
      </c>
      <c r="AS904" s="6">
        <v>61941.810003562103</v>
      </c>
      <c r="AT904" s="6">
        <v>0</v>
      </c>
      <c r="AU904" t="s">
        <v>2973</v>
      </c>
      <c r="AV904" t="s">
        <v>2973</v>
      </c>
    </row>
    <row r="905" spans="1:48" x14ac:dyDescent="0.45">
      <c r="A905" s="5" t="s">
        <v>1842</v>
      </c>
      <c r="B905">
        <v>2062</v>
      </c>
      <c r="C905" t="s">
        <v>1840</v>
      </c>
      <c r="D905">
        <v>2062</v>
      </c>
      <c r="E905" t="s">
        <v>1840</v>
      </c>
      <c r="F905" t="s">
        <v>1</v>
      </c>
      <c r="G905" t="s">
        <v>1</v>
      </c>
      <c r="H905" t="s">
        <v>2743</v>
      </c>
      <c r="I905" t="s">
        <v>2742</v>
      </c>
      <c r="J905">
        <v>4</v>
      </c>
      <c r="K905">
        <v>0</v>
      </c>
      <c r="L905">
        <v>0</v>
      </c>
      <c r="M905">
        <v>3</v>
      </c>
      <c r="N905" s="6">
        <v>0</v>
      </c>
      <c r="O905" s="6">
        <v>1425.82109479311</v>
      </c>
      <c r="P905" s="6">
        <v>20964.6995994668</v>
      </c>
      <c r="Q905" s="6">
        <v>0</v>
      </c>
      <c r="R905" s="6">
        <v>21767.263017357302</v>
      </c>
      <c r="S905" s="6">
        <v>19711.021094793799</v>
      </c>
      <c r="T905" s="6">
        <v>0</v>
      </c>
      <c r="U905" s="6">
        <v>44157.783711617303</v>
      </c>
      <c r="V905" s="6">
        <v>44157.783711617303</v>
      </c>
      <c r="W905" s="6">
        <v>0</v>
      </c>
      <c r="X905" s="6">
        <v>0</v>
      </c>
      <c r="Y905" s="6">
        <v>0</v>
      </c>
      <c r="Z905" s="6">
        <v>0</v>
      </c>
      <c r="AA905" s="6">
        <v>0</v>
      </c>
      <c r="AB905" s="6">
        <v>0</v>
      </c>
      <c r="AC905" s="6">
        <v>19505.001068091598</v>
      </c>
      <c r="AD905" s="6">
        <v>206.02002670227799</v>
      </c>
      <c r="AE905" s="6">
        <v>0</v>
      </c>
      <c r="AF905" s="6">
        <v>0</v>
      </c>
      <c r="AG905" s="6">
        <v>0</v>
      </c>
      <c r="AH905" s="6">
        <v>0</v>
      </c>
      <c r="AI905" s="6">
        <v>0</v>
      </c>
      <c r="AJ905" s="6">
        <v>63868.804806411099</v>
      </c>
      <c r="AK905" s="6">
        <v>15967.2012016028</v>
      </c>
      <c r="AL905" s="6">
        <v>330.98244656580999</v>
      </c>
      <c r="AM905" s="6">
        <v>93035.839999999997</v>
      </c>
      <c r="AN905" s="6">
        <v>15967.2012016028</v>
      </c>
      <c r="AO905" s="6">
        <v>61941.810003562103</v>
      </c>
      <c r="AP905" s="6">
        <v>634.54287297753501</v>
      </c>
      <c r="AQ905" s="6">
        <v>40331.279999999999</v>
      </c>
      <c r="AR905" s="6">
        <v>15967.2012016028</v>
      </c>
      <c r="AS905" s="6">
        <v>15967.2012016028</v>
      </c>
      <c r="AT905" s="6">
        <v>0</v>
      </c>
      <c r="AU905" t="s">
        <v>2973</v>
      </c>
      <c r="AV905" t="s">
        <v>2977</v>
      </c>
    </row>
    <row r="906" spans="1:48" x14ac:dyDescent="0.45">
      <c r="A906" s="5" t="s">
        <v>1843</v>
      </c>
      <c r="B906">
        <v>1973</v>
      </c>
      <c r="C906" t="s">
        <v>1844</v>
      </c>
      <c r="D906">
        <v>228</v>
      </c>
      <c r="E906" t="s">
        <v>1845</v>
      </c>
      <c r="F906" t="s">
        <v>2739</v>
      </c>
      <c r="G906" t="s">
        <v>2740</v>
      </c>
      <c r="H906" t="s">
        <v>2745</v>
      </c>
      <c r="I906" t="s">
        <v>2742</v>
      </c>
      <c r="J906">
        <v>160.89595375719901</v>
      </c>
      <c r="K906">
        <v>1</v>
      </c>
      <c r="L906">
        <v>1</v>
      </c>
      <c r="M906">
        <v>5</v>
      </c>
      <c r="N906" s="6">
        <v>1182161.00960455</v>
      </c>
      <c r="O906" s="6">
        <v>391603.045822824</v>
      </c>
      <c r="P906" s="6">
        <v>653534.68846917001</v>
      </c>
      <c r="Q906" s="6">
        <v>267180.60323549801</v>
      </c>
      <c r="R906" s="6">
        <v>96110.430058485101</v>
      </c>
      <c r="S906" s="6">
        <v>135035.07208778101</v>
      </c>
      <c r="T906" s="6">
        <v>1285585</v>
      </c>
      <c r="U906" s="6">
        <v>1305004.77719053</v>
      </c>
      <c r="V906" s="6">
        <v>1811357.6928958499</v>
      </c>
      <c r="W906" s="6">
        <v>779232.08429468097</v>
      </c>
      <c r="X906" s="6">
        <v>0</v>
      </c>
      <c r="Y906" s="6">
        <v>0</v>
      </c>
      <c r="Z906" s="6">
        <v>0</v>
      </c>
      <c r="AA906" s="6">
        <v>0</v>
      </c>
      <c r="AB906" s="6">
        <v>0</v>
      </c>
      <c r="AC906" s="6">
        <v>109889.165780436</v>
      </c>
      <c r="AD906" s="6">
        <v>25145.906307345402</v>
      </c>
      <c r="AE906" s="6">
        <v>0</v>
      </c>
      <c r="AF906" s="6">
        <v>0</v>
      </c>
      <c r="AG906" s="6">
        <v>0</v>
      </c>
      <c r="AH906" s="6">
        <v>0</v>
      </c>
      <c r="AI906" s="6">
        <v>0</v>
      </c>
      <c r="AJ906" s="6">
        <v>2725624.8492783098</v>
      </c>
      <c r="AK906" s="6">
        <v>16940.294554525801</v>
      </c>
      <c r="AL906" s="6">
        <v>330.98244656580999</v>
      </c>
      <c r="AM906" s="6">
        <v>93035.839999999997</v>
      </c>
      <c r="AN906" s="6">
        <v>16940.294554525801</v>
      </c>
      <c r="AO906" s="6">
        <v>30353.249568269101</v>
      </c>
      <c r="AP906" s="6">
        <v>330.98244656580999</v>
      </c>
      <c r="AQ906" s="6">
        <v>93035.839999999997</v>
      </c>
      <c r="AR906" s="6">
        <v>16940.294554525801</v>
      </c>
      <c r="AS906" s="6">
        <v>16940.294554525801</v>
      </c>
      <c r="AT906" s="6">
        <v>0</v>
      </c>
      <c r="AU906" t="s">
        <v>2973</v>
      </c>
      <c r="AV906" t="s">
        <v>2973</v>
      </c>
    </row>
    <row r="907" spans="1:48" x14ac:dyDescent="0.45">
      <c r="A907" s="5" t="s">
        <v>1846</v>
      </c>
      <c r="B907">
        <v>1973</v>
      </c>
      <c r="C907" t="s">
        <v>1844</v>
      </c>
      <c r="D907">
        <v>229</v>
      </c>
      <c r="E907" t="s">
        <v>1847</v>
      </c>
      <c r="F907" t="s">
        <v>2739</v>
      </c>
      <c r="G907" t="s">
        <v>2744</v>
      </c>
      <c r="H907" t="s">
        <v>2745</v>
      </c>
      <c r="I907" t="s">
        <v>2742</v>
      </c>
      <c r="J907">
        <v>54.560693641611003</v>
      </c>
      <c r="K907">
        <v>1</v>
      </c>
      <c r="L907">
        <v>1</v>
      </c>
      <c r="M907">
        <v>5</v>
      </c>
      <c r="N907" s="6">
        <v>699534.99039545096</v>
      </c>
      <c r="O907" s="6">
        <v>433967.954177176</v>
      </c>
      <c r="P907" s="6">
        <v>332443.31153082999</v>
      </c>
      <c r="Q907" s="6">
        <v>90602.396764502599</v>
      </c>
      <c r="R907" s="6">
        <v>53754.569941514899</v>
      </c>
      <c r="S907" s="6">
        <v>45791.127912218602</v>
      </c>
      <c r="T907" s="6">
        <v>1167769</v>
      </c>
      <c r="U907" s="6">
        <v>442534.22280947398</v>
      </c>
      <c r="V907" s="6">
        <v>1385412.3071041501</v>
      </c>
      <c r="W907" s="6">
        <v>224890.91570531999</v>
      </c>
      <c r="X907" s="6">
        <v>0</v>
      </c>
      <c r="Y907" s="6">
        <v>0</v>
      </c>
      <c r="Z907" s="6">
        <v>0</v>
      </c>
      <c r="AA907" s="6">
        <v>0</v>
      </c>
      <c r="AB907" s="6">
        <v>0</v>
      </c>
      <c r="AC907" s="6">
        <v>37264.014219564</v>
      </c>
      <c r="AD907" s="6">
        <v>8527.1136926545696</v>
      </c>
      <c r="AE907" s="6">
        <v>0</v>
      </c>
      <c r="AF907" s="6">
        <v>0</v>
      </c>
      <c r="AG907" s="6">
        <v>0</v>
      </c>
      <c r="AH907" s="6">
        <v>0</v>
      </c>
      <c r="AI907" s="6">
        <v>0</v>
      </c>
      <c r="AJ907" s="6">
        <v>1656094.3507216901</v>
      </c>
      <c r="AK907" s="6">
        <v>30353.249568269101</v>
      </c>
      <c r="AL907" s="6">
        <v>330.98244656580999</v>
      </c>
      <c r="AM907" s="6">
        <v>93035.839999999997</v>
      </c>
      <c r="AN907" s="6">
        <v>16940.294554525801</v>
      </c>
      <c r="AO907" s="6">
        <v>30353.249568269101</v>
      </c>
      <c r="AP907" s="6">
        <v>330.98244656580999</v>
      </c>
      <c r="AQ907" s="6">
        <v>40734.411818744898</v>
      </c>
      <c r="AR907" s="6">
        <v>30353.249568269101</v>
      </c>
      <c r="AS907" s="6">
        <v>30353.249568269101</v>
      </c>
      <c r="AT907" s="6">
        <v>0</v>
      </c>
      <c r="AU907" t="s">
        <v>2973</v>
      </c>
      <c r="AV907" t="s">
        <v>2973</v>
      </c>
    </row>
    <row r="908" spans="1:48" x14ac:dyDescent="0.45">
      <c r="A908" s="5" t="s">
        <v>1848</v>
      </c>
      <c r="B908">
        <v>2180</v>
      </c>
      <c r="C908" t="s">
        <v>1849</v>
      </c>
      <c r="D908">
        <v>822</v>
      </c>
      <c r="E908" t="s">
        <v>1850</v>
      </c>
      <c r="F908" t="s">
        <v>2739</v>
      </c>
      <c r="G908" t="s">
        <v>2740</v>
      </c>
      <c r="H908" t="s">
        <v>2741</v>
      </c>
      <c r="I908" t="s">
        <v>2742</v>
      </c>
      <c r="J908">
        <v>521.78276814805895</v>
      </c>
      <c r="K908">
        <v>1</v>
      </c>
      <c r="L908">
        <v>1</v>
      </c>
      <c r="M908">
        <v>2</v>
      </c>
      <c r="N908" s="6">
        <v>4018096.0870924299</v>
      </c>
      <c r="O908" s="6">
        <v>1886717.9033138901</v>
      </c>
      <c r="P908" s="6">
        <v>1221783.00360062</v>
      </c>
      <c r="Q908" s="6">
        <v>408168.88223450701</v>
      </c>
      <c r="R908" s="6">
        <v>168434.308263682</v>
      </c>
      <c r="S908" s="6">
        <v>203704.877100935</v>
      </c>
      <c r="T908" s="6">
        <v>3428661.61</v>
      </c>
      <c r="U908" s="6">
        <v>4274538.5745051298</v>
      </c>
      <c r="V908" s="6">
        <v>6561369.0977821201</v>
      </c>
      <c r="W908" s="6">
        <v>1122358.31261901</v>
      </c>
      <c r="X908" s="6">
        <v>0</v>
      </c>
      <c r="Y908" s="6">
        <v>0</v>
      </c>
      <c r="Z908" s="6">
        <v>0</v>
      </c>
      <c r="AA908" s="6">
        <v>19472.774103997999</v>
      </c>
      <c r="AB908" s="6">
        <v>0</v>
      </c>
      <c r="AC908" s="6">
        <v>203704.877100935</v>
      </c>
      <c r="AD908" s="6">
        <v>0</v>
      </c>
      <c r="AE908" s="6">
        <v>0</v>
      </c>
      <c r="AF908" s="6">
        <v>0</v>
      </c>
      <c r="AG908" s="6">
        <v>0</v>
      </c>
      <c r="AH908" s="6">
        <v>0</v>
      </c>
      <c r="AI908" s="6">
        <v>0</v>
      </c>
      <c r="AJ908" s="6">
        <v>7906905.06160607</v>
      </c>
      <c r="AK908" s="6">
        <v>15153.633934040599</v>
      </c>
      <c r="AL908" s="6">
        <v>330.98244656580999</v>
      </c>
      <c r="AM908" s="6">
        <v>93035.839999999997</v>
      </c>
      <c r="AN908" s="6">
        <v>8582.5821107517404</v>
      </c>
      <c r="AO908" s="6">
        <v>19520.097895265601</v>
      </c>
      <c r="AP908" s="6">
        <v>330.98244656580999</v>
      </c>
      <c r="AQ908" s="6">
        <v>93035.839999999997</v>
      </c>
      <c r="AR908" s="6">
        <v>8582.5821107517404</v>
      </c>
      <c r="AS908" s="6">
        <v>19520.097895265601</v>
      </c>
      <c r="AT908" s="6">
        <v>0</v>
      </c>
      <c r="AU908" t="s">
        <v>2973</v>
      </c>
      <c r="AV908" t="s">
        <v>2973</v>
      </c>
    </row>
    <row r="909" spans="1:48" x14ac:dyDescent="0.45">
      <c r="A909" s="5" t="s">
        <v>1851</v>
      </c>
      <c r="B909">
        <v>2180</v>
      </c>
      <c r="C909" t="s">
        <v>1849</v>
      </c>
      <c r="D909">
        <v>823</v>
      </c>
      <c r="E909" t="s">
        <v>1852</v>
      </c>
      <c r="F909" t="s">
        <v>2739</v>
      </c>
      <c r="G909" t="s">
        <v>2740</v>
      </c>
      <c r="H909" t="s">
        <v>2741</v>
      </c>
      <c r="I909" t="s">
        <v>2742</v>
      </c>
      <c r="J909">
        <v>630.16005876437396</v>
      </c>
      <c r="K909">
        <v>1</v>
      </c>
      <c r="L909">
        <v>1</v>
      </c>
      <c r="M909">
        <v>2</v>
      </c>
      <c r="N909" s="6">
        <v>4705540.4390470199</v>
      </c>
      <c r="O909" s="6">
        <v>2149700.54335404</v>
      </c>
      <c r="P909" s="6">
        <v>1475554.3807606299</v>
      </c>
      <c r="Q909" s="6">
        <v>492947.91341537802</v>
      </c>
      <c r="R909" s="6">
        <v>203419.08562848601</v>
      </c>
      <c r="S909" s="6">
        <v>246015.55505583601</v>
      </c>
      <c r="T909" s="6">
        <v>3864777.47</v>
      </c>
      <c r="U909" s="6">
        <v>5162384.8922055596</v>
      </c>
      <c r="V909" s="6">
        <v>7739904.4555911301</v>
      </c>
      <c r="W909" s="6">
        <v>1263740.52500899</v>
      </c>
      <c r="X909" s="6">
        <v>0</v>
      </c>
      <c r="Y909" s="6">
        <v>0</v>
      </c>
      <c r="Z909" s="6">
        <v>0</v>
      </c>
      <c r="AA909" s="6">
        <v>23517.3816054401</v>
      </c>
      <c r="AB909" s="6">
        <v>0</v>
      </c>
      <c r="AC909" s="6">
        <v>246015.55505583601</v>
      </c>
      <c r="AD909" s="6">
        <v>0</v>
      </c>
      <c r="AE909" s="6">
        <v>0</v>
      </c>
      <c r="AF909" s="6">
        <v>0</v>
      </c>
      <c r="AG909" s="6">
        <v>0</v>
      </c>
      <c r="AH909" s="6">
        <v>0</v>
      </c>
      <c r="AI909" s="6">
        <v>0</v>
      </c>
      <c r="AJ909" s="6">
        <v>9273177.9172614105</v>
      </c>
      <c r="AK909" s="6">
        <v>14715.5913617317</v>
      </c>
      <c r="AL909" s="6">
        <v>330.98244656580999</v>
      </c>
      <c r="AM909" s="6">
        <v>93035.839999999997</v>
      </c>
      <c r="AN909" s="6">
        <v>8582.5821107517404</v>
      </c>
      <c r="AO909" s="6">
        <v>19520.097895265601</v>
      </c>
      <c r="AP909" s="6">
        <v>330.98244656580999</v>
      </c>
      <c r="AQ909" s="6">
        <v>93035.839999999997</v>
      </c>
      <c r="AR909" s="6">
        <v>8582.5821107517404</v>
      </c>
      <c r="AS909" s="6">
        <v>19520.097895265601</v>
      </c>
      <c r="AT909" s="6">
        <v>0</v>
      </c>
      <c r="AU909" t="s">
        <v>2973</v>
      </c>
      <c r="AV909" t="s">
        <v>2973</v>
      </c>
    </row>
    <row r="910" spans="1:48" x14ac:dyDescent="0.45">
      <c r="A910" s="5" t="s">
        <v>1853</v>
      </c>
      <c r="B910">
        <v>2180</v>
      </c>
      <c r="C910" t="s">
        <v>1849</v>
      </c>
      <c r="D910">
        <v>824</v>
      </c>
      <c r="E910" t="s">
        <v>1693</v>
      </c>
      <c r="F910" t="s">
        <v>2739</v>
      </c>
      <c r="G910" t="s">
        <v>2740</v>
      </c>
      <c r="H910" t="s">
        <v>2741</v>
      </c>
      <c r="I910" t="s">
        <v>2742</v>
      </c>
      <c r="J910">
        <v>732.84371849161505</v>
      </c>
      <c r="K910">
        <v>1</v>
      </c>
      <c r="L910">
        <v>1</v>
      </c>
      <c r="M910">
        <v>2</v>
      </c>
      <c r="N910" s="6">
        <v>5259508.3151801303</v>
      </c>
      <c r="O910" s="6">
        <v>2486361.07187805</v>
      </c>
      <c r="P910" s="6">
        <v>1715993.8085469001</v>
      </c>
      <c r="Q910" s="6">
        <v>573273.054782875</v>
      </c>
      <c r="R910" s="6">
        <v>236565.92805397901</v>
      </c>
      <c r="S910" s="6">
        <v>286103.42986100097</v>
      </c>
      <c r="T910" s="6">
        <v>4268114.22</v>
      </c>
      <c r="U910" s="6">
        <v>6003587.9584419401</v>
      </c>
      <c r="V910" s="6">
        <v>8779238.8046152107</v>
      </c>
      <c r="W910" s="6">
        <v>1465113.8692918001</v>
      </c>
      <c r="X910" s="6">
        <v>0</v>
      </c>
      <c r="Y910" s="6">
        <v>0</v>
      </c>
      <c r="Z910" s="6">
        <v>0</v>
      </c>
      <c r="AA910" s="6">
        <v>27349.504534944401</v>
      </c>
      <c r="AB910" s="6">
        <v>0</v>
      </c>
      <c r="AC910" s="6">
        <v>286103.42986100097</v>
      </c>
      <c r="AD910" s="6">
        <v>0</v>
      </c>
      <c r="AE910" s="6">
        <v>0</v>
      </c>
      <c r="AF910" s="6">
        <v>0</v>
      </c>
      <c r="AG910" s="6">
        <v>0</v>
      </c>
      <c r="AH910" s="6">
        <v>0</v>
      </c>
      <c r="AI910" s="6">
        <v>0</v>
      </c>
      <c r="AJ910" s="6">
        <v>10557805.608302999</v>
      </c>
      <c r="AK910" s="6">
        <v>14406.626326870401</v>
      </c>
      <c r="AL910" s="6">
        <v>330.98244656580999</v>
      </c>
      <c r="AM910" s="6">
        <v>93035.839999999997</v>
      </c>
      <c r="AN910" s="6">
        <v>8582.5821107517404</v>
      </c>
      <c r="AO910" s="6">
        <v>19520.097895265601</v>
      </c>
      <c r="AP910" s="6">
        <v>330.98244656580999</v>
      </c>
      <c r="AQ910" s="6">
        <v>93035.839999999997</v>
      </c>
      <c r="AR910" s="6">
        <v>8582.5821107517404</v>
      </c>
      <c r="AS910" s="6">
        <v>19520.097895265601</v>
      </c>
      <c r="AT910" s="6">
        <v>0</v>
      </c>
      <c r="AU910" t="s">
        <v>2973</v>
      </c>
      <c r="AV910" t="s">
        <v>2973</v>
      </c>
    </row>
    <row r="911" spans="1:48" x14ac:dyDescent="0.45">
      <c r="A911" s="5" t="s">
        <v>1854</v>
      </c>
      <c r="B911">
        <v>2180</v>
      </c>
      <c r="C911" t="s">
        <v>1849</v>
      </c>
      <c r="D911">
        <v>4507</v>
      </c>
      <c r="E911" t="s">
        <v>1855</v>
      </c>
      <c r="F911" t="s">
        <v>2750</v>
      </c>
      <c r="G911" t="s">
        <v>2744</v>
      </c>
      <c r="H911" t="s">
        <v>2745</v>
      </c>
      <c r="I911" t="s">
        <v>2742</v>
      </c>
      <c r="J911">
        <v>185.14171703236701</v>
      </c>
      <c r="K911">
        <v>1</v>
      </c>
      <c r="L911">
        <v>2</v>
      </c>
      <c r="M911">
        <v>2</v>
      </c>
      <c r="N911" s="6">
        <v>458225.40402902302</v>
      </c>
      <c r="O911" s="6">
        <v>420376.05873933801</v>
      </c>
      <c r="P911" s="6">
        <v>433519.49687881401</v>
      </c>
      <c r="Q911" s="6">
        <v>144828.63810219901</v>
      </c>
      <c r="R911" s="6">
        <v>59764.750663916901</v>
      </c>
      <c r="S911" s="6">
        <v>72279.640142567601</v>
      </c>
      <c r="T911" s="6">
        <v>0</v>
      </c>
      <c r="U911" s="6">
        <v>1516714.34841329</v>
      </c>
      <c r="V911" s="6">
        <v>1183979.9553181999</v>
      </c>
      <c r="W911" s="6">
        <v>325824.96056285797</v>
      </c>
      <c r="X911" s="6">
        <v>0</v>
      </c>
      <c r="Y911" s="6">
        <v>0</v>
      </c>
      <c r="Z911" s="6">
        <v>0</v>
      </c>
      <c r="AA911" s="6">
        <v>6909.4325322269096</v>
      </c>
      <c r="AB911" s="6">
        <v>0</v>
      </c>
      <c r="AC911" s="6">
        <v>72279.640142567601</v>
      </c>
      <c r="AD911" s="6">
        <v>0</v>
      </c>
      <c r="AE911" s="6">
        <v>0</v>
      </c>
      <c r="AF911" s="6">
        <v>0</v>
      </c>
      <c r="AG911" s="6">
        <v>0</v>
      </c>
      <c r="AH911" s="6">
        <v>0</v>
      </c>
      <c r="AI911" s="6">
        <v>0</v>
      </c>
      <c r="AJ911" s="6">
        <v>1588993.98855586</v>
      </c>
      <c r="AK911" s="6">
        <v>8582.5821107517604</v>
      </c>
      <c r="AL911" s="6">
        <v>330.98244656580999</v>
      </c>
      <c r="AM911" s="6">
        <v>93035.839999999997</v>
      </c>
      <c r="AN911" s="6">
        <v>8582.5821107517404</v>
      </c>
      <c r="AO911" s="6">
        <v>19520.097895265601</v>
      </c>
      <c r="AP911" s="6">
        <v>330.98244656580999</v>
      </c>
      <c r="AQ911" s="6">
        <v>40734.411818744898</v>
      </c>
      <c r="AR911" s="6">
        <v>8582.5821107517604</v>
      </c>
      <c r="AS911" s="6">
        <v>18457.5243447752</v>
      </c>
      <c r="AT911" s="6">
        <v>0</v>
      </c>
      <c r="AU911" t="s">
        <v>2973</v>
      </c>
      <c r="AV911" t="s">
        <v>2976</v>
      </c>
    </row>
    <row r="912" spans="1:48" x14ac:dyDescent="0.45">
      <c r="A912" s="5" t="s">
        <v>1856</v>
      </c>
      <c r="B912">
        <v>2180</v>
      </c>
      <c r="C912" t="s">
        <v>1849</v>
      </c>
      <c r="D912">
        <v>826</v>
      </c>
      <c r="E912" t="s">
        <v>1857</v>
      </c>
      <c r="F912" t="s">
        <v>2739</v>
      </c>
      <c r="G912" t="s">
        <v>2740</v>
      </c>
      <c r="H912" t="s">
        <v>2741</v>
      </c>
      <c r="I912" t="s">
        <v>2742</v>
      </c>
      <c r="J912">
        <v>487.168449860142</v>
      </c>
      <c r="K912">
        <v>1</v>
      </c>
      <c r="L912">
        <v>2</v>
      </c>
      <c r="M912">
        <v>2</v>
      </c>
      <c r="N912" s="6">
        <v>3657356.6239485</v>
      </c>
      <c r="O912" s="6">
        <v>1802285.50932795</v>
      </c>
      <c r="P912" s="6">
        <v>1140731.6765981901</v>
      </c>
      <c r="Q912" s="6">
        <v>381091.54571181198</v>
      </c>
      <c r="R912" s="6">
        <v>157260.61853541201</v>
      </c>
      <c r="S912" s="6">
        <v>190191.38857045199</v>
      </c>
      <c r="T912" s="6">
        <v>3147754.14</v>
      </c>
      <c r="U912" s="6">
        <v>3990971.8341218601</v>
      </c>
      <c r="V912" s="6">
        <v>6231209.9900738802</v>
      </c>
      <c r="W912" s="6">
        <v>889335.00576770795</v>
      </c>
      <c r="X912" s="6">
        <v>0</v>
      </c>
      <c r="Y912" s="6">
        <v>0</v>
      </c>
      <c r="Z912" s="6">
        <v>0</v>
      </c>
      <c r="AA912" s="6">
        <v>18180.978280274601</v>
      </c>
      <c r="AB912" s="6">
        <v>0</v>
      </c>
      <c r="AC912" s="6">
        <v>190191.38857045199</v>
      </c>
      <c r="AD912" s="6">
        <v>0</v>
      </c>
      <c r="AE912" s="6">
        <v>0</v>
      </c>
      <c r="AF912" s="6">
        <v>0</v>
      </c>
      <c r="AG912" s="6">
        <v>0</v>
      </c>
      <c r="AH912" s="6">
        <v>0</v>
      </c>
      <c r="AI912" s="6">
        <v>0</v>
      </c>
      <c r="AJ912" s="6">
        <v>7328917.3626923198</v>
      </c>
      <c r="AK912" s="6">
        <v>15043.908046172401</v>
      </c>
      <c r="AL912" s="6">
        <v>330.98244656580999</v>
      </c>
      <c r="AM912" s="6">
        <v>93035.839999999997</v>
      </c>
      <c r="AN912" s="6">
        <v>8582.5821107517404</v>
      </c>
      <c r="AO912" s="6">
        <v>19520.097895265601</v>
      </c>
      <c r="AP912" s="6">
        <v>330.98244656580999</v>
      </c>
      <c r="AQ912" s="6">
        <v>93035.839999999997</v>
      </c>
      <c r="AR912" s="6">
        <v>8582.5821107517404</v>
      </c>
      <c r="AS912" s="6">
        <v>19520.097895265601</v>
      </c>
      <c r="AT912" s="6">
        <v>0</v>
      </c>
      <c r="AU912" t="s">
        <v>2973</v>
      </c>
      <c r="AV912" t="s">
        <v>2973</v>
      </c>
    </row>
    <row r="913" spans="1:48" x14ac:dyDescent="0.45">
      <c r="A913" s="5" t="s">
        <v>1858</v>
      </c>
      <c r="B913">
        <v>2180</v>
      </c>
      <c r="C913" t="s">
        <v>1849</v>
      </c>
      <c r="D913">
        <v>827</v>
      </c>
      <c r="E913" t="s">
        <v>63</v>
      </c>
      <c r="F913" t="s">
        <v>2739</v>
      </c>
      <c r="G913" t="s">
        <v>2740</v>
      </c>
      <c r="H913" t="s">
        <v>2741</v>
      </c>
      <c r="I913" t="s">
        <v>2742</v>
      </c>
      <c r="J913">
        <v>433.62677367503397</v>
      </c>
      <c r="K913">
        <v>1</v>
      </c>
      <c r="L913">
        <v>1</v>
      </c>
      <c r="M913">
        <v>2</v>
      </c>
      <c r="N913" s="6">
        <v>3350680.7653429802</v>
      </c>
      <c r="O913" s="6">
        <v>1767676.6039021199</v>
      </c>
      <c r="P913" s="6">
        <v>1015360.90174598</v>
      </c>
      <c r="Q913" s="6">
        <v>339208.127064234</v>
      </c>
      <c r="R913" s="6">
        <v>139977.07499578001</v>
      </c>
      <c r="S913" s="6">
        <v>169288.62743524599</v>
      </c>
      <c r="T913" s="6">
        <v>3060554.71</v>
      </c>
      <c r="U913" s="6">
        <v>3552348.7630511099</v>
      </c>
      <c r="V913" s="6">
        <v>5781158.88408079</v>
      </c>
      <c r="W913" s="6">
        <v>815561.76975001395</v>
      </c>
      <c r="X913" s="6">
        <v>0</v>
      </c>
      <c r="Y913" s="6">
        <v>0</v>
      </c>
      <c r="Z913" s="6">
        <v>0</v>
      </c>
      <c r="AA913" s="6">
        <v>16182.819220322401</v>
      </c>
      <c r="AB913" s="6">
        <v>0</v>
      </c>
      <c r="AC913" s="6">
        <v>169288.62743524599</v>
      </c>
      <c r="AD913" s="6">
        <v>0</v>
      </c>
      <c r="AE913" s="6">
        <v>0</v>
      </c>
      <c r="AF913" s="6">
        <v>0</v>
      </c>
      <c r="AG913" s="6">
        <v>0</v>
      </c>
      <c r="AH913" s="6">
        <v>0</v>
      </c>
      <c r="AI913" s="6">
        <v>0</v>
      </c>
      <c r="AJ913" s="6">
        <v>6782192.1004863596</v>
      </c>
      <c r="AK913" s="6">
        <v>15640.621179837501</v>
      </c>
      <c r="AL913" s="6">
        <v>330.98244656580999</v>
      </c>
      <c r="AM913" s="6">
        <v>93035.839999999997</v>
      </c>
      <c r="AN913" s="6">
        <v>8582.5821107517404</v>
      </c>
      <c r="AO913" s="6">
        <v>19520.097895265601</v>
      </c>
      <c r="AP913" s="6">
        <v>330.98244656580999</v>
      </c>
      <c r="AQ913" s="6">
        <v>93035.839999999997</v>
      </c>
      <c r="AR913" s="6">
        <v>8582.5821107517404</v>
      </c>
      <c r="AS913" s="6">
        <v>19520.097895265601</v>
      </c>
      <c r="AT913" s="6">
        <v>0</v>
      </c>
      <c r="AU913" t="s">
        <v>2973</v>
      </c>
      <c r="AV913" t="s">
        <v>2973</v>
      </c>
    </row>
    <row r="914" spans="1:48" x14ac:dyDescent="0.45">
      <c r="A914" s="5" t="s">
        <v>1859</v>
      </c>
      <c r="B914">
        <v>2180</v>
      </c>
      <c r="C914" t="s">
        <v>1849</v>
      </c>
      <c r="D914">
        <v>828</v>
      </c>
      <c r="E914" t="s">
        <v>1860</v>
      </c>
      <c r="F914" t="s">
        <v>2739</v>
      </c>
      <c r="G914" t="s">
        <v>2740</v>
      </c>
      <c r="H914" t="s">
        <v>2741</v>
      </c>
      <c r="I914" t="s">
        <v>2742</v>
      </c>
      <c r="J914">
        <v>415.37810042345001</v>
      </c>
      <c r="K914">
        <v>2</v>
      </c>
      <c r="L914">
        <v>1</v>
      </c>
      <c r="M914">
        <v>2</v>
      </c>
      <c r="N914" s="6">
        <v>3144964.5031122798</v>
      </c>
      <c r="O914" s="6">
        <v>1458776.1291701701</v>
      </c>
      <c r="P914" s="6">
        <v>972630.63126162102</v>
      </c>
      <c r="Q914" s="6">
        <v>324932.95161181601</v>
      </c>
      <c r="R914" s="6">
        <v>134086.30426992799</v>
      </c>
      <c r="S914" s="6">
        <v>162164.31446653101</v>
      </c>
      <c r="T914" s="6">
        <v>2632538.1800000002</v>
      </c>
      <c r="U914" s="6">
        <v>3402852.3394258199</v>
      </c>
      <c r="V914" s="6">
        <v>5276636.0392470304</v>
      </c>
      <c r="W914" s="6">
        <v>743252.69589027704</v>
      </c>
      <c r="X914" s="6">
        <v>0</v>
      </c>
      <c r="Y914" s="6">
        <v>0</v>
      </c>
      <c r="Z914" s="6">
        <v>0</v>
      </c>
      <c r="AA914" s="6">
        <v>15501.784288511601</v>
      </c>
      <c r="AB914" s="6">
        <v>0</v>
      </c>
      <c r="AC914" s="6">
        <v>162164.31446653101</v>
      </c>
      <c r="AD914" s="6">
        <v>0</v>
      </c>
      <c r="AE914" s="6">
        <v>0</v>
      </c>
      <c r="AF914" s="6">
        <v>0</v>
      </c>
      <c r="AG914" s="6">
        <v>0</v>
      </c>
      <c r="AH914" s="6">
        <v>0</v>
      </c>
      <c r="AI914" s="6">
        <v>0</v>
      </c>
      <c r="AJ914" s="6">
        <v>6197554.8338923296</v>
      </c>
      <c r="AK914" s="6">
        <v>14920.2734269678</v>
      </c>
      <c r="AL914" s="6">
        <v>330.98244656580999</v>
      </c>
      <c r="AM914" s="6">
        <v>93035.839999999997</v>
      </c>
      <c r="AN914" s="6">
        <v>8582.5821107517404</v>
      </c>
      <c r="AO914" s="6">
        <v>19520.097895265601</v>
      </c>
      <c r="AP914" s="6">
        <v>330.98244656580999</v>
      </c>
      <c r="AQ914" s="6">
        <v>93035.839999999997</v>
      </c>
      <c r="AR914" s="6">
        <v>8582.5821107517404</v>
      </c>
      <c r="AS914" s="6">
        <v>19520.097895265601</v>
      </c>
      <c r="AT914" s="6">
        <v>0</v>
      </c>
      <c r="AU914" t="s">
        <v>2973</v>
      </c>
      <c r="AV914" t="s">
        <v>2973</v>
      </c>
    </row>
    <row r="915" spans="1:48" x14ac:dyDescent="0.45">
      <c r="A915" s="5" t="s">
        <v>1861</v>
      </c>
      <c r="B915">
        <v>2180</v>
      </c>
      <c r="C915" t="s">
        <v>1849</v>
      </c>
      <c r="D915">
        <v>830</v>
      </c>
      <c r="E915" t="s">
        <v>1862</v>
      </c>
      <c r="F915" t="s">
        <v>2739</v>
      </c>
      <c r="G915" t="s">
        <v>2740</v>
      </c>
      <c r="H915" t="s">
        <v>2741</v>
      </c>
      <c r="I915" t="s">
        <v>2742</v>
      </c>
      <c r="J915">
        <v>430.53309130897799</v>
      </c>
      <c r="K915">
        <v>2</v>
      </c>
      <c r="L915">
        <v>1</v>
      </c>
      <c r="M915">
        <v>2</v>
      </c>
      <c r="N915" s="6">
        <v>3337723.8872623499</v>
      </c>
      <c r="O915" s="6">
        <v>1606684.31107773</v>
      </c>
      <c r="P915" s="6">
        <v>1008116.87460649</v>
      </c>
      <c r="Q915" s="6">
        <v>336788.06846815598</v>
      </c>
      <c r="R915" s="6">
        <v>138978.417544589</v>
      </c>
      <c r="S915" s="6">
        <v>168080.84859578099</v>
      </c>
      <c r="T915" s="6">
        <v>2901286.8</v>
      </c>
      <c r="U915" s="6">
        <v>3527004.7589592999</v>
      </c>
      <c r="V915" s="6">
        <v>5602489.8374920599</v>
      </c>
      <c r="W915" s="6">
        <v>809734.35753126501</v>
      </c>
      <c r="X915" s="6">
        <v>0</v>
      </c>
      <c r="Y915" s="6">
        <v>0</v>
      </c>
      <c r="Z915" s="6">
        <v>0</v>
      </c>
      <c r="AA915" s="6">
        <v>16067.3639359757</v>
      </c>
      <c r="AB915" s="6">
        <v>0</v>
      </c>
      <c r="AC915" s="6">
        <v>168080.84859578099</v>
      </c>
      <c r="AD915" s="6">
        <v>0</v>
      </c>
      <c r="AE915" s="6">
        <v>0</v>
      </c>
      <c r="AF915" s="6">
        <v>0</v>
      </c>
      <c r="AG915" s="6">
        <v>0</v>
      </c>
      <c r="AH915" s="6">
        <v>0</v>
      </c>
      <c r="AI915" s="6">
        <v>0</v>
      </c>
      <c r="AJ915" s="6">
        <v>6596372.40755508</v>
      </c>
      <c r="AK915" s="6">
        <v>15321.4062768084</v>
      </c>
      <c r="AL915" s="6">
        <v>330.98244656580999</v>
      </c>
      <c r="AM915" s="6">
        <v>93035.839999999997</v>
      </c>
      <c r="AN915" s="6">
        <v>8582.5821107517404</v>
      </c>
      <c r="AO915" s="6">
        <v>19520.097895265601</v>
      </c>
      <c r="AP915" s="6">
        <v>330.98244656580999</v>
      </c>
      <c r="AQ915" s="6">
        <v>93035.839999999997</v>
      </c>
      <c r="AR915" s="6">
        <v>8582.5821107517404</v>
      </c>
      <c r="AS915" s="6">
        <v>19520.097895265601</v>
      </c>
      <c r="AT915" s="6">
        <v>0</v>
      </c>
      <c r="AU915" t="s">
        <v>2973</v>
      </c>
      <c r="AV915" t="s">
        <v>2973</v>
      </c>
    </row>
    <row r="916" spans="1:48" x14ac:dyDescent="0.45">
      <c r="A916" s="5" t="s">
        <v>1863</v>
      </c>
      <c r="B916">
        <v>2180</v>
      </c>
      <c r="C916" t="s">
        <v>1849</v>
      </c>
      <c r="D916">
        <v>831</v>
      </c>
      <c r="E916" t="s">
        <v>1864</v>
      </c>
      <c r="F916" t="s">
        <v>2739</v>
      </c>
      <c r="G916" t="s">
        <v>2747</v>
      </c>
      <c r="H916" t="s">
        <v>2745</v>
      </c>
      <c r="I916" t="s">
        <v>2742</v>
      </c>
      <c r="J916">
        <v>570.48275862063895</v>
      </c>
      <c r="K916">
        <v>2</v>
      </c>
      <c r="L916">
        <v>1</v>
      </c>
      <c r="M916">
        <v>2</v>
      </c>
      <c r="N916" s="6">
        <v>4345156.3425979996</v>
      </c>
      <c r="O916" s="6">
        <v>2270900.4230006002</v>
      </c>
      <c r="P916" s="6">
        <v>1335816.70549172</v>
      </c>
      <c r="Q916" s="6">
        <v>446264.85222327401</v>
      </c>
      <c r="R916" s="6">
        <v>184154.92938885</v>
      </c>
      <c r="S916" s="6">
        <v>222717.435927368</v>
      </c>
      <c r="T916" s="6">
        <v>3908795.57</v>
      </c>
      <c r="U916" s="6">
        <v>4673497.6827024398</v>
      </c>
      <c r="V916" s="6">
        <v>7524290.4082967397</v>
      </c>
      <c r="W916" s="6">
        <v>1036712.60147901</v>
      </c>
      <c r="X916" s="6">
        <v>0</v>
      </c>
      <c r="Y916" s="6">
        <v>0</v>
      </c>
      <c r="Z916" s="6">
        <v>0</v>
      </c>
      <c r="AA916" s="6">
        <v>21290.2429267138</v>
      </c>
      <c r="AB916" s="6">
        <v>0</v>
      </c>
      <c r="AC916" s="6">
        <v>222717.435927368</v>
      </c>
      <c r="AD916" s="6">
        <v>0</v>
      </c>
      <c r="AE916" s="6">
        <v>0</v>
      </c>
      <c r="AF916" s="6">
        <v>0</v>
      </c>
      <c r="AG916" s="6">
        <v>0</v>
      </c>
      <c r="AH916" s="6">
        <v>0</v>
      </c>
      <c r="AI916" s="6">
        <v>0</v>
      </c>
      <c r="AJ916" s="6">
        <v>8805010.6886298303</v>
      </c>
      <c r="AK916" s="6">
        <v>15434.315157778499</v>
      </c>
      <c r="AL916" s="6">
        <v>330.98244656580999</v>
      </c>
      <c r="AM916" s="6">
        <v>93035.839999999997</v>
      </c>
      <c r="AN916" s="6">
        <v>8582.5821107517404</v>
      </c>
      <c r="AO916" s="6">
        <v>19520.097895265601</v>
      </c>
      <c r="AP916" s="6">
        <v>3753.1860850462999</v>
      </c>
      <c r="AQ916" s="6">
        <v>20687.885194392002</v>
      </c>
      <c r="AR916" s="6">
        <v>14122.692853946</v>
      </c>
      <c r="AS916" s="6">
        <v>16759.131628278501</v>
      </c>
      <c r="AT916" s="6">
        <v>0</v>
      </c>
      <c r="AU916" t="s">
        <v>2973</v>
      </c>
      <c r="AV916" t="s">
        <v>2973</v>
      </c>
    </row>
    <row r="917" spans="1:48" x14ac:dyDescent="0.45">
      <c r="A917" s="5" t="s">
        <v>1865</v>
      </c>
      <c r="B917">
        <v>2180</v>
      </c>
      <c r="C917" t="s">
        <v>1849</v>
      </c>
      <c r="D917">
        <v>906</v>
      </c>
      <c r="E917" t="s">
        <v>1866</v>
      </c>
      <c r="F917" t="s">
        <v>2739</v>
      </c>
      <c r="G917" t="s">
        <v>2744</v>
      </c>
      <c r="H917" t="s">
        <v>2745</v>
      </c>
      <c r="I917" t="s">
        <v>2742</v>
      </c>
      <c r="J917">
        <v>1004.06792074987</v>
      </c>
      <c r="K917">
        <v>1</v>
      </c>
      <c r="L917">
        <v>1</v>
      </c>
      <c r="M917">
        <v>2</v>
      </c>
      <c r="N917" s="6">
        <v>8453433.8294428103</v>
      </c>
      <c r="O917" s="6">
        <v>4475824.60523808</v>
      </c>
      <c r="P917" s="6">
        <v>2351080.1715182601</v>
      </c>
      <c r="Q917" s="6">
        <v>785440.42831194098</v>
      </c>
      <c r="R917" s="6">
        <v>324118.57195190102</v>
      </c>
      <c r="S917" s="6">
        <v>391989.818144602</v>
      </c>
      <c r="T917" s="6">
        <v>8164392.0499999998</v>
      </c>
      <c r="U917" s="6">
        <v>8225505.5564629696</v>
      </c>
      <c r="V917" s="6">
        <v>14064718.9668399</v>
      </c>
      <c r="W917" s="6">
        <v>2287707.13040624</v>
      </c>
      <c r="X917" s="6">
        <v>0</v>
      </c>
      <c r="Y917" s="6">
        <v>0</v>
      </c>
      <c r="Z917" s="6">
        <v>0</v>
      </c>
      <c r="AA917" s="6">
        <v>37471.509216811297</v>
      </c>
      <c r="AB917" s="6">
        <v>0</v>
      </c>
      <c r="AC917" s="6">
        <v>391989.818144602</v>
      </c>
      <c r="AD917" s="6">
        <v>0</v>
      </c>
      <c r="AE917" s="6">
        <v>0</v>
      </c>
      <c r="AF917" s="6">
        <v>0</v>
      </c>
      <c r="AG917" s="6">
        <v>0</v>
      </c>
      <c r="AH917" s="6">
        <v>0</v>
      </c>
      <c r="AI917" s="6">
        <v>0</v>
      </c>
      <c r="AJ917" s="6">
        <v>16781887.424607601</v>
      </c>
      <c r="AK917" s="6">
        <v>16713.896617744998</v>
      </c>
      <c r="AL917" s="6">
        <v>330.98244656580999</v>
      </c>
      <c r="AM917" s="6">
        <v>93035.839999999997</v>
      </c>
      <c r="AN917" s="6">
        <v>8582.5821107517404</v>
      </c>
      <c r="AO917" s="6">
        <v>19520.097895265601</v>
      </c>
      <c r="AP917" s="6">
        <v>330.98244656580999</v>
      </c>
      <c r="AQ917" s="6">
        <v>40734.411818744898</v>
      </c>
      <c r="AR917" s="6">
        <v>8582.5821107517604</v>
      </c>
      <c r="AS917" s="6">
        <v>18457.5243447752</v>
      </c>
      <c r="AT917" s="6">
        <v>0</v>
      </c>
      <c r="AU917" t="s">
        <v>2973</v>
      </c>
      <c r="AV917" t="s">
        <v>2973</v>
      </c>
    </row>
    <row r="918" spans="1:48" x14ac:dyDescent="0.45">
      <c r="A918" s="5" t="s">
        <v>1867</v>
      </c>
      <c r="B918">
        <v>2180</v>
      </c>
      <c r="C918" t="s">
        <v>1849</v>
      </c>
      <c r="D918">
        <v>857</v>
      </c>
      <c r="E918" t="s">
        <v>1868</v>
      </c>
      <c r="F918" t="s">
        <v>2739</v>
      </c>
      <c r="G918" t="s">
        <v>2740</v>
      </c>
      <c r="H918" t="s">
        <v>2741</v>
      </c>
      <c r="I918" t="s">
        <v>2742</v>
      </c>
      <c r="J918">
        <v>780.73138131757105</v>
      </c>
      <c r="K918">
        <v>1</v>
      </c>
      <c r="L918">
        <v>1</v>
      </c>
      <c r="M918">
        <v>2</v>
      </c>
      <c r="N918" s="6">
        <v>5838960.5012767697</v>
      </c>
      <c r="O918" s="6">
        <v>2712776.3399123601</v>
      </c>
      <c r="P918" s="6">
        <v>1828125.4006471301</v>
      </c>
      <c r="Q918" s="6">
        <v>610733.574757247</v>
      </c>
      <c r="R918" s="6">
        <v>252024.325407886</v>
      </c>
      <c r="S918" s="6">
        <v>304798.85459730501</v>
      </c>
      <c r="T918" s="6">
        <v>4846727.8099999996</v>
      </c>
      <c r="U918" s="6">
        <v>6395892.3320013899</v>
      </c>
      <c r="V918" s="6">
        <v>9762601.2956436705</v>
      </c>
      <c r="W918" s="6">
        <v>1450882.1888206101</v>
      </c>
      <c r="X918" s="6">
        <v>0</v>
      </c>
      <c r="Y918" s="6">
        <v>0</v>
      </c>
      <c r="Z918" s="6">
        <v>0</v>
      </c>
      <c r="AA918" s="6">
        <v>29136.657537118001</v>
      </c>
      <c r="AB918" s="6">
        <v>0</v>
      </c>
      <c r="AC918" s="6">
        <v>304798.85459730501</v>
      </c>
      <c r="AD918" s="6">
        <v>0</v>
      </c>
      <c r="AE918" s="6">
        <v>0</v>
      </c>
      <c r="AF918" s="6">
        <v>0</v>
      </c>
      <c r="AG918" s="6">
        <v>0</v>
      </c>
      <c r="AH918" s="6">
        <v>0</v>
      </c>
      <c r="AI918" s="6">
        <v>0</v>
      </c>
      <c r="AJ918" s="6">
        <v>11547418.9965987</v>
      </c>
      <c r="AK918" s="6">
        <v>14790.5147313422</v>
      </c>
      <c r="AL918" s="6">
        <v>330.98244656580999</v>
      </c>
      <c r="AM918" s="6">
        <v>93035.839999999997</v>
      </c>
      <c r="AN918" s="6">
        <v>8582.5821107517404</v>
      </c>
      <c r="AO918" s="6">
        <v>19520.097895265601</v>
      </c>
      <c r="AP918" s="6">
        <v>330.98244656580999</v>
      </c>
      <c r="AQ918" s="6">
        <v>93035.839999999997</v>
      </c>
      <c r="AR918" s="6">
        <v>8582.5821107517404</v>
      </c>
      <c r="AS918" s="6">
        <v>19520.097895265601</v>
      </c>
      <c r="AT918" s="6">
        <v>0</v>
      </c>
      <c r="AU918" t="s">
        <v>2973</v>
      </c>
      <c r="AV918" t="s">
        <v>2973</v>
      </c>
    </row>
    <row r="919" spans="1:48" x14ac:dyDescent="0.45">
      <c r="A919" s="5" t="s">
        <v>1869</v>
      </c>
      <c r="B919">
        <v>2180</v>
      </c>
      <c r="C919" t="s">
        <v>1849</v>
      </c>
      <c r="D919">
        <v>833</v>
      </c>
      <c r="E919" t="s">
        <v>1870</v>
      </c>
      <c r="F919" t="s">
        <v>2739</v>
      </c>
      <c r="G919" t="s">
        <v>2740</v>
      </c>
      <c r="H919" t="s">
        <v>2741</v>
      </c>
      <c r="I919" t="s">
        <v>2742</v>
      </c>
      <c r="J919">
        <v>305.55236183276497</v>
      </c>
      <c r="K919">
        <v>1</v>
      </c>
      <c r="L919">
        <v>1</v>
      </c>
      <c r="M919">
        <v>2</v>
      </c>
      <c r="N919" s="6">
        <v>3214123.6951251202</v>
      </c>
      <c r="O919" s="6">
        <v>1385352.8257639699</v>
      </c>
      <c r="P919" s="6">
        <v>715467.63363286701</v>
      </c>
      <c r="Q919" s="6">
        <v>239020.86003346901</v>
      </c>
      <c r="R919" s="6">
        <v>98633.960041072904</v>
      </c>
      <c r="S919" s="6">
        <v>119288.159967334</v>
      </c>
      <c r="T919" s="6">
        <v>3149458.9</v>
      </c>
      <c r="U919" s="6">
        <v>2503140.0745965098</v>
      </c>
      <c r="V919" s="6">
        <v>4609803.6570088202</v>
      </c>
      <c r="W919" s="6">
        <v>1031392.1964381899</v>
      </c>
      <c r="X919" s="6">
        <v>0</v>
      </c>
      <c r="Y919" s="6">
        <v>0</v>
      </c>
      <c r="Z919" s="6">
        <v>0</v>
      </c>
      <c r="AA919" s="6">
        <v>11403.1211494975</v>
      </c>
      <c r="AB919" s="6">
        <v>0</v>
      </c>
      <c r="AC919" s="6">
        <v>119288.159967334</v>
      </c>
      <c r="AD919" s="6">
        <v>0</v>
      </c>
      <c r="AE919" s="6">
        <v>0</v>
      </c>
      <c r="AF919" s="6">
        <v>0</v>
      </c>
      <c r="AG919" s="6">
        <v>0</v>
      </c>
      <c r="AH919" s="6">
        <v>0</v>
      </c>
      <c r="AI919" s="6">
        <v>0</v>
      </c>
      <c r="AJ919" s="6">
        <v>5771887.1345638297</v>
      </c>
      <c r="AK919" s="6">
        <v>18890.009882243699</v>
      </c>
      <c r="AL919" s="6">
        <v>330.98244656580999</v>
      </c>
      <c r="AM919" s="6">
        <v>93035.839999999997</v>
      </c>
      <c r="AN919" s="6">
        <v>8582.5821107517404</v>
      </c>
      <c r="AO919" s="6">
        <v>19520.097895265601</v>
      </c>
      <c r="AP919" s="6">
        <v>330.98244656580999</v>
      </c>
      <c r="AQ919" s="6">
        <v>93035.839999999997</v>
      </c>
      <c r="AR919" s="6">
        <v>8582.5821107517404</v>
      </c>
      <c r="AS919" s="6">
        <v>19520.097895265601</v>
      </c>
      <c r="AT919" s="6">
        <v>0</v>
      </c>
      <c r="AU919" t="s">
        <v>2973</v>
      </c>
      <c r="AV919" t="s">
        <v>2973</v>
      </c>
    </row>
    <row r="920" spans="1:48" x14ac:dyDescent="0.45">
      <c r="A920" s="5" t="s">
        <v>1871</v>
      </c>
      <c r="B920">
        <v>2180</v>
      </c>
      <c r="C920" t="s">
        <v>1849</v>
      </c>
      <c r="D920">
        <v>834</v>
      </c>
      <c r="E920" t="s">
        <v>1872</v>
      </c>
      <c r="F920" t="s">
        <v>2739</v>
      </c>
      <c r="G920" t="s">
        <v>2740</v>
      </c>
      <c r="H920" t="s">
        <v>2741</v>
      </c>
      <c r="I920" t="s">
        <v>2742</v>
      </c>
      <c r="J920">
        <v>500.85593718151102</v>
      </c>
      <c r="K920">
        <v>2</v>
      </c>
      <c r="L920">
        <v>1</v>
      </c>
      <c r="M920">
        <v>2</v>
      </c>
      <c r="N920" s="6">
        <v>4312154.0395168299</v>
      </c>
      <c r="O920" s="6">
        <v>2127426.5609393502</v>
      </c>
      <c r="P920" s="6">
        <v>1172781.6797644601</v>
      </c>
      <c r="Q920" s="6">
        <v>391798.69577809598</v>
      </c>
      <c r="R920" s="6">
        <v>161679.01369826001</v>
      </c>
      <c r="S920" s="6">
        <v>195535.006820852</v>
      </c>
      <c r="T920" s="6">
        <v>4062737.79</v>
      </c>
      <c r="U920" s="6">
        <v>4103102.1996969902</v>
      </c>
      <c r="V920" s="6">
        <v>7245359.9435294103</v>
      </c>
      <c r="W920" s="6">
        <v>901788.25502623501</v>
      </c>
      <c r="X920" s="6">
        <v>0</v>
      </c>
      <c r="Y920" s="6">
        <v>0</v>
      </c>
      <c r="Z920" s="6">
        <v>0</v>
      </c>
      <c r="AA920" s="6">
        <v>18691.791141355399</v>
      </c>
      <c r="AB920" s="6">
        <v>0</v>
      </c>
      <c r="AC920" s="6">
        <v>195535.006820852</v>
      </c>
      <c r="AD920" s="6">
        <v>0</v>
      </c>
      <c r="AE920" s="6">
        <v>0</v>
      </c>
      <c r="AF920" s="6">
        <v>0</v>
      </c>
      <c r="AG920" s="6">
        <v>0</v>
      </c>
      <c r="AH920" s="6">
        <v>0</v>
      </c>
      <c r="AI920" s="6">
        <v>0</v>
      </c>
      <c r="AJ920" s="6">
        <v>8361374.9965178603</v>
      </c>
      <c r="AK920" s="6">
        <v>16694.171668544401</v>
      </c>
      <c r="AL920" s="6">
        <v>330.98244656580999</v>
      </c>
      <c r="AM920" s="6">
        <v>93035.839999999997</v>
      </c>
      <c r="AN920" s="6">
        <v>8582.5821107517404</v>
      </c>
      <c r="AO920" s="6">
        <v>19520.097895265601</v>
      </c>
      <c r="AP920" s="6">
        <v>330.98244656580999</v>
      </c>
      <c r="AQ920" s="6">
        <v>93035.839999999997</v>
      </c>
      <c r="AR920" s="6">
        <v>8582.5821107517404</v>
      </c>
      <c r="AS920" s="6">
        <v>19520.097895265601</v>
      </c>
      <c r="AT920" s="6">
        <v>0</v>
      </c>
      <c r="AU920" t="s">
        <v>2973</v>
      </c>
      <c r="AV920" t="s">
        <v>2973</v>
      </c>
    </row>
    <row r="921" spans="1:48" x14ac:dyDescent="0.45">
      <c r="A921" s="5" t="s">
        <v>1873</v>
      </c>
      <c r="B921">
        <v>2180</v>
      </c>
      <c r="C921" t="s">
        <v>1849</v>
      </c>
      <c r="D921">
        <v>835</v>
      </c>
      <c r="E921" t="s">
        <v>1874</v>
      </c>
      <c r="F921" t="s">
        <v>2739</v>
      </c>
      <c r="G921" t="s">
        <v>2740</v>
      </c>
      <c r="H921" t="s">
        <v>2741</v>
      </c>
      <c r="I921" t="s">
        <v>2742</v>
      </c>
      <c r="J921">
        <v>519.01368452000702</v>
      </c>
      <c r="K921">
        <v>1</v>
      </c>
      <c r="L921">
        <v>1</v>
      </c>
      <c r="M921">
        <v>2</v>
      </c>
      <c r="N921" s="6">
        <v>3959617.4402823802</v>
      </c>
      <c r="O921" s="6">
        <v>1930496.8625952799</v>
      </c>
      <c r="P921" s="6">
        <v>1215299.0422304301</v>
      </c>
      <c r="Q921" s="6">
        <v>406002.74368361599</v>
      </c>
      <c r="R921" s="6">
        <v>167540.433046088</v>
      </c>
      <c r="S921" s="6">
        <v>202623.822158978</v>
      </c>
      <c r="T921" s="6">
        <v>3427102.78</v>
      </c>
      <c r="U921" s="6">
        <v>4251853.7418377902</v>
      </c>
      <c r="V921" s="6">
        <v>6622218.88779971</v>
      </c>
      <c r="W921" s="6">
        <v>1037368.20129231</v>
      </c>
      <c r="X921" s="6">
        <v>0</v>
      </c>
      <c r="Y921" s="6">
        <v>0</v>
      </c>
      <c r="Z921" s="6">
        <v>0</v>
      </c>
      <c r="AA921" s="6">
        <v>19369.432745762799</v>
      </c>
      <c r="AB921" s="6">
        <v>0</v>
      </c>
      <c r="AC921" s="6">
        <v>202623.822158978</v>
      </c>
      <c r="AD921" s="6">
        <v>0</v>
      </c>
      <c r="AE921" s="6">
        <v>0</v>
      </c>
      <c r="AF921" s="6">
        <v>0</v>
      </c>
      <c r="AG921" s="6">
        <v>0</v>
      </c>
      <c r="AH921" s="6">
        <v>0</v>
      </c>
      <c r="AI921" s="6">
        <v>0</v>
      </c>
      <c r="AJ921" s="6">
        <v>7881580.3439967697</v>
      </c>
      <c r="AK921" s="6">
        <v>15185.688892357</v>
      </c>
      <c r="AL921" s="6">
        <v>330.98244656580999</v>
      </c>
      <c r="AM921" s="6">
        <v>93035.839999999997</v>
      </c>
      <c r="AN921" s="6">
        <v>8582.5821107517404</v>
      </c>
      <c r="AO921" s="6">
        <v>19520.097895265601</v>
      </c>
      <c r="AP921" s="6">
        <v>330.98244656580999</v>
      </c>
      <c r="AQ921" s="6">
        <v>93035.839999999997</v>
      </c>
      <c r="AR921" s="6">
        <v>8582.5821107517404</v>
      </c>
      <c r="AS921" s="6">
        <v>19520.097895265601</v>
      </c>
      <c r="AT921" s="6">
        <v>0</v>
      </c>
      <c r="AU921" t="s">
        <v>2973</v>
      </c>
      <c r="AV921" t="s">
        <v>2973</v>
      </c>
    </row>
    <row r="922" spans="1:48" x14ac:dyDescent="0.45">
      <c r="A922" s="5" t="s">
        <v>1875</v>
      </c>
      <c r="B922">
        <v>2180</v>
      </c>
      <c r="C922" t="s">
        <v>1849</v>
      </c>
      <c r="D922">
        <v>837</v>
      </c>
      <c r="E922" t="s">
        <v>1876</v>
      </c>
      <c r="F922" t="s">
        <v>2739</v>
      </c>
      <c r="G922" t="s">
        <v>2740</v>
      </c>
      <c r="H922" t="s">
        <v>2741</v>
      </c>
      <c r="I922" t="s">
        <v>2742</v>
      </c>
      <c r="J922">
        <v>445.51828963195902</v>
      </c>
      <c r="K922">
        <v>1</v>
      </c>
      <c r="L922">
        <v>1</v>
      </c>
      <c r="M922">
        <v>2</v>
      </c>
      <c r="N922" s="6">
        <v>3487216.90513707</v>
      </c>
      <c r="O922" s="6">
        <v>1532761.18815928</v>
      </c>
      <c r="P922" s="6">
        <v>1043205.53934255</v>
      </c>
      <c r="Q922" s="6">
        <v>348510.36368933099</v>
      </c>
      <c r="R922" s="6">
        <v>143815.720858924</v>
      </c>
      <c r="S922" s="6">
        <v>173931.09542081499</v>
      </c>
      <c r="T922" s="6">
        <v>2905743.51</v>
      </c>
      <c r="U922" s="6">
        <v>3649766.2071871599</v>
      </c>
      <c r="V922" s="6">
        <v>5704650.9335148698</v>
      </c>
      <c r="W922" s="6">
        <v>834232.17669561005</v>
      </c>
      <c r="X922" s="6">
        <v>0</v>
      </c>
      <c r="Y922" s="6">
        <v>0</v>
      </c>
      <c r="Z922" s="6">
        <v>0</v>
      </c>
      <c r="AA922" s="6">
        <v>16626.606976681502</v>
      </c>
      <c r="AB922" s="6">
        <v>0</v>
      </c>
      <c r="AC922" s="6">
        <v>173931.09542081499</v>
      </c>
      <c r="AD922" s="6">
        <v>0</v>
      </c>
      <c r="AE922" s="6">
        <v>0</v>
      </c>
      <c r="AF922" s="6">
        <v>0</v>
      </c>
      <c r="AG922" s="6">
        <v>0</v>
      </c>
      <c r="AH922" s="6">
        <v>0</v>
      </c>
      <c r="AI922" s="6">
        <v>0</v>
      </c>
      <c r="AJ922" s="6">
        <v>6729440.8126079803</v>
      </c>
      <c r="AK922" s="6">
        <v>15104.7464699309</v>
      </c>
      <c r="AL922" s="6">
        <v>330.98244656580999</v>
      </c>
      <c r="AM922" s="6">
        <v>93035.839999999997</v>
      </c>
      <c r="AN922" s="6">
        <v>8582.5821107517404</v>
      </c>
      <c r="AO922" s="6">
        <v>19520.097895265601</v>
      </c>
      <c r="AP922" s="6">
        <v>330.98244656580999</v>
      </c>
      <c r="AQ922" s="6">
        <v>93035.839999999997</v>
      </c>
      <c r="AR922" s="6">
        <v>8582.5821107517404</v>
      </c>
      <c r="AS922" s="6">
        <v>19520.097895265601</v>
      </c>
      <c r="AT922" s="6">
        <v>0</v>
      </c>
      <c r="AU922" t="s">
        <v>2973</v>
      </c>
      <c r="AV922" t="s">
        <v>2973</v>
      </c>
    </row>
    <row r="923" spans="1:48" x14ac:dyDescent="0.45">
      <c r="A923" s="5" t="s">
        <v>1877</v>
      </c>
      <c r="B923">
        <v>2180</v>
      </c>
      <c r="C923" t="s">
        <v>1849</v>
      </c>
      <c r="D923">
        <v>838</v>
      </c>
      <c r="E923" t="s">
        <v>1878</v>
      </c>
      <c r="F923" t="s">
        <v>2739</v>
      </c>
      <c r="G923" t="s">
        <v>2740</v>
      </c>
      <c r="H923" t="s">
        <v>2741</v>
      </c>
      <c r="I923" t="s">
        <v>2742</v>
      </c>
      <c r="J923">
        <v>440.87709215564001</v>
      </c>
      <c r="K923">
        <v>1</v>
      </c>
      <c r="L923">
        <v>1</v>
      </c>
      <c r="M923">
        <v>2</v>
      </c>
      <c r="N923" s="6">
        <v>3490658.3800474498</v>
      </c>
      <c r="O923" s="6">
        <v>1499643.5937280001</v>
      </c>
      <c r="P923" s="6">
        <v>1032337.92059568</v>
      </c>
      <c r="Q923" s="6">
        <v>344879.74861006701</v>
      </c>
      <c r="R923" s="6">
        <v>142317.51713476999</v>
      </c>
      <c r="S923" s="6">
        <v>172119.16405928301</v>
      </c>
      <c r="T923" s="6">
        <v>2898092.48</v>
      </c>
      <c r="U923" s="6">
        <v>3611744.6801159699</v>
      </c>
      <c r="V923" s="6">
        <v>5674079.6788719697</v>
      </c>
      <c r="W923" s="6">
        <v>819304.08234459499</v>
      </c>
      <c r="X923" s="6">
        <v>0</v>
      </c>
      <c r="Y923" s="6">
        <v>0</v>
      </c>
      <c r="Z923" s="6">
        <v>0</v>
      </c>
      <c r="AA923" s="6">
        <v>16453.3988994022</v>
      </c>
      <c r="AB923" s="6">
        <v>0</v>
      </c>
      <c r="AC923" s="6">
        <v>172119.16405928301</v>
      </c>
      <c r="AD923" s="6">
        <v>0</v>
      </c>
      <c r="AE923" s="6">
        <v>0</v>
      </c>
      <c r="AF923" s="6">
        <v>0</v>
      </c>
      <c r="AG923" s="6">
        <v>0</v>
      </c>
      <c r="AH923" s="6">
        <v>0</v>
      </c>
      <c r="AI923" s="6">
        <v>0</v>
      </c>
      <c r="AJ923" s="6">
        <v>6681956.3241752498</v>
      </c>
      <c r="AK923" s="6">
        <v>15156.0524306316</v>
      </c>
      <c r="AL923" s="6">
        <v>330.98244656580999</v>
      </c>
      <c r="AM923" s="6">
        <v>93035.839999999997</v>
      </c>
      <c r="AN923" s="6">
        <v>8582.5821107517404</v>
      </c>
      <c r="AO923" s="6">
        <v>19520.097895265601</v>
      </c>
      <c r="AP923" s="6">
        <v>330.98244656580999</v>
      </c>
      <c r="AQ923" s="6">
        <v>93035.839999999997</v>
      </c>
      <c r="AR923" s="6">
        <v>8582.5821107517404</v>
      </c>
      <c r="AS923" s="6">
        <v>19520.097895265601</v>
      </c>
      <c r="AT923" s="6">
        <v>0</v>
      </c>
      <c r="AU923" t="s">
        <v>2973</v>
      </c>
      <c r="AV923" t="s">
        <v>2973</v>
      </c>
    </row>
    <row r="924" spans="1:48" x14ac:dyDescent="0.45">
      <c r="A924" s="5" t="s">
        <v>1879</v>
      </c>
      <c r="B924">
        <v>2180</v>
      </c>
      <c r="C924" t="s">
        <v>1849</v>
      </c>
      <c r="D924">
        <v>841</v>
      </c>
      <c r="E924" t="s">
        <v>1880</v>
      </c>
      <c r="F924" t="s">
        <v>2739</v>
      </c>
      <c r="G924" t="s">
        <v>2740</v>
      </c>
      <c r="H924" t="s">
        <v>2741</v>
      </c>
      <c r="I924" t="s">
        <v>2742</v>
      </c>
      <c r="J924">
        <v>545.893950880847</v>
      </c>
      <c r="K924">
        <v>4</v>
      </c>
      <c r="L924">
        <v>1</v>
      </c>
      <c r="M924">
        <v>2</v>
      </c>
      <c r="N924" s="6">
        <v>4624706.5393448602</v>
      </c>
      <c r="O924" s="6">
        <v>2544961.0191599601</v>
      </c>
      <c r="P924" s="6">
        <v>1278240.6619556199</v>
      </c>
      <c r="Q924" s="6">
        <v>427030.05417455401</v>
      </c>
      <c r="R924" s="6">
        <v>176217.528854562</v>
      </c>
      <c r="S924" s="6">
        <v>213117.92370799999</v>
      </c>
      <c r="T924" s="6">
        <v>4579094.07</v>
      </c>
      <c r="U924" s="6">
        <v>4472061.73348956</v>
      </c>
      <c r="V924" s="6">
        <v>7679457.3887887597</v>
      </c>
      <c r="W924" s="6">
        <v>1351325.8185953901</v>
      </c>
      <c r="X924" s="6">
        <v>0</v>
      </c>
      <c r="Y924" s="6">
        <v>0</v>
      </c>
      <c r="Z924" s="6">
        <v>0</v>
      </c>
      <c r="AA924" s="6">
        <v>20372.5961054072</v>
      </c>
      <c r="AB924" s="6">
        <v>0</v>
      </c>
      <c r="AC924" s="6">
        <v>213117.92370799999</v>
      </c>
      <c r="AD924" s="6">
        <v>0</v>
      </c>
      <c r="AE924" s="6">
        <v>0</v>
      </c>
      <c r="AF924" s="6">
        <v>0</v>
      </c>
      <c r="AG924" s="6">
        <v>0</v>
      </c>
      <c r="AH924" s="6">
        <v>0</v>
      </c>
      <c r="AI924" s="6">
        <v>0</v>
      </c>
      <c r="AJ924" s="6">
        <v>9264273.7271975707</v>
      </c>
      <c r="AK924" s="6">
        <v>16970.8305289862</v>
      </c>
      <c r="AL924" s="6">
        <v>330.98244656580999</v>
      </c>
      <c r="AM924" s="6">
        <v>93035.839999999997</v>
      </c>
      <c r="AN924" s="6">
        <v>8582.5821107517404</v>
      </c>
      <c r="AO924" s="6">
        <v>19520.097895265601</v>
      </c>
      <c r="AP924" s="6">
        <v>330.98244656580999</v>
      </c>
      <c r="AQ924" s="6">
        <v>93035.839999999997</v>
      </c>
      <c r="AR924" s="6">
        <v>8582.5821107517404</v>
      </c>
      <c r="AS924" s="6">
        <v>19520.097895265601</v>
      </c>
      <c r="AT924" s="6">
        <v>0</v>
      </c>
      <c r="AU924" t="s">
        <v>2973</v>
      </c>
      <c r="AV924" t="s">
        <v>2973</v>
      </c>
    </row>
    <row r="925" spans="1:48" x14ac:dyDescent="0.45">
      <c r="A925" s="5" t="s">
        <v>1881</v>
      </c>
      <c r="B925">
        <v>2180</v>
      </c>
      <c r="C925" t="s">
        <v>1849</v>
      </c>
      <c r="D925">
        <v>839</v>
      </c>
      <c r="E925" t="s">
        <v>1882</v>
      </c>
      <c r="F925" t="s">
        <v>2739</v>
      </c>
      <c r="G925" t="s">
        <v>2740</v>
      </c>
      <c r="H925" t="s">
        <v>2741</v>
      </c>
      <c r="I925" t="s">
        <v>2742</v>
      </c>
      <c r="J925">
        <v>483.69911385195797</v>
      </c>
      <c r="K925">
        <v>1</v>
      </c>
      <c r="L925">
        <v>1</v>
      </c>
      <c r="M925">
        <v>2</v>
      </c>
      <c r="N925" s="6">
        <v>3722869.03380488</v>
      </c>
      <c r="O925" s="6">
        <v>1901406.37098669</v>
      </c>
      <c r="P925" s="6">
        <v>1132608.03582787</v>
      </c>
      <c r="Q925" s="6">
        <v>378377.62894989498</v>
      </c>
      <c r="R925" s="6">
        <v>156140.69805059701</v>
      </c>
      <c r="S925" s="6">
        <v>188836.95391237101</v>
      </c>
      <c r="T925" s="6">
        <v>3328851.36</v>
      </c>
      <c r="U925" s="6">
        <v>3962550.4076199401</v>
      </c>
      <c r="V925" s="6">
        <v>6347863.8211324196</v>
      </c>
      <c r="W925" s="6">
        <v>925486.44277117099</v>
      </c>
      <c r="X925" s="6">
        <v>0</v>
      </c>
      <c r="Y925" s="6">
        <v>0</v>
      </c>
      <c r="Z925" s="6">
        <v>0</v>
      </c>
      <c r="AA925" s="6">
        <v>18051.503716333002</v>
      </c>
      <c r="AB925" s="6">
        <v>0</v>
      </c>
      <c r="AC925" s="6">
        <v>188836.95391237101</v>
      </c>
      <c r="AD925" s="6">
        <v>0</v>
      </c>
      <c r="AE925" s="6">
        <v>0</v>
      </c>
      <c r="AF925" s="6">
        <v>0</v>
      </c>
      <c r="AG925" s="6">
        <v>0</v>
      </c>
      <c r="AH925" s="6">
        <v>0</v>
      </c>
      <c r="AI925" s="6">
        <v>0</v>
      </c>
      <c r="AJ925" s="6">
        <v>7480238.7215322899</v>
      </c>
      <c r="AK925" s="6">
        <v>15464.652523266201</v>
      </c>
      <c r="AL925" s="6">
        <v>330.98244656580999</v>
      </c>
      <c r="AM925" s="6">
        <v>93035.839999999997</v>
      </c>
      <c r="AN925" s="6">
        <v>8582.5821107517404</v>
      </c>
      <c r="AO925" s="6">
        <v>19520.097895265601</v>
      </c>
      <c r="AP925" s="6">
        <v>330.98244656580999</v>
      </c>
      <c r="AQ925" s="6">
        <v>93035.839999999997</v>
      </c>
      <c r="AR925" s="6">
        <v>8582.5821107517404</v>
      </c>
      <c r="AS925" s="6">
        <v>19520.097895265601</v>
      </c>
      <c r="AT925" s="6">
        <v>0</v>
      </c>
      <c r="AU925" t="s">
        <v>2973</v>
      </c>
      <c r="AV925" t="s">
        <v>2973</v>
      </c>
    </row>
    <row r="926" spans="1:48" x14ac:dyDescent="0.45">
      <c r="A926" s="5" t="s">
        <v>2776</v>
      </c>
      <c r="B926">
        <v>2180</v>
      </c>
      <c r="C926" t="s">
        <v>1849</v>
      </c>
      <c r="D926">
        <v>840</v>
      </c>
      <c r="E926" t="s">
        <v>2777</v>
      </c>
      <c r="F926" t="s">
        <v>2739</v>
      </c>
      <c r="G926" t="s">
        <v>2740</v>
      </c>
      <c r="H926" t="s">
        <v>2741</v>
      </c>
      <c r="I926" t="s">
        <v>2742</v>
      </c>
      <c r="J926">
        <v>355.35945009627102</v>
      </c>
      <c r="K926">
        <v>1</v>
      </c>
      <c r="L926">
        <v>1</v>
      </c>
      <c r="M926">
        <v>2</v>
      </c>
      <c r="N926" s="6">
        <v>2693708.3855964802</v>
      </c>
      <c r="O926" s="6">
        <v>1357558.39148732</v>
      </c>
      <c r="P926" s="6">
        <v>832093.66579405102</v>
      </c>
      <c r="Q926" s="6">
        <v>277982.86641790002</v>
      </c>
      <c r="R926" s="6">
        <v>114711.95833922899</v>
      </c>
      <c r="S926" s="6">
        <v>138732.93164786199</v>
      </c>
      <c r="T926" s="6">
        <v>2364886.54</v>
      </c>
      <c r="U926" s="6">
        <v>2911168.7276349901</v>
      </c>
      <c r="V926" s="6">
        <v>4610921.2099726303</v>
      </c>
      <c r="W926" s="6">
        <v>651872.15113751602</v>
      </c>
      <c r="X926" s="6">
        <v>0</v>
      </c>
      <c r="Y926" s="6">
        <v>0</v>
      </c>
      <c r="Z926" s="6">
        <v>0</v>
      </c>
      <c r="AA926" s="6">
        <v>13261.9065248282</v>
      </c>
      <c r="AB926" s="6">
        <v>0</v>
      </c>
      <c r="AC926" s="6">
        <v>138732.93164786199</v>
      </c>
      <c r="AD926" s="6">
        <v>0</v>
      </c>
      <c r="AE926" s="6">
        <v>0</v>
      </c>
      <c r="AF926" s="6">
        <v>0</v>
      </c>
      <c r="AG926" s="6">
        <v>0</v>
      </c>
      <c r="AH926" s="6">
        <v>0</v>
      </c>
      <c r="AI926" s="6">
        <v>0</v>
      </c>
      <c r="AJ926" s="6">
        <v>5414788.1992828399</v>
      </c>
      <c r="AK926" s="6">
        <v>15237.4959996587</v>
      </c>
      <c r="AL926" s="6">
        <v>330.98244656580999</v>
      </c>
      <c r="AM926" s="6">
        <v>93035.839999999997</v>
      </c>
      <c r="AN926" s="6">
        <v>8582.5821107517404</v>
      </c>
      <c r="AO926" s="6">
        <v>19520.097895265601</v>
      </c>
      <c r="AP926" s="6">
        <v>330.98244656580999</v>
      </c>
      <c r="AQ926" s="6">
        <v>93035.839999999997</v>
      </c>
      <c r="AR926" s="6">
        <v>8582.5821107517404</v>
      </c>
      <c r="AS926" s="6">
        <v>19520.097895265601</v>
      </c>
      <c r="AT926" s="6">
        <v>0</v>
      </c>
      <c r="AU926" t="s">
        <v>2973</v>
      </c>
      <c r="AV926" t="s">
        <v>2973</v>
      </c>
    </row>
    <row r="927" spans="1:48" x14ac:dyDescent="0.45">
      <c r="A927" s="5" t="s">
        <v>1883</v>
      </c>
      <c r="B927">
        <v>2180</v>
      </c>
      <c r="C927" t="s">
        <v>1849</v>
      </c>
      <c r="D927">
        <v>909</v>
      </c>
      <c r="E927" t="s">
        <v>1884</v>
      </c>
      <c r="F927" t="s">
        <v>2739</v>
      </c>
      <c r="G927" t="s">
        <v>2744</v>
      </c>
      <c r="H927" t="s">
        <v>2745</v>
      </c>
      <c r="I927" t="s">
        <v>2742</v>
      </c>
      <c r="J927">
        <v>1586.0099698983299</v>
      </c>
      <c r="K927">
        <v>1</v>
      </c>
      <c r="L927">
        <v>1</v>
      </c>
      <c r="M927">
        <v>2</v>
      </c>
      <c r="N927" s="6">
        <v>11980392.7747047</v>
      </c>
      <c r="O927" s="6">
        <v>6513239.3371339999</v>
      </c>
      <c r="P927" s="6">
        <v>3713729.4350300501</v>
      </c>
      <c r="Q927" s="6">
        <v>1240669.4052466201</v>
      </c>
      <c r="R927" s="6">
        <v>511972.62249052699</v>
      </c>
      <c r="S927" s="6">
        <v>619180.98051739798</v>
      </c>
      <c r="T927" s="6">
        <v>10967123.76</v>
      </c>
      <c r="U927" s="6">
        <v>12992879.814606</v>
      </c>
      <c r="V927" s="6">
        <v>20526543.6460451</v>
      </c>
      <c r="W927" s="6">
        <v>3374270.5191823798</v>
      </c>
      <c r="X927" s="6">
        <v>0</v>
      </c>
      <c r="Y927" s="6">
        <v>0</v>
      </c>
      <c r="Z927" s="6">
        <v>0</v>
      </c>
      <c r="AA927" s="6">
        <v>59189.409378416603</v>
      </c>
      <c r="AB927" s="6">
        <v>0</v>
      </c>
      <c r="AC927" s="6">
        <v>619180.98051739798</v>
      </c>
      <c r="AD927" s="6">
        <v>0</v>
      </c>
      <c r="AE927" s="6">
        <v>0</v>
      </c>
      <c r="AF927" s="6">
        <v>0</v>
      </c>
      <c r="AG927" s="6">
        <v>0</v>
      </c>
      <c r="AH927" s="6">
        <v>0</v>
      </c>
      <c r="AI927" s="6">
        <v>0</v>
      </c>
      <c r="AJ927" s="6">
        <v>24579184.555123299</v>
      </c>
      <c r="AK927" s="6">
        <v>15497.496876831799</v>
      </c>
      <c r="AL927" s="6">
        <v>330.98244656580999</v>
      </c>
      <c r="AM927" s="6">
        <v>93035.839999999997</v>
      </c>
      <c r="AN927" s="6">
        <v>8582.5821107517404</v>
      </c>
      <c r="AO927" s="6">
        <v>19520.097895265601</v>
      </c>
      <c r="AP927" s="6">
        <v>330.98244656580999</v>
      </c>
      <c r="AQ927" s="6">
        <v>40734.411818744898</v>
      </c>
      <c r="AR927" s="6">
        <v>8582.5821107517604</v>
      </c>
      <c r="AS927" s="6">
        <v>18457.5243447752</v>
      </c>
      <c r="AT927" s="6">
        <v>0</v>
      </c>
      <c r="AU927" t="s">
        <v>2973</v>
      </c>
      <c r="AV927" t="s">
        <v>2973</v>
      </c>
    </row>
    <row r="928" spans="1:48" x14ac:dyDescent="0.45">
      <c r="A928" s="5" t="s">
        <v>1885</v>
      </c>
      <c r="B928">
        <v>2180</v>
      </c>
      <c r="C928" t="s">
        <v>1849</v>
      </c>
      <c r="D928">
        <v>4640</v>
      </c>
      <c r="E928" t="s">
        <v>1886</v>
      </c>
      <c r="F928" t="s">
        <v>2739</v>
      </c>
      <c r="G928" t="s">
        <v>2740</v>
      </c>
      <c r="H928" t="s">
        <v>2741</v>
      </c>
      <c r="I928" t="s">
        <v>2742</v>
      </c>
      <c r="J928">
        <v>461.72232304898102</v>
      </c>
      <c r="K928">
        <v>1</v>
      </c>
      <c r="L928">
        <v>1</v>
      </c>
      <c r="M928">
        <v>2</v>
      </c>
      <c r="N928" s="6">
        <v>3543295.9975941898</v>
      </c>
      <c r="O928" s="6">
        <v>1693566.50793986</v>
      </c>
      <c r="P928" s="6">
        <v>1081148.1733796301</v>
      </c>
      <c r="Q928" s="6">
        <v>361186.10273489502</v>
      </c>
      <c r="R928" s="6">
        <v>149046.47075387501</v>
      </c>
      <c r="S928" s="6">
        <v>180257.17753247501</v>
      </c>
      <c r="T928" s="6">
        <v>3045730.68</v>
      </c>
      <c r="U928" s="6">
        <v>3782512.5724024498</v>
      </c>
      <c r="V928" s="6">
        <v>5990889.63124057</v>
      </c>
      <c r="W928" s="6">
        <v>820122.28458974801</v>
      </c>
      <c r="X928" s="6">
        <v>0</v>
      </c>
      <c r="Y928" s="6">
        <v>0</v>
      </c>
      <c r="Z928" s="6">
        <v>0</v>
      </c>
      <c r="AA928" s="6">
        <v>17231.336572147498</v>
      </c>
      <c r="AB928" s="6">
        <v>0</v>
      </c>
      <c r="AC928" s="6">
        <v>180257.17753247501</v>
      </c>
      <c r="AD928" s="6">
        <v>0</v>
      </c>
      <c r="AE928" s="6">
        <v>0</v>
      </c>
      <c r="AF928" s="6">
        <v>0</v>
      </c>
      <c r="AG928" s="6">
        <v>0</v>
      </c>
      <c r="AH928" s="6">
        <v>0</v>
      </c>
      <c r="AI928" s="6">
        <v>0</v>
      </c>
      <c r="AJ928" s="6">
        <v>7008500.4299349403</v>
      </c>
      <c r="AK928" s="6">
        <v>15179.037443228501</v>
      </c>
      <c r="AL928" s="6">
        <v>330.98244656580999</v>
      </c>
      <c r="AM928" s="6">
        <v>93035.839999999997</v>
      </c>
      <c r="AN928" s="6">
        <v>8582.5821107517404</v>
      </c>
      <c r="AO928" s="6">
        <v>19520.097895265601</v>
      </c>
      <c r="AP928" s="6">
        <v>330.98244656580999</v>
      </c>
      <c r="AQ928" s="6">
        <v>93035.839999999997</v>
      </c>
      <c r="AR928" s="6">
        <v>8582.5821107517404</v>
      </c>
      <c r="AS928" s="6">
        <v>19520.097895265601</v>
      </c>
      <c r="AT928" s="6">
        <v>0</v>
      </c>
      <c r="AU928" t="s">
        <v>2973</v>
      </c>
      <c r="AV928" t="s">
        <v>2973</v>
      </c>
    </row>
    <row r="929" spans="1:48" x14ac:dyDescent="0.45">
      <c r="A929" s="5" t="s">
        <v>1887</v>
      </c>
      <c r="B929">
        <v>2180</v>
      </c>
      <c r="C929" t="s">
        <v>1849</v>
      </c>
      <c r="D929">
        <v>843</v>
      </c>
      <c r="E929" t="s">
        <v>1888</v>
      </c>
      <c r="F929" t="s">
        <v>2739</v>
      </c>
      <c r="G929" t="s">
        <v>2740</v>
      </c>
      <c r="H929" t="s">
        <v>2741</v>
      </c>
      <c r="I929" t="s">
        <v>2742</v>
      </c>
      <c r="J929">
        <v>349.53639846740703</v>
      </c>
      <c r="K929">
        <v>1</v>
      </c>
      <c r="L929">
        <v>1</v>
      </c>
      <c r="M929">
        <v>2</v>
      </c>
      <c r="N929" s="6">
        <v>3200780.0836856202</v>
      </c>
      <c r="O929" s="6">
        <v>1324259.0519397</v>
      </c>
      <c r="P929" s="6">
        <v>818458.67065136705</v>
      </c>
      <c r="Q929" s="6">
        <v>273427.736161332</v>
      </c>
      <c r="R929" s="6">
        <v>112832.24568299799</v>
      </c>
      <c r="S929" s="6">
        <v>136459.60242194601</v>
      </c>
      <c r="T929" s="6">
        <v>2866292.55</v>
      </c>
      <c r="U929" s="6">
        <v>2863465.2381210099</v>
      </c>
      <c r="V929" s="6">
        <v>5076886.3664830299</v>
      </c>
      <c r="W929" s="6">
        <v>639826.82962772297</v>
      </c>
      <c r="X929" s="6">
        <v>0</v>
      </c>
      <c r="Y929" s="6">
        <v>0</v>
      </c>
      <c r="Z929" s="6">
        <v>0</v>
      </c>
      <c r="AA929" s="6">
        <v>13044.5920102703</v>
      </c>
      <c r="AB929" s="6">
        <v>0</v>
      </c>
      <c r="AC929" s="6">
        <v>136459.60242194601</v>
      </c>
      <c r="AD929" s="6">
        <v>0</v>
      </c>
      <c r="AE929" s="6">
        <v>0</v>
      </c>
      <c r="AF929" s="6">
        <v>0</v>
      </c>
      <c r="AG929" s="6">
        <v>0</v>
      </c>
      <c r="AH929" s="6">
        <v>0</v>
      </c>
      <c r="AI929" s="6">
        <v>0</v>
      </c>
      <c r="AJ929" s="6">
        <v>5866217.39054297</v>
      </c>
      <c r="AK929" s="6">
        <v>16782.851274614699</v>
      </c>
      <c r="AL929" s="6">
        <v>330.98244656580999</v>
      </c>
      <c r="AM929" s="6">
        <v>93035.839999999997</v>
      </c>
      <c r="AN929" s="6">
        <v>8582.5821107517404</v>
      </c>
      <c r="AO929" s="6">
        <v>19520.097895265601</v>
      </c>
      <c r="AP929" s="6">
        <v>330.98244656580999</v>
      </c>
      <c r="AQ929" s="6">
        <v>93035.839999999997</v>
      </c>
      <c r="AR929" s="6">
        <v>8582.5821107517404</v>
      </c>
      <c r="AS929" s="6">
        <v>19520.097895265601</v>
      </c>
      <c r="AT929" s="6">
        <v>0</v>
      </c>
      <c r="AU929" t="s">
        <v>2973</v>
      </c>
      <c r="AV929" t="s">
        <v>2973</v>
      </c>
    </row>
    <row r="930" spans="1:48" x14ac:dyDescent="0.45">
      <c r="A930" s="5" t="s">
        <v>1889</v>
      </c>
      <c r="B930">
        <v>2180</v>
      </c>
      <c r="C930" t="s">
        <v>1849</v>
      </c>
      <c r="D930">
        <v>1363</v>
      </c>
      <c r="E930" t="s">
        <v>1890</v>
      </c>
      <c r="F930" t="s">
        <v>2739</v>
      </c>
      <c r="G930" t="s">
        <v>2747</v>
      </c>
      <c r="H930" t="s">
        <v>2741</v>
      </c>
      <c r="I930" t="s">
        <v>2742</v>
      </c>
      <c r="J930">
        <v>452.88743842361401</v>
      </c>
      <c r="K930">
        <v>1</v>
      </c>
      <c r="L930">
        <v>1</v>
      </c>
      <c r="M930">
        <v>2</v>
      </c>
      <c r="N930" s="6">
        <v>3339207.0746395499</v>
      </c>
      <c r="O930" s="6">
        <v>1683547.1997737701</v>
      </c>
      <c r="P930" s="6">
        <v>1060460.8058907399</v>
      </c>
      <c r="Q930" s="6">
        <v>354274.94122795999</v>
      </c>
      <c r="R930" s="6">
        <v>146194.522066982</v>
      </c>
      <c r="S930" s="6">
        <v>176808.02359970199</v>
      </c>
      <c r="T930" s="6">
        <v>2873548.94</v>
      </c>
      <c r="U930" s="6">
        <v>3710135.6035989998</v>
      </c>
      <c r="V930" s="6">
        <v>5720528.2872947501</v>
      </c>
      <c r="W930" s="6">
        <v>846254.63493746403</v>
      </c>
      <c r="X930" s="6">
        <v>0</v>
      </c>
      <c r="Y930" s="6">
        <v>0</v>
      </c>
      <c r="Z930" s="6">
        <v>0</v>
      </c>
      <c r="AA930" s="6">
        <v>16901.621366804</v>
      </c>
      <c r="AB930" s="6">
        <v>0</v>
      </c>
      <c r="AC930" s="6">
        <v>176808.02359970199</v>
      </c>
      <c r="AD930" s="6">
        <v>0</v>
      </c>
      <c r="AE930" s="6">
        <v>0</v>
      </c>
      <c r="AF930" s="6">
        <v>0</v>
      </c>
      <c r="AG930" s="6">
        <v>0</v>
      </c>
      <c r="AH930" s="6">
        <v>0</v>
      </c>
      <c r="AI930" s="6">
        <v>0</v>
      </c>
      <c r="AJ930" s="6">
        <v>6760492.5671987198</v>
      </c>
      <c r="AK930" s="6">
        <v>14927.533849758</v>
      </c>
      <c r="AL930" s="6">
        <v>330.98244656580999</v>
      </c>
      <c r="AM930" s="6">
        <v>93035.839999999997</v>
      </c>
      <c r="AN930" s="6">
        <v>8582.5821107517404</v>
      </c>
      <c r="AO930" s="6">
        <v>19520.097895265601</v>
      </c>
      <c r="AP930" s="6">
        <v>3753.1860850462999</v>
      </c>
      <c r="AQ930" s="6">
        <v>20687.885194392002</v>
      </c>
      <c r="AR930" s="6">
        <v>14122.692853946</v>
      </c>
      <c r="AS930" s="6">
        <v>16759.131628278501</v>
      </c>
      <c r="AT930" s="6">
        <v>0</v>
      </c>
      <c r="AU930" t="s">
        <v>2973</v>
      </c>
      <c r="AV930" t="s">
        <v>2973</v>
      </c>
    </row>
    <row r="931" spans="1:48" x14ac:dyDescent="0.45">
      <c r="A931" s="5" t="s">
        <v>2963</v>
      </c>
      <c r="B931">
        <v>2180</v>
      </c>
      <c r="C931" t="s">
        <v>1849</v>
      </c>
      <c r="D931">
        <v>866</v>
      </c>
      <c r="E931" t="s">
        <v>2964</v>
      </c>
      <c r="F931" t="s">
        <v>2739</v>
      </c>
      <c r="G931" t="s">
        <v>2740</v>
      </c>
      <c r="H931" t="s">
        <v>2741</v>
      </c>
      <c r="I931" t="s">
        <v>2742</v>
      </c>
      <c r="J931">
        <v>311.28270048492999</v>
      </c>
      <c r="K931">
        <v>2</v>
      </c>
      <c r="L931">
        <v>1</v>
      </c>
      <c r="M931">
        <v>2</v>
      </c>
      <c r="N931" s="6">
        <v>3278948.0725917201</v>
      </c>
      <c r="O931" s="6">
        <v>1602922.67459384</v>
      </c>
      <c r="P931" s="6">
        <v>728885.53624958196</v>
      </c>
      <c r="Q931" s="6">
        <v>243503.464797864</v>
      </c>
      <c r="R931" s="6">
        <v>100483.744445452</v>
      </c>
      <c r="S931" s="6">
        <v>121525.293889999</v>
      </c>
      <c r="T931" s="6">
        <v>3404659.45</v>
      </c>
      <c r="U931" s="6">
        <v>2550084.04267846</v>
      </c>
      <c r="V931" s="6">
        <v>4875783.9516759999</v>
      </c>
      <c r="W931" s="6">
        <v>1067342.56535848</v>
      </c>
      <c r="X931" s="6">
        <v>0</v>
      </c>
      <c r="Y931" s="6">
        <v>0</v>
      </c>
      <c r="Z931" s="6">
        <v>0</v>
      </c>
      <c r="AA931" s="6">
        <v>11616.975643981999</v>
      </c>
      <c r="AB931" s="6">
        <v>0</v>
      </c>
      <c r="AC931" s="6">
        <v>121525.293889999</v>
      </c>
      <c r="AD931" s="6">
        <v>0</v>
      </c>
      <c r="AE931" s="6">
        <v>0</v>
      </c>
      <c r="AF931" s="6">
        <v>0</v>
      </c>
      <c r="AG931" s="6">
        <v>0</v>
      </c>
      <c r="AH931" s="6">
        <v>0</v>
      </c>
      <c r="AI931" s="6">
        <v>0</v>
      </c>
      <c r="AJ931" s="6">
        <v>6076268.7865684601</v>
      </c>
      <c r="AK931" s="6">
        <v>19520.097895265601</v>
      </c>
      <c r="AL931" s="6">
        <v>330.98244656580999</v>
      </c>
      <c r="AM931" s="6">
        <v>93035.839999999997</v>
      </c>
      <c r="AN931" s="6">
        <v>8582.5821107517404</v>
      </c>
      <c r="AO931" s="6">
        <v>19520.097895265601</v>
      </c>
      <c r="AP931" s="6">
        <v>330.98244656580999</v>
      </c>
      <c r="AQ931" s="6">
        <v>93035.839999999997</v>
      </c>
      <c r="AR931" s="6">
        <v>8582.5821107517404</v>
      </c>
      <c r="AS931" s="6">
        <v>19520.097895265601</v>
      </c>
      <c r="AT931" s="6">
        <v>0</v>
      </c>
      <c r="AU931" t="s">
        <v>2973</v>
      </c>
      <c r="AV931" t="s">
        <v>2973</v>
      </c>
    </row>
    <row r="932" spans="1:48" x14ac:dyDescent="0.45">
      <c r="A932" s="5" t="s">
        <v>1891</v>
      </c>
      <c r="B932">
        <v>2180</v>
      </c>
      <c r="C932" t="s">
        <v>1849</v>
      </c>
      <c r="D932">
        <v>844</v>
      </c>
      <c r="E932" t="s">
        <v>1892</v>
      </c>
      <c r="F932" t="s">
        <v>2739</v>
      </c>
      <c r="G932" t="s">
        <v>2740</v>
      </c>
      <c r="H932" t="s">
        <v>2741</v>
      </c>
      <c r="I932" t="s">
        <v>2742</v>
      </c>
      <c r="J932">
        <v>508.09326477109602</v>
      </c>
      <c r="K932">
        <v>1</v>
      </c>
      <c r="L932">
        <v>1</v>
      </c>
      <c r="M932">
        <v>2</v>
      </c>
      <c r="N932" s="6">
        <v>3857252.24179027</v>
      </c>
      <c r="O932" s="6">
        <v>1714293.96411988</v>
      </c>
      <c r="P932" s="6">
        <v>1189728.2797294799</v>
      </c>
      <c r="Q932" s="6">
        <v>397460.155092075</v>
      </c>
      <c r="R932" s="6">
        <v>164015.26230715099</v>
      </c>
      <c r="S932" s="6">
        <v>198360.471779015</v>
      </c>
      <c r="T932" s="6">
        <v>3160358.21</v>
      </c>
      <c r="U932" s="6">
        <v>4162391.6930388398</v>
      </c>
      <c r="V932" s="6">
        <v>6250907.8316655103</v>
      </c>
      <c r="W932" s="6">
        <v>1052880.1853690101</v>
      </c>
      <c r="X932" s="6">
        <v>0</v>
      </c>
      <c r="Y932" s="6">
        <v>0</v>
      </c>
      <c r="Z932" s="6">
        <v>0</v>
      </c>
      <c r="AA932" s="6">
        <v>18961.886004336098</v>
      </c>
      <c r="AB932" s="6">
        <v>0</v>
      </c>
      <c r="AC932" s="6">
        <v>198360.471779015</v>
      </c>
      <c r="AD932" s="6">
        <v>0</v>
      </c>
      <c r="AE932" s="6">
        <v>0</v>
      </c>
      <c r="AF932" s="6">
        <v>0</v>
      </c>
      <c r="AG932" s="6">
        <v>0</v>
      </c>
      <c r="AH932" s="6">
        <v>0</v>
      </c>
      <c r="AI932" s="6">
        <v>0</v>
      </c>
      <c r="AJ932" s="6">
        <v>7521110.3748178696</v>
      </c>
      <c r="AK932" s="6">
        <v>14802.617740280901</v>
      </c>
      <c r="AL932" s="6">
        <v>330.98244656580999</v>
      </c>
      <c r="AM932" s="6">
        <v>93035.839999999997</v>
      </c>
      <c r="AN932" s="6">
        <v>8582.5821107517404</v>
      </c>
      <c r="AO932" s="6">
        <v>19520.097895265601</v>
      </c>
      <c r="AP932" s="6">
        <v>330.98244656580999</v>
      </c>
      <c r="AQ932" s="6">
        <v>93035.839999999997</v>
      </c>
      <c r="AR932" s="6">
        <v>8582.5821107517404</v>
      </c>
      <c r="AS932" s="6">
        <v>19520.097895265601</v>
      </c>
      <c r="AT932" s="6">
        <v>0</v>
      </c>
      <c r="AU932" t="s">
        <v>2973</v>
      </c>
      <c r="AV932" t="s">
        <v>2973</v>
      </c>
    </row>
    <row r="933" spans="1:48" x14ac:dyDescent="0.45">
      <c r="A933" s="5" t="s">
        <v>1893</v>
      </c>
      <c r="B933">
        <v>2180</v>
      </c>
      <c r="C933" t="s">
        <v>1849</v>
      </c>
      <c r="D933">
        <v>3991</v>
      </c>
      <c r="E933" t="s">
        <v>1894</v>
      </c>
      <c r="F933" t="s">
        <v>3</v>
      </c>
      <c r="G933" t="s">
        <v>2740</v>
      </c>
      <c r="H933" t="s">
        <v>2741</v>
      </c>
      <c r="I933" t="s">
        <v>2742</v>
      </c>
      <c r="J933">
        <v>139.04468744010001</v>
      </c>
      <c r="K933">
        <v>1</v>
      </c>
      <c r="L933">
        <v>1</v>
      </c>
      <c r="M933">
        <v>2</v>
      </c>
      <c r="N933" s="6">
        <v>344135.34184297599</v>
      </c>
      <c r="O933" s="6">
        <v>315709.81749344902</v>
      </c>
      <c r="P933" s="6">
        <v>325580.77082198602</v>
      </c>
      <c r="Q933" s="6">
        <v>108768.85577211699</v>
      </c>
      <c r="R933" s="6">
        <v>44884.379432146401</v>
      </c>
      <c r="S933" s="6">
        <v>54283.281655799103</v>
      </c>
      <c r="T933" s="6">
        <v>0</v>
      </c>
      <c r="U933" s="6">
        <v>1139079.1653626701</v>
      </c>
      <c r="V933" s="6">
        <v>889189.78100318206</v>
      </c>
      <c r="W933" s="6">
        <v>244700.27894213199</v>
      </c>
      <c r="X933" s="6">
        <v>0</v>
      </c>
      <c r="Y933" s="6">
        <v>0</v>
      </c>
      <c r="Z933" s="6">
        <v>0</v>
      </c>
      <c r="AA933" s="6">
        <v>5189.1054173598004</v>
      </c>
      <c r="AB933" s="6">
        <v>0</v>
      </c>
      <c r="AC933" s="6">
        <v>54283.281655799103</v>
      </c>
      <c r="AD933" s="6">
        <v>0</v>
      </c>
      <c r="AE933" s="6">
        <v>0</v>
      </c>
      <c r="AF933" s="6">
        <v>0</v>
      </c>
      <c r="AG933" s="6">
        <v>0</v>
      </c>
      <c r="AH933" s="6">
        <v>0</v>
      </c>
      <c r="AI933" s="6">
        <v>0</v>
      </c>
      <c r="AJ933" s="6">
        <v>1193362.4470184699</v>
      </c>
      <c r="AK933" s="6">
        <v>8582.5821107517495</v>
      </c>
      <c r="AL933" s="6">
        <v>330.98244656580999</v>
      </c>
      <c r="AM933" s="6">
        <v>93035.839999999997</v>
      </c>
      <c r="AN933" s="6">
        <v>8582.5821107517404</v>
      </c>
      <c r="AO933" s="6">
        <v>19520.097895265601</v>
      </c>
      <c r="AP933" s="6">
        <v>330.98244656580999</v>
      </c>
      <c r="AQ933" s="6">
        <v>93035.839999999997</v>
      </c>
      <c r="AR933" s="6">
        <v>8582.5821107517404</v>
      </c>
      <c r="AS933" s="6">
        <v>19520.097895265601</v>
      </c>
      <c r="AT933" s="6">
        <v>0</v>
      </c>
      <c r="AU933" t="s">
        <v>2973</v>
      </c>
      <c r="AV933" t="s">
        <v>2976</v>
      </c>
    </row>
    <row r="934" spans="1:48" x14ac:dyDescent="0.45">
      <c r="A934" s="5" t="s">
        <v>1895</v>
      </c>
      <c r="B934">
        <v>2180</v>
      </c>
      <c r="C934" t="s">
        <v>1849</v>
      </c>
      <c r="D934">
        <v>847</v>
      </c>
      <c r="E934" t="s">
        <v>1896</v>
      </c>
      <c r="F934" t="s">
        <v>2739</v>
      </c>
      <c r="G934" t="s">
        <v>2740</v>
      </c>
      <c r="H934" t="s">
        <v>2741</v>
      </c>
      <c r="I934" t="s">
        <v>2742</v>
      </c>
      <c r="J934">
        <v>681.06485962748695</v>
      </c>
      <c r="K934">
        <v>2</v>
      </c>
      <c r="L934">
        <v>1</v>
      </c>
      <c r="M934">
        <v>2</v>
      </c>
      <c r="N934" s="6">
        <v>5540147.1561531704</v>
      </c>
      <c r="O934" s="6">
        <v>2863913.3854394602</v>
      </c>
      <c r="P934" s="6">
        <v>1594750.7672510699</v>
      </c>
      <c r="Q934" s="6">
        <v>532768.61455200799</v>
      </c>
      <c r="R934" s="6">
        <v>219851.43150895799</v>
      </c>
      <c r="S934" s="6">
        <v>265888.875595861</v>
      </c>
      <c r="T934" s="6">
        <v>5172025.1500000004</v>
      </c>
      <c r="U934" s="6">
        <v>5579406.2049046597</v>
      </c>
      <c r="V934" s="6">
        <v>8442225.0927728303</v>
      </c>
      <c r="W934" s="6">
        <v>2283789.1288509299</v>
      </c>
      <c r="X934" s="6">
        <v>0</v>
      </c>
      <c r="Y934" s="6">
        <v>0</v>
      </c>
      <c r="Z934" s="6">
        <v>0</v>
      </c>
      <c r="AA934" s="6">
        <v>25417.133280901999</v>
      </c>
      <c r="AB934" s="6">
        <v>0</v>
      </c>
      <c r="AC934" s="6">
        <v>265888.875595861</v>
      </c>
      <c r="AD934" s="6">
        <v>0</v>
      </c>
      <c r="AE934" s="6">
        <v>0</v>
      </c>
      <c r="AF934" s="6">
        <v>0</v>
      </c>
      <c r="AG934" s="6">
        <v>0</v>
      </c>
      <c r="AH934" s="6">
        <v>0</v>
      </c>
      <c r="AI934" s="6">
        <v>0</v>
      </c>
      <c r="AJ934" s="6">
        <v>11017320.230500501</v>
      </c>
      <c r="AK934" s="6">
        <v>16176.609429719399</v>
      </c>
      <c r="AL934" s="6">
        <v>330.98244656580999</v>
      </c>
      <c r="AM934" s="6">
        <v>93035.839999999997</v>
      </c>
      <c r="AN934" s="6">
        <v>8582.5821107517404</v>
      </c>
      <c r="AO934" s="6">
        <v>19520.097895265601</v>
      </c>
      <c r="AP934" s="6">
        <v>330.98244656580999</v>
      </c>
      <c r="AQ934" s="6">
        <v>93035.839999999997</v>
      </c>
      <c r="AR934" s="6">
        <v>8582.5821107517404</v>
      </c>
      <c r="AS934" s="6">
        <v>19520.097895265601</v>
      </c>
      <c r="AT934" s="6">
        <v>0</v>
      </c>
      <c r="AU934" t="s">
        <v>2973</v>
      </c>
      <c r="AV934" t="s">
        <v>2973</v>
      </c>
    </row>
    <row r="935" spans="1:48" x14ac:dyDescent="0.45">
      <c r="A935" s="5" t="s">
        <v>1897</v>
      </c>
      <c r="B935">
        <v>2180</v>
      </c>
      <c r="C935" t="s">
        <v>1849</v>
      </c>
      <c r="D935">
        <v>2413</v>
      </c>
      <c r="E935" t="s">
        <v>1898</v>
      </c>
      <c r="F935" t="s">
        <v>2739</v>
      </c>
      <c r="G935" t="s">
        <v>2740</v>
      </c>
      <c r="H935" t="s">
        <v>2741</v>
      </c>
      <c r="I935" t="s">
        <v>2742</v>
      </c>
      <c r="J935">
        <v>423.41943940308101</v>
      </c>
      <c r="K935">
        <v>1</v>
      </c>
      <c r="L935">
        <v>1</v>
      </c>
      <c r="M935">
        <v>2</v>
      </c>
      <c r="N935" s="6">
        <v>3597278.0020751501</v>
      </c>
      <c r="O935" s="6">
        <v>1425711.50141295</v>
      </c>
      <c r="P935" s="6">
        <v>991459.868046068</v>
      </c>
      <c r="Q935" s="6">
        <v>331223.35547975899</v>
      </c>
      <c r="R935" s="6">
        <v>136682.092117341</v>
      </c>
      <c r="S935" s="6">
        <v>165303.66683415801</v>
      </c>
      <c r="T935" s="6">
        <v>3013626.38</v>
      </c>
      <c r="U935" s="6">
        <v>3468728.4391312599</v>
      </c>
      <c r="V935" s="6">
        <v>5511328.5144679798</v>
      </c>
      <c r="W935" s="6">
        <v>955224.42005141999</v>
      </c>
      <c r="X935" s="6">
        <v>0</v>
      </c>
      <c r="Y935" s="6">
        <v>0</v>
      </c>
      <c r="Z935" s="6">
        <v>0</v>
      </c>
      <c r="AA935" s="6">
        <v>15801.8846118699</v>
      </c>
      <c r="AB935" s="6">
        <v>0</v>
      </c>
      <c r="AC935" s="6">
        <v>165303.66683415801</v>
      </c>
      <c r="AD935" s="6">
        <v>0</v>
      </c>
      <c r="AE935" s="6">
        <v>0</v>
      </c>
      <c r="AF935" s="6">
        <v>0</v>
      </c>
      <c r="AG935" s="6">
        <v>0</v>
      </c>
      <c r="AH935" s="6">
        <v>0</v>
      </c>
      <c r="AI935" s="6">
        <v>0</v>
      </c>
      <c r="AJ935" s="6">
        <v>6647658.4859654298</v>
      </c>
      <c r="AK935" s="6">
        <v>15699.936912053499</v>
      </c>
      <c r="AL935" s="6">
        <v>330.98244656580999</v>
      </c>
      <c r="AM935" s="6">
        <v>93035.839999999997</v>
      </c>
      <c r="AN935" s="6">
        <v>8582.5821107517404</v>
      </c>
      <c r="AO935" s="6">
        <v>19520.097895265601</v>
      </c>
      <c r="AP935" s="6">
        <v>330.98244656580999</v>
      </c>
      <c r="AQ935" s="6">
        <v>93035.839999999997</v>
      </c>
      <c r="AR935" s="6">
        <v>8582.5821107517404</v>
      </c>
      <c r="AS935" s="6">
        <v>19520.097895265601</v>
      </c>
      <c r="AT935" s="6">
        <v>0</v>
      </c>
      <c r="AU935" t="s">
        <v>2973</v>
      </c>
      <c r="AV935" t="s">
        <v>2973</v>
      </c>
    </row>
    <row r="936" spans="1:48" x14ac:dyDescent="0.45">
      <c r="A936" s="5" t="s">
        <v>1899</v>
      </c>
      <c r="B936">
        <v>2180</v>
      </c>
      <c r="C936" t="s">
        <v>1849</v>
      </c>
      <c r="D936">
        <v>911</v>
      </c>
      <c r="E936" t="s">
        <v>1900</v>
      </c>
      <c r="F936" t="s">
        <v>2739</v>
      </c>
      <c r="G936" t="s">
        <v>2744</v>
      </c>
      <c r="H936" t="s">
        <v>2745</v>
      </c>
      <c r="I936" t="s">
        <v>2742</v>
      </c>
      <c r="J936">
        <v>1777.2571232476901</v>
      </c>
      <c r="K936">
        <v>1</v>
      </c>
      <c r="L936">
        <v>1</v>
      </c>
      <c r="M936">
        <v>2</v>
      </c>
      <c r="N936" s="6">
        <v>13820747.982220599</v>
      </c>
      <c r="O936" s="6">
        <v>7250843.1878382396</v>
      </c>
      <c r="P936" s="6">
        <v>4172764.39630504</v>
      </c>
      <c r="Q936" s="6">
        <v>1390274.07136122</v>
      </c>
      <c r="R936" s="6">
        <v>573708.24111995997</v>
      </c>
      <c r="S936" s="6">
        <v>693844.19334676804</v>
      </c>
      <c r="T936" s="6">
        <v>12648726.880000001</v>
      </c>
      <c r="U936" s="6">
        <v>14559610.998845</v>
      </c>
      <c r="V936" s="6">
        <v>23456538.7829125</v>
      </c>
      <c r="W936" s="6">
        <v>3685472.4009967302</v>
      </c>
      <c r="X936" s="6">
        <v>0</v>
      </c>
      <c r="Y936" s="6">
        <v>0</v>
      </c>
      <c r="Z936" s="6">
        <v>0</v>
      </c>
      <c r="AA936" s="6">
        <v>66326.694935819498</v>
      </c>
      <c r="AB936" s="6">
        <v>0</v>
      </c>
      <c r="AC936" s="6">
        <v>693844.19334676804</v>
      </c>
      <c r="AD936" s="6">
        <v>0</v>
      </c>
      <c r="AE936" s="6">
        <v>0</v>
      </c>
      <c r="AF936" s="6">
        <v>0</v>
      </c>
      <c r="AG936" s="6">
        <v>0</v>
      </c>
      <c r="AH936" s="6">
        <v>0</v>
      </c>
      <c r="AI936" s="6">
        <v>0</v>
      </c>
      <c r="AJ936" s="6">
        <v>27902182.072191801</v>
      </c>
      <c r="AK936" s="6">
        <v>15699.5753215519</v>
      </c>
      <c r="AL936" s="6">
        <v>330.98244656580999</v>
      </c>
      <c r="AM936" s="6">
        <v>93035.839999999997</v>
      </c>
      <c r="AN936" s="6">
        <v>8582.5821107517404</v>
      </c>
      <c r="AO936" s="6">
        <v>19520.097895265601</v>
      </c>
      <c r="AP936" s="6">
        <v>330.98244656580999</v>
      </c>
      <c r="AQ936" s="6">
        <v>40734.411818744898</v>
      </c>
      <c r="AR936" s="6">
        <v>8582.5821107517604</v>
      </c>
      <c r="AS936" s="6">
        <v>18457.5243447752</v>
      </c>
      <c r="AT936" s="6">
        <v>0</v>
      </c>
      <c r="AU936" t="s">
        <v>2973</v>
      </c>
      <c r="AV936" t="s">
        <v>2973</v>
      </c>
    </row>
    <row r="937" spans="1:48" x14ac:dyDescent="0.45">
      <c r="A937" s="5" t="s">
        <v>1901</v>
      </c>
      <c r="B937">
        <v>2180</v>
      </c>
      <c r="C937" t="s">
        <v>1849</v>
      </c>
      <c r="D937">
        <v>849</v>
      </c>
      <c r="E937" t="s">
        <v>1902</v>
      </c>
      <c r="F937" t="s">
        <v>2739</v>
      </c>
      <c r="G937" t="s">
        <v>2747</v>
      </c>
      <c r="H937" t="s">
        <v>2741</v>
      </c>
      <c r="I937" t="s">
        <v>2742</v>
      </c>
      <c r="J937">
        <v>415.55656609388501</v>
      </c>
      <c r="K937">
        <v>2</v>
      </c>
      <c r="L937">
        <v>2</v>
      </c>
      <c r="M937">
        <v>2</v>
      </c>
      <c r="N937" s="6">
        <v>3317593.0853134501</v>
      </c>
      <c r="O937" s="6">
        <v>2047518.8268399599</v>
      </c>
      <c r="P937" s="6">
        <v>977804.81842879695</v>
      </c>
      <c r="Q937" s="6">
        <v>325072.557857298</v>
      </c>
      <c r="R937" s="6">
        <v>134143.91395653301</v>
      </c>
      <c r="S937" s="6">
        <v>162233.98776676599</v>
      </c>
      <c r="T937" s="6">
        <v>3397818.84</v>
      </c>
      <c r="U937" s="6">
        <v>3404314.3623960498</v>
      </c>
      <c r="V937" s="6">
        <v>5777201.3659321498</v>
      </c>
      <c r="W937" s="6">
        <v>1009423.39189088</v>
      </c>
      <c r="X937" s="6">
        <v>0</v>
      </c>
      <c r="Y937" s="6">
        <v>0</v>
      </c>
      <c r="Z937" s="6">
        <v>0</v>
      </c>
      <c r="AA937" s="6">
        <v>15508.444573016601</v>
      </c>
      <c r="AB937" s="6">
        <v>0</v>
      </c>
      <c r="AC937" s="6">
        <v>162233.98776676599</v>
      </c>
      <c r="AD937" s="6">
        <v>0</v>
      </c>
      <c r="AE937" s="6">
        <v>0</v>
      </c>
      <c r="AF937" s="6">
        <v>0</v>
      </c>
      <c r="AG937" s="6">
        <v>0</v>
      </c>
      <c r="AH937" s="6">
        <v>0</v>
      </c>
      <c r="AI937" s="6">
        <v>0</v>
      </c>
      <c r="AJ937" s="6">
        <v>6964367.1901628198</v>
      </c>
      <c r="AK937" s="6">
        <v>16759.131628278501</v>
      </c>
      <c r="AL937" s="6">
        <v>330.98244656580999</v>
      </c>
      <c r="AM937" s="6">
        <v>93035.839999999997</v>
      </c>
      <c r="AN937" s="6">
        <v>8582.5821107517404</v>
      </c>
      <c r="AO937" s="6">
        <v>19520.097895265601</v>
      </c>
      <c r="AP937" s="6">
        <v>3753.1860850462999</v>
      </c>
      <c r="AQ937" s="6">
        <v>20687.885194392002</v>
      </c>
      <c r="AR937" s="6">
        <v>14122.692853946</v>
      </c>
      <c r="AS937" s="6">
        <v>16759.131628278501</v>
      </c>
      <c r="AT937" s="6">
        <v>0</v>
      </c>
      <c r="AU937" t="s">
        <v>2973</v>
      </c>
      <c r="AV937" t="s">
        <v>2973</v>
      </c>
    </row>
    <row r="938" spans="1:48" x14ac:dyDescent="0.45">
      <c r="A938" s="5" t="s">
        <v>1903</v>
      </c>
      <c r="B938">
        <v>2180</v>
      </c>
      <c r="C938" t="s">
        <v>1849</v>
      </c>
      <c r="D938">
        <v>850</v>
      </c>
      <c r="E938" t="s">
        <v>1904</v>
      </c>
      <c r="F938" t="s">
        <v>2739</v>
      </c>
      <c r="G938" t="s">
        <v>2740</v>
      </c>
      <c r="H938" t="s">
        <v>2741</v>
      </c>
      <c r="I938" t="s">
        <v>2742</v>
      </c>
      <c r="J938">
        <v>456.65073603546398</v>
      </c>
      <c r="K938">
        <v>1</v>
      </c>
      <c r="L938">
        <v>1</v>
      </c>
      <c r="M938">
        <v>2</v>
      </c>
      <c r="N938" s="6">
        <v>3629214.7492034798</v>
      </c>
      <c r="O938" s="6">
        <v>1561285.6066562501</v>
      </c>
      <c r="P938" s="6">
        <v>1069272.7738979801</v>
      </c>
      <c r="Q938" s="6">
        <v>357218.81188355101</v>
      </c>
      <c r="R938" s="6">
        <v>147409.33495222201</v>
      </c>
      <c r="S938" s="6">
        <v>178277.221366115</v>
      </c>
      <c r="T938" s="6">
        <v>3023436.06</v>
      </c>
      <c r="U938" s="6">
        <v>3740965.21659349</v>
      </c>
      <c r="V938" s="6">
        <v>5840269.6185876802</v>
      </c>
      <c r="W938" s="6">
        <v>907089.59151746996</v>
      </c>
      <c r="X938" s="6">
        <v>0</v>
      </c>
      <c r="Y938" s="6">
        <v>0</v>
      </c>
      <c r="Z938" s="6">
        <v>0</v>
      </c>
      <c r="AA938" s="6">
        <v>17042.066488327899</v>
      </c>
      <c r="AB938" s="6">
        <v>0</v>
      </c>
      <c r="AC938" s="6">
        <v>178277.221366115</v>
      </c>
      <c r="AD938" s="6">
        <v>0</v>
      </c>
      <c r="AE938" s="6">
        <v>0</v>
      </c>
      <c r="AF938" s="6">
        <v>0</v>
      </c>
      <c r="AG938" s="6">
        <v>0</v>
      </c>
      <c r="AH938" s="6">
        <v>0</v>
      </c>
      <c r="AI938" s="6">
        <v>0</v>
      </c>
      <c r="AJ938" s="6">
        <v>6942678.4979595896</v>
      </c>
      <c r="AK938" s="6">
        <v>15203.475983055099</v>
      </c>
      <c r="AL938" s="6">
        <v>330.98244656580999</v>
      </c>
      <c r="AM938" s="6">
        <v>93035.839999999997</v>
      </c>
      <c r="AN938" s="6">
        <v>8582.5821107517404</v>
      </c>
      <c r="AO938" s="6">
        <v>19520.097895265601</v>
      </c>
      <c r="AP938" s="6">
        <v>330.98244656580999</v>
      </c>
      <c r="AQ938" s="6">
        <v>93035.839999999997</v>
      </c>
      <c r="AR938" s="6">
        <v>8582.5821107517404</v>
      </c>
      <c r="AS938" s="6">
        <v>19520.097895265601</v>
      </c>
      <c r="AT938" s="6">
        <v>0</v>
      </c>
      <c r="AU938" t="s">
        <v>2973</v>
      </c>
      <c r="AV938" t="s">
        <v>2973</v>
      </c>
    </row>
    <row r="939" spans="1:48" x14ac:dyDescent="0.45">
      <c r="A939" s="5" t="s">
        <v>1905</v>
      </c>
      <c r="B939">
        <v>2180</v>
      </c>
      <c r="C939" t="s">
        <v>1849</v>
      </c>
      <c r="D939">
        <v>912</v>
      </c>
      <c r="E939" t="s">
        <v>1906</v>
      </c>
      <c r="F939" t="s">
        <v>2739</v>
      </c>
      <c r="G939" t="s">
        <v>2744</v>
      </c>
      <c r="H939" t="s">
        <v>2745</v>
      </c>
      <c r="I939" t="s">
        <v>2742</v>
      </c>
      <c r="J939">
        <v>1611.38100323545</v>
      </c>
      <c r="K939">
        <v>1</v>
      </c>
      <c r="L939">
        <v>1</v>
      </c>
      <c r="M939">
        <v>2</v>
      </c>
      <c r="N939" s="6">
        <v>12168697.964850999</v>
      </c>
      <c r="O939" s="6">
        <v>6486559.2340071704</v>
      </c>
      <c r="P939" s="6">
        <v>3773137.1027556402</v>
      </c>
      <c r="Q939" s="6">
        <v>1260516.1057329101</v>
      </c>
      <c r="R939" s="6">
        <v>520162.529691256</v>
      </c>
      <c r="S939" s="6">
        <v>629085.87493582501</v>
      </c>
      <c r="T939" s="6">
        <v>11008349.039999999</v>
      </c>
      <c r="U939" s="6">
        <v>13200723.897037899</v>
      </c>
      <c r="V939" s="6">
        <v>20766560.872649401</v>
      </c>
      <c r="W939" s="6">
        <v>3382375.8157675699</v>
      </c>
      <c r="X939" s="6">
        <v>0</v>
      </c>
      <c r="Y939" s="6">
        <v>0</v>
      </c>
      <c r="Z939" s="6">
        <v>0</v>
      </c>
      <c r="AA939" s="6">
        <v>60136.248620947001</v>
      </c>
      <c r="AB939" s="6">
        <v>0</v>
      </c>
      <c r="AC939" s="6">
        <v>629085.87493582501</v>
      </c>
      <c r="AD939" s="6">
        <v>0</v>
      </c>
      <c r="AE939" s="6">
        <v>0</v>
      </c>
      <c r="AF939" s="6">
        <v>0</v>
      </c>
      <c r="AG939" s="6">
        <v>0</v>
      </c>
      <c r="AH939" s="6">
        <v>0</v>
      </c>
      <c r="AI939" s="6">
        <v>0</v>
      </c>
      <c r="AJ939" s="6">
        <v>24838158.811973799</v>
      </c>
      <c r="AK939" s="6">
        <v>15414.2060518908</v>
      </c>
      <c r="AL939" s="6">
        <v>330.98244656580999</v>
      </c>
      <c r="AM939" s="6">
        <v>93035.839999999997</v>
      </c>
      <c r="AN939" s="6">
        <v>8582.5821107517404</v>
      </c>
      <c r="AO939" s="6">
        <v>19520.097895265601</v>
      </c>
      <c r="AP939" s="6">
        <v>330.98244656580999</v>
      </c>
      <c r="AQ939" s="6">
        <v>40734.411818744898</v>
      </c>
      <c r="AR939" s="6">
        <v>8582.5821107517604</v>
      </c>
      <c r="AS939" s="6">
        <v>18457.5243447752</v>
      </c>
      <c r="AT939" s="6">
        <v>0</v>
      </c>
      <c r="AU939" t="s">
        <v>2973</v>
      </c>
      <c r="AV939" t="s">
        <v>2973</v>
      </c>
    </row>
    <row r="940" spans="1:48" x14ac:dyDescent="0.45">
      <c r="A940" s="5" t="s">
        <v>1907</v>
      </c>
      <c r="B940">
        <v>2180</v>
      </c>
      <c r="C940" t="s">
        <v>1849</v>
      </c>
      <c r="D940">
        <v>852</v>
      </c>
      <c r="E940" t="s">
        <v>1908</v>
      </c>
      <c r="F940" t="s">
        <v>2739</v>
      </c>
      <c r="G940" t="s">
        <v>2747</v>
      </c>
      <c r="H940" t="s">
        <v>2741</v>
      </c>
      <c r="I940" t="s">
        <v>2742</v>
      </c>
      <c r="J940">
        <v>535.82758620685399</v>
      </c>
      <c r="K940">
        <v>1</v>
      </c>
      <c r="L940">
        <v>1</v>
      </c>
      <c r="M940">
        <v>2</v>
      </c>
      <c r="N940" s="6">
        <v>3830934.8555688201</v>
      </c>
      <c r="O940" s="6">
        <v>1928088.7271201999</v>
      </c>
      <c r="P940" s="6">
        <v>1254669.7163102101</v>
      </c>
      <c r="Q940" s="6">
        <v>419155.55722301302</v>
      </c>
      <c r="R940" s="6">
        <v>172968.05172711299</v>
      </c>
      <c r="S940" s="6">
        <v>209187.99787689801</v>
      </c>
      <c r="T940" s="6">
        <v>3216220.65</v>
      </c>
      <c r="U940" s="6">
        <v>4389596.2579493504</v>
      </c>
      <c r="V940" s="6">
        <v>6631888.7987459796</v>
      </c>
      <c r="W940" s="6">
        <v>953931.18676392594</v>
      </c>
      <c r="X940" s="6">
        <v>0</v>
      </c>
      <c r="Y940" s="6">
        <v>0</v>
      </c>
      <c r="Z940" s="6">
        <v>0</v>
      </c>
      <c r="AA940" s="6">
        <v>19996.9224394468</v>
      </c>
      <c r="AB940" s="6">
        <v>0</v>
      </c>
      <c r="AC940" s="6">
        <v>209187.99787689801</v>
      </c>
      <c r="AD940" s="6">
        <v>0</v>
      </c>
      <c r="AE940" s="6">
        <v>0</v>
      </c>
      <c r="AF940" s="6">
        <v>0</v>
      </c>
      <c r="AG940" s="6">
        <v>0</v>
      </c>
      <c r="AH940" s="6">
        <v>0</v>
      </c>
      <c r="AI940" s="6">
        <v>0</v>
      </c>
      <c r="AJ940" s="6">
        <v>7815004.9058262603</v>
      </c>
      <c r="AK940" s="6">
        <v>14584.9245298268</v>
      </c>
      <c r="AL940" s="6">
        <v>330.98244656580999</v>
      </c>
      <c r="AM940" s="6">
        <v>93035.839999999997</v>
      </c>
      <c r="AN940" s="6">
        <v>8582.5821107517404</v>
      </c>
      <c r="AO940" s="6">
        <v>19520.097895265601</v>
      </c>
      <c r="AP940" s="6">
        <v>3753.1860850462999</v>
      </c>
      <c r="AQ940" s="6">
        <v>20687.885194392002</v>
      </c>
      <c r="AR940" s="6">
        <v>14122.692853946</v>
      </c>
      <c r="AS940" s="6">
        <v>16759.131628278501</v>
      </c>
      <c r="AT940" s="6">
        <v>0</v>
      </c>
      <c r="AU940" t="s">
        <v>2973</v>
      </c>
      <c r="AV940" t="s">
        <v>2973</v>
      </c>
    </row>
    <row r="941" spans="1:48" x14ac:dyDescent="0.45">
      <c r="A941" s="5" t="s">
        <v>1909</v>
      </c>
      <c r="B941">
        <v>2180</v>
      </c>
      <c r="C941" t="s">
        <v>1849</v>
      </c>
      <c r="D941">
        <v>854</v>
      </c>
      <c r="E941" t="s">
        <v>1910</v>
      </c>
      <c r="F941" t="s">
        <v>2739</v>
      </c>
      <c r="G941" t="s">
        <v>2740</v>
      </c>
      <c r="H941" t="s">
        <v>2741</v>
      </c>
      <c r="I941" t="s">
        <v>2742</v>
      </c>
      <c r="J941">
        <v>387.88162664370299</v>
      </c>
      <c r="K941">
        <v>2</v>
      </c>
      <c r="L941">
        <v>2</v>
      </c>
      <c r="M941">
        <v>2</v>
      </c>
      <c r="N941" s="6">
        <v>3275202.8318383498</v>
      </c>
      <c r="O941" s="6">
        <v>1483858.3944194701</v>
      </c>
      <c r="P941" s="6">
        <v>908246.12802805996</v>
      </c>
      <c r="Q941" s="6">
        <v>303423.60777529201</v>
      </c>
      <c r="R941" s="6">
        <v>125210.293363666</v>
      </c>
      <c r="S941" s="6">
        <v>151429.64449670399</v>
      </c>
      <c r="T941" s="6">
        <v>2918344.99</v>
      </c>
      <c r="U941" s="6">
        <v>3177596.2654248402</v>
      </c>
      <c r="V941" s="6">
        <v>5395961.9662244199</v>
      </c>
      <c r="W941" s="6">
        <v>685503.66494487796</v>
      </c>
      <c r="X941" s="6">
        <v>0</v>
      </c>
      <c r="Y941" s="6">
        <v>0</v>
      </c>
      <c r="Z941" s="6">
        <v>0</v>
      </c>
      <c r="AA941" s="6">
        <v>14475.6242555348</v>
      </c>
      <c r="AB941" s="6">
        <v>0</v>
      </c>
      <c r="AC941" s="6">
        <v>151429.64449670399</v>
      </c>
      <c r="AD941" s="6">
        <v>0</v>
      </c>
      <c r="AE941" s="6">
        <v>0</v>
      </c>
      <c r="AF941" s="6">
        <v>0</v>
      </c>
      <c r="AG941" s="6">
        <v>0</v>
      </c>
      <c r="AH941" s="6">
        <v>0</v>
      </c>
      <c r="AI941" s="6">
        <v>0</v>
      </c>
      <c r="AJ941" s="6">
        <v>6247370.8999215402</v>
      </c>
      <c r="AK941" s="6">
        <v>16106.3852237069</v>
      </c>
      <c r="AL941" s="6">
        <v>330.98244656580999</v>
      </c>
      <c r="AM941" s="6">
        <v>93035.839999999997</v>
      </c>
      <c r="AN941" s="6">
        <v>8582.5821107517404</v>
      </c>
      <c r="AO941" s="6">
        <v>19520.097895265601</v>
      </c>
      <c r="AP941" s="6">
        <v>330.98244656580999</v>
      </c>
      <c r="AQ941" s="6">
        <v>93035.839999999997</v>
      </c>
      <c r="AR941" s="6">
        <v>8582.5821107517404</v>
      </c>
      <c r="AS941" s="6">
        <v>19520.097895265601</v>
      </c>
      <c r="AT941" s="6">
        <v>0</v>
      </c>
      <c r="AU941" t="s">
        <v>2973</v>
      </c>
      <c r="AV941" t="s">
        <v>2973</v>
      </c>
    </row>
    <row r="942" spans="1:48" x14ac:dyDescent="0.45">
      <c r="A942" s="5" t="s">
        <v>2965</v>
      </c>
      <c r="B942">
        <v>2180</v>
      </c>
      <c r="C942" t="s">
        <v>1849</v>
      </c>
      <c r="D942">
        <v>894</v>
      </c>
      <c r="E942" t="s">
        <v>2966</v>
      </c>
      <c r="F942" t="s">
        <v>2739</v>
      </c>
      <c r="G942" t="s">
        <v>2747</v>
      </c>
      <c r="H942" t="s">
        <v>2741</v>
      </c>
      <c r="I942" t="s">
        <v>2742</v>
      </c>
      <c r="J942">
        <v>481.58544840575797</v>
      </c>
      <c r="K942">
        <v>1</v>
      </c>
      <c r="L942">
        <v>1</v>
      </c>
      <c r="M942">
        <v>2</v>
      </c>
      <c r="N942" s="6">
        <v>3427369.81577136</v>
      </c>
      <c r="O942" s="6">
        <v>2184931.2189883902</v>
      </c>
      <c r="P942" s="6">
        <v>1129158.9921206201</v>
      </c>
      <c r="Q942" s="6">
        <v>376724.19668793102</v>
      </c>
      <c r="R942" s="6">
        <v>155458.39537779099</v>
      </c>
      <c r="S942" s="6">
        <v>188011.77533953599</v>
      </c>
      <c r="T942" s="6">
        <v>3328407.74</v>
      </c>
      <c r="U942" s="6">
        <v>3945234.8789460999</v>
      </c>
      <c r="V942" s="6">
        <v>6406643.0157319903</v>
      </c>
      <c r="W942" s="6">
        <v>849026.98084893497</v>
      </c>
      <c r="X942" s="6">
        <v>0</v>
      </c>
      <c r="Y942" s="6">
        <v>0</v>
      </c>
      <c r="Z942" s="6">
        <v>0</v>
      </c>
      <c r="AA942" s="6">
        <v>17972.6223651697</v>
      </c>
      <c r="AB942" s="6">
        <v>0</v>
      </c>
      <c r="AC942" s="6">
        <v>188011.77533953599</v>
      </c>
      <c r="AD942" s="6">
        <v>0</v>
      </c>
      <c r="AE942" s="6">
        <v>0</v>
      </c>
      <c r="AF942" s="6">
        <v>0</v>
      </c>
      <c r="AG942" s="6">
        <v>0</v>
      </c>
      <c r="AH942" s="6">
        <v>0</v>
      </c>
      <c r="AI942" s="6">
        <v>0</v>
      </c>
      <c r="AJ942" s="6">
        <v>7461654.3942856202</v>
      </c>
      <c r="AK942" s="6">
        <v>15493.936577582899</v>
      </c>
      <c r="AL942" s="6">
        <v>330.98244656580999</v>
      </c>
      <c r="AM942" s="6">
        <v>93035.839999999997</v>
      </c>
      <c r="AN942" s="6">
        <v>8582.5821107517404</v>
      </c>
      <c r="AO942" s="6">
        <v>19520.097895265601</v>
      </c>
      <c r="AP942" s="6">
        <v>3753.1860850462999</v>
      </c>
      <c r="AQ942" s="6">
        <v>20687.885194392002</v>
      </c>
      <c r="AR942" s="6">
        <v>14122.692853946</v>
      </c>
      <c r="AS942" s="6">
        <v>16759.131628278501</v>
      </c>
      <c r="AT942" s="6">
        <v>0</v>
      </c>
      <c r="AU942" t="s">
        <v>2973</v>
      </c>
      <c r="AV942" t="s">
        <v>2973</v>
      </c>
    </row>
    <row r="943" spans="1:48" x14ac:dyDescent="0.45">
      <c r="A943" s="5" t="s">
        <v>1911</v>
      </c>
      <c r="B943">
        <v>2180</v>
      </c>
      <c r="C943" t="s">
        <v>1849</v>
      </c>
      <c r="D943">
        <v>842</v>
      </c>
      <c r="E943" t="s">
        <v>1912</v>
      </c>
      <c r="F943" t="s">
        <v>2739</v>
      </c>
      <c r="G943" t="s">
        <v>2740</v>
      </c>
      <c r="H943" t="s">
        <v>2741</v>
      </c>
      <c r="I943" t="s">
        <v>2742</v>
      </c>
      <c r="J943">
        <v>661.33975427058601</v>
      </c>
      <c r="K943">
        <v>3</v>
      </c>
      <c r="L943">
        <v>1</v>
      </c>
      <c r="M943">
        <v>2</v>
      </c>
      <c r="N943" s="6">
        <v>5363443.48721804</v>
      </c>
      <c r="O943" s="6">
        <v>2508240.9275900498</v>
      </c>
      <c r="P943" s="6">
        <v>1548563.3499187001</v>
      </c>
      <c r="Q943" s="6">
        <v>517338.48788442899</v>
      </c>
      <c r="R943" s="6">
        <v>213484.06048976901</v>
      </c>
      <c r="S943" s="6">
        <v>258188.161030694</v>
      </c>
      <c r="T943" s="6">
        <v>4733255.7300000004</v>
      </c>
      <c r="U943" s="6">
        <v>5417814.58310101</v>
      </c>
      <c r="V943" s="6">
        <v>8673765.0351927895</v>
      </c>
      <c r="W943" s="6">
        <v>1452624.2795559601</v>
      </c>
      <c r="X943" s="6">
        <v>0</v>
      </c>
      <c r="Y943" s="6">
        <v>0</v>
      </c>
      <c r="Z943" s="6">
        <v>0</v>
      </c>
      <c r="AA943" s="6">
        <v>24680.998352269198</v>
      </c>
      <c r="AB943" s="6">
        <v>0</v>
      </c>
      <c r="AC943" s="6">
        <v>258188.161030694</v>
      </c>
      <c r="AD943" s="6">
        <v>0</v>
      </c>
      <c r="AE943" s="6">
        <v>0</v>
      </c>
      <c r="AF943" s="6">
        <v>0</v>
      </c>
      <c r="AG943" s="6">
        <v>0</v>
      </c>
      <c r="AH943" s="6">
        <v>0</v>
      </c>
      <c r="AI943" s="6">
        <v>0</v>
      </c>
      <c r="AJ943" s="6">
        <v>10409258.4741317</v>
      </c>
      <c r="AK943" s="6">
        <v>15739.6533429514</v>
      </c>
      <c r="AL943" s="6">
        <v>330.98244656580999</v>
      </c>
      <c r="AM943" s="6">
        <v>93035.839999999997</v>
      </c>
      <c r="AN943" s="6">
        <v>8582.5821107517404</v>
      </c>
      <c r="AO943" s="6">
        <v>19520.097895265601</v>
      </c>
      <c r="AP943" s="6">
        <v>330.98244656580999</v>
      </c>
      <c r="AQ943" s="6">
        <v>93035.839999999997</v>
      </c>
      <c r="AR943" s="6">
        <v>8582.5821107517404</v>
      </c>
      <c r="AS943" s="6">
        <v>19520.097895265601</v>
      </c>
      <c r="AT943" s="6">
        <v>0</v>
      </c>
      <c r="AU943" t="s">
        <v>2973</v>
      </c>
      <c r="AV943" t="s">
        <v>2973</v>
      </c>
    </row>
    <row r="944" spans="1:48" x14ac:dyDescent="0.45">
      <c r="A944" s="5" t="s">
        <v>1913</v>
      </c>
      <c r="B944">
        <v>2180</v>
      </c>
      <c r="C944" t="s">
        <v>1849</v>
      </c>
      <c r="D944">
        <v>855</v>
      </c>
      <c r="E944" t="s">
        <v>1914</v>
      </c>
      <c r="F944" t="s">
        <v>2739</v>
      </c>
      <c r="G944" t="s">
        <v>2740</v>
      </c>
      <c r="H944" t="s">
        <v>2741</v>
      </c>
      <c r="I944" t="s">
        <v>2742</v>
      </c>
      <c r="J944">
        <v>628.87810042344097</v>
      </c>
      <c r="K944">
        <v>1</v>
      </c>
      <c r="L944">
        <v>1</v>
      </c>
      <c r="M944">
        <v>2</v>
      </c>
      <c r="N944" s="6">
        <v>4542063.2745463997</v>
      </c>
      <c r="O944" s="6">
        <v>2214829.4253031299</v>
      </c>
      <c r="P944" s="6">
        <v>1472552.60491082</v>
      </c>
      <c r="Q944" s="6">
        <v>491945.09090947802</v>
      </c>
      <c r="R944" s="6">
        <v>218650.682521326</v>
      </c>
      <c r="S944" s="6">
        <v>245515.07634663</v>
      </c>
      <c r="T944" s="6">
        <v>3788158.22</v>
      </c>
      <c r="U944" s="6">
        <v>5151882.85819114</v>
      </c>
      <c r="V944" s="6">
        <v>7788017.0111761503</v>
      </c>
      <c r="W944" s="6">
        <v>1128554.5277046801</v>
      </c>
      <c r="X944" s="6">
        <v>0</v>
      </c>
      <c r="Y944" s="6">
        <v>0</v>
      </c>
      <c r="Z944" s="6">
        <v>0</v>
      </c>
      <c r="AA944" s="6">
        <v>23469.539310317301</v>
      </c>
      <c r="AB944" s="6">
        <v>0</v>
      </c>
      <c r="AC944" s="6">
        <v>245515.07634663</v>
      </c>
      <c r="AD944" s="6">
        <v>0</v>
      </c>
      <c r="AE944" s="6">
        <v>0</v>
      </c>
      <c r="AF944" s="6">
        <v>0</v>
      </c>
      <c r="AG944" s="6">
        <v>0</v>
      </c>
      <c r="AH944" s="6">
        <v>0</v>
      </c>
      <c r="AI944" s="6">
        <v>0</v>
      </c>
      <c r="AJ944" s="6">
        <v>9185556.1545377895</v>
      </c>
      <c r="AK944" s="6">
        <v>14606.2585870821</v>
      </c>
      <c r="AL944" s="6">
        <v>330.98244656580999</v>
      </c>
      <c r="AM944" s="6">
        <v>93035.839999999997</v>
      </c>
      <c r="AN944" s="6">
        <v>8582.5821107517404</v>
      </c>
      <c r="AO944" s="6">
        <v>19520.097895265601</v>
      </c>
      <c r="AP944" s="6">
        <v>330.98244656580999</v>
      </c>
      <c r="AQ944" s="6">
        <v>93035.839999999997</v>
      </c>
      <c r="AR944" s="6">
        <v>8582.5821107517404</v>
      </c>
      <c r="AS944" s="6">
        <v>19520.097895265601</v>
      </c>
      <c r="AT944" s="6">
        <v>0</v>
      </c>
      <c r="AU944" t="s">
        <v>2973</v>
      </c>
      <c r="AV944" t="s">
        <v>2973</v>
      </c>
    </row>
    <row r="945" spans="1:48" x14ac:dyDescent="0.45">
      <c r="A945" s="5" t="s">
        <v>1915</v>
      </c>
      <c r="B945">
        <v>2180</v>
      </c>
      <c r="C945" t="s">
        <v>1849</v>
      </c>
      <c r="D945">
        <v>858</v>
      </c>
      <c r="E945" t="s">
        <v>1916</v>
      </c>
      <c r="F945" t="s">
        <v>2739</v>
      </c>
      <c r="G945" t="s">
        <v>2747</v>
      </c>
      <c r="H945" t="s">
        <v>2741</v>
      </c>
      <c r="I945" t="s">
        <v>2742</v>
      </c>
      <c r="J945">
        <v>590.15828899830103</v>
      </c>
      <c r="K945">
        <v>1</v>
      </c>
      <c r="L945">
        <v>1</v>
      </c>
      <c r="M945">
        <v>2</v>
      </c>
      <c r="N945" s="6">
        <v>4102398.6935520601</v>
      </c>
      <c r="O945" s="6">
        <v>2136298.4677026002</v>
      </c>
      <c r="P945" s="6">
        <v>1381888.0402879601</v>
      </c>
      <c r="Q945" s="6">
        <v>461656.19845367101</v>
      </c>
      <c r="R945" s="6">
        <v>190506.297335793</v>
      </c>
      <c r="S945" s="6">
        <v>230398.79633660999</v>
      </c>
      <c r="T945" s="6">
        <v>3438064.52</v>
      </c>
      <c r="U945" s="6">
        <v>4834683.17733208</v>
      </c>
      <c r="V945" s="6">
        <v>7184538.4842393696</v>
      </c>
      <c r="W945" s="6">
        <v>1066184.6853604901</v>
      </c>
      <c r="X945" s="6">
        <v>0</v>
      </c>
      <c r="Y945" s="6">
        <v>0</v>
      </c>
      <c r="Z945" s="6">
        <v>0</v>
      </c>
      <c r="AA945" s="6">
        <v>22024.527732209401</v>
      </c>
      <c r="AB945" s="6">
        <v>0</v>
      </c>
      <c r="AC945" s="6">
        <v>230398.79633660999</v>
      </c>
      <c r="AD945" s="6">
        <v>0</v>
      </c>
      <c r="AE945" s="6">
        <v>0</v>
      </c>
      <c r="AF945" s="6">
        <v>0</v>
      </c>
      <c r="AG945" s="6">
        <v>0</v>
      </c>
      <c r="AH945" s="6">
        <v>0</v>
      </c>
      <c r="AI945" s="6">
        <v>0</v>
      </c>
      <c r="AJ945" s="6">
        <v>8503146.4936686996</v>
      </c>
      <c r="AK945" s="6">
        <v>14408.2471638269</v>
      </c>
      <c r="AL945" s="6">
        <v>330.98244656580999</v>
      </c>
      <c r="AM945" s="6">
        <v>93035.839999999997</v>
      </c>
      <c r="AN945" s="6">
        <v>8582.5821107517404</v>
      </c>
      <c r="AO945" s="6">
        <v>19520.097895265601</v>
      </c>
      <c r="AP945" s="6">
        <v>3753.1860850462999</v>
      </c>
      <c r="AQ945" s="6">
        <v>20687.885194392002</v>
      </c>
      <c r="AR945" s="6">
        <v>14122.692853946</v>
      </c>
      <c r="AS945" s="6">
        <v>16759.131628278501</v>
      </c>
      <c r="AT945" s="6">
        <v>0</v>
      </c>
      <c r="AU945" t="s">
        <v>2973</v>
      </c>
      <c r="AV945" t="s">
        <v>2973</v>
      </c>
    </row>
    <row r="946" spans="1:48" x14ac:dyDescent="0.45">
      <c r="A946" s="5" t="s">
        <v>1917</v>
      </c>
      <c r="B946">
        <v>2180</v>
      </c>
      <c r="C946" t="s">
        <v>1849</v>
      </c>
      <c r="D946">
        <v>861</v>
      </c>
      <c r="E946" t="s">
        <v>1918</v>
      </c>
      <c r="F946" t="s">
        <v>2739</v>
      </c>
      <c r="G946" t="s">
        <v>2740</v>
      </c>
      <c r="H946" t="s">
        <v>2741</v>
      </c>
      <c r="I946" t="s">
        <v>2742</v>
      </c>
      <c r="J946">
        <v>335.69036095984802</v>
      </c>
      <c r="K946">
        <v>1</v>
      </c>
      <c r="L946">
        <v>1</v>
      </c>
      <c r="M946">
        <v>2</v>
      </c>
      <c r="N946" s="6">
        <v>2842965.07670247</v>
      </c>
      <c r="O946" s="6">
        <v>1418839.5220337401</v>
      </c>
      <c r="P946" s="6">
        <v>786037.41351787804</v>
      </c>
      <c r="Q946" s="6">
        <v>262596.55890169198</v>
      </c>
      <c r="R946" s="6">
        <v>108362.669659903</v>
      </c>
      <c r="S946" s="6">
        <v>131054.08591011701</v>
      </c>
      <c r="T946" s="6">
        <v>2668765.2400000002</v>
      </c>
      <c r="U946" s="6">
        <v>2750036.0008156798</v>
      </c>
      <c r="V946" s="6">
        <v>4794660.3157216096</v>
      </c>
      <c r="W946" s="6">
        <v>611613.06298957404</v>
      </c>
      <c r="X946" s="6">
        <v>0</v>
      </c>
      <c r="Y946" s="6">
        <v>0</v>
      </c>
      <c r="Z946" s="6">
        <v>0</v>
      </c>
      <c r="AA946" s="6">
        <v>12527.8621044952</v>
      </c>
      <c r="AB946" s="6">
        <v>0</v>
      </c>
      <c r="AC946" s="6">
        <v>131054.08591011701</v>
      </c>
      <c r="AD946" s="6">
        <v>0</v>
      </c>
      <c r="AE946" s="6">
        <v>0</v>
      </c>
      <c r="AF946" s="6">
        <v>0</v>
      </c>
      <c r="AG946" s="6">
        <v>0</v>
      </c>
      <c r="AH946" s="6">
        <v>0</v>
      </c>
      <c r="AI946" s="6">
        <v>0</v>
      </c>
      <c r="AJ946" s="6">
        <v>5549855.3267257996</v>
      </c>
      <c r="AK946" s="6">
        <v>16532.662155853799</v>
      </c>
      <c r="AL946" s="6">
        <v>330.98244656580999</v>
      </c>
      <c r="AM946" s="6">
        <v>93035.839999999997</v>
      </c>
      <c r="AN946" s="6">
        <v>8582.5821107517404</v>
      </c>
      <c r="AO946" s="6">
        <v>19520.097895265601</v>
      </c>
      <c r="AP946" s="6">
        <v>330.98244656580999</v>
      </c>
      <c r="AQ946" s="6">
        <v>93035.839999999997</v>
      </c>
      <c r="AR946" s="6">
        <v>8582.5821107517404</v>
      </c>
      <c r="AS946" s="6">
        <v>19520.097895265601</v>
      </c>
      <c r="AT946" s="6">
        <v>0</v>
      </c>
      <c r="AU946" t="s">
        <v>2973</v>
      </c>
      <c r="AV946" t="s">
        <v>2973</v>
      </c>
    </row>
    <row r="947" spans="1:48" x14ac:dyDescent="0.45">
      <c r="A947" s="5" t="s">
        <v>1919</v>
      </c>
      <c r="B947">
        <v>2180</v>
      </c>
      <c r="C947" t="s">
        <v>1849</v>
      </c>
      <c r="D947">
        <v>1277</v>
      </c>
      <c r="E947" t="s">
        <v>1920</v>
      </c>
      <c r="F947" t="s">
        <v>2739</v>
      </c>
      <c r="G947" t="s">
        <v>2747</v>
      </c>
      <c r="H947" t="s">
        <v>2741</v>
      </c>
      <c r="I947" t="s">
        <v>2742</v>
      </c>
      <c r="J947">
        <v>743.57725779959105</v>
      </c>
      <c r="K947">
        <v>1</v>
      </c>
      <c r="L947">
        <v>1</v>
      </c>
      <c r="M947">
        <v>2</v>
      </c>
      <c r="N947" s="6">
        <v>5195810.6549298102</v>
      </c>
      <c r="O947" s="6">
        <v>2526727.1864113701</v>
      </c>
      <c r="P947" s="6">
        <v>1741126.98023348</v>
      </c>
      <c r="Q947" s="6">
        <v>581669.45460517297</v>
      </c>
      <c r="R947" s="6">
        <v>240030.77277274299</v>
      </c>
      <c r="S947" s="6">
        <v>290293.82180006301</v>
      </c>
      <c r="T947" s="6">
        <v>4193846</v>
      </c>
      <c r="U947" s="6">
        <v>6091519.0489525599</v>
      </c>
      <c r="V947" s="6">
        <v>8930252.5716671906</v>
      </c>
      <c r="W947" s="6">
        <v>1327362.4003301901</v>
      </c>
      <c r="X947" s="6">
        <v>0</v>
      </c>
      <c r="Y947" s="6">
        <v>0</v>
      </c>
      <c r="Z947" s="6">
        <v>0</v>
      </c>
      <c r="AA947" s="6">
        <v>27750.076955191998</v>
      </c>
      <c r="AB947" s="6">
        <v>0</v>
      </c>
      <c r="AC947" s="6">
        <v>290293.82180006301</v>
      </c>
      <c r="AD947" s="6">
        <v>0</v>
      </c>
      <c r="AE947" s="6">
        <v>0</v>
      </c>
      <c r="AF947" s="6">
        <v>0</v>
      </c>
      <c r="AG947" s="6">
        <v>0</v>
      </c>
      <c r="AH947" s="6">
        <v>0</v>
      </c>
      <c r="AI947" s="6">
        <v>0</v>
      </c>
      <c r="AJ947" s="6">
        <v>10575658.870752599</v>
      </c>
      <c r="AK947" s="6">
        <v>14222.676608007499</v>
      </c>
      <c r="AL947" s="6">
        <v>330.98244656580999</v>
      </c>
      <c r="AM947" s="6">
        <v>93035.839999999997</v>
      </c>
      <c r="AN947" s="6">
        <v>8582.5821107517404</v>
      </c>
      <c r="AO947" s="6">
        <v>19520.097895265601</v>
      </c>
      <c r="AP947" s="6">
        <v>3753.1860850462999</v>
      </c>
      <c r="AQ947" s="6">
        <v>20687.885194392002</v>
      </c>
      <c r="AR947" s="6">
        <v>14122.692853946</v>
      </c>
      <c r="AS947" s="6">
        <v>16759.131628278501</v>
      </c>
      <c r="AT947" s="6">
        <v>0</v>
      </c>
      <c r="AU947" t="s">
        <v>2973</v>
      </c>
      <c r="AV947" t="s">
        <v>2973</v>
      </c>
    </row>
    <row r="948" spans="1:48" x14ac:dyDescent="0.45">
      <c r="A948" s="5" t="s">
        <v>1921</v>
      </c>
      <c r="B948">
        <v>2180</v>
      </c>
      <c r="C948" t="s">
        <v>1849</v>
      </c>
      <c r="D948">
        <v>862</v>
      </c>
      <c r="E948" t="s">
        <v>1922</v>
      </c>
      <c r="F948" t="s">
        <v>2739</v>
      </c>
      <c r="G948" t="s">
        <v>2740</v>
      </c>
      <c r="H948" t="s">
        <v>2741</v>
      </c>
      <c r="I948" t="s">
        <v>2742</v>
      </c>
      <c r="J948">
        <v>352.27394791607799</v>
      </c>
      <c r="K948">
        <v>2</v>
      </c>
      <c r="L948">
        <v>1</v>
      </c>
      <c r="M948">
        <v>2</v>
      </c>
      <c r="N948" s="6">
        <v>2920580.9334605802</v>
      </c>
      <c r="O948" s="6">
        <v>1645541.2322958601</v>
      </c>
      <c r="P948" s="6">
        <v>824868.79300894297</v>
      </c>
      <c r="Q948" s="6">
        <v>275569.20683981298</v>
      </c>
      <c r="R948" s="6">
        <v>131215.941496413</v>
      </c>
      <c r="S948" s="6">
        <v>137528.34636682301</v>
      </c>
      <c r="T948" s="6">
        <v>2911884.37</v>
      </c>
      <c r="U948" s="6">
        <v>2885891.7371016098</v>
      </c>
      <c r="V948" s="6">
        <v>4874313.66561398</v>
      </c>
      <c r="W948" s="6">
        <v>910315.68496510002</v>
      </c>
      <c r="X948" s="6">
        <v>0</v>
      </c>
      <c r="Y948" s="6">
        <v>0</v>
      </c>
      <c r="Z948" s="6">
        <v>0</v>
      </c>
      <c r="AA948" s="6">
        <v>13146.7565225283</v>
      </c>
      <c r="AB948" s="6">
        <v>0</v>
      </c>
      <c r="AC948" s="6">
        <v>137528.34636682301</v>
      </c>
      <c r="AD948" s="6">
        <v>0</v>
      </c>
      <c r="AE948" s="6">
        <v>0</v>
      </c>
      <c r="AF948" s="6">
        <v>0</v>
      </c>
      <c r="AG948" s="6">
        <v>0</v>
      </c>
      <c r="AH948" s="6">
        <v>0</v>
      </c>
      <c r="AI948" s="6">
        <v>0</v>
      </c>
      <c r="AJ948" s="6">
        <v>5935304.4534684299</v>
      </c>
      <c r="AK948" s="6">
        <v>16848.547809395201</v>
      </c>
      <c r="AL948" s="6">
        <v>330.98244656580999</v>
      </c>
      <c r="AM948" s="6">
        <v>93035.839999999997</v>
      </c>
      <c r="AN948" s="6">
        <v>8582.5821107517404</v>
      </c>
      <c r="AO948" s="6">
        <v>19520.097895265601</v>
      </c>
      <c r="AP948" s="6">
        <v>330.98244656580999</v>
      </c>
      <c r="AQ948" s="6">
        <v>93035.839999999997</v>
      </c>
      <c r="AR948" s="6">
        <v>8582.5821107517404</v>
      </c>
      <c r="AS948" s="6">
        <v>19520.097895265601</v>
      </c>
      <c r="AT948" s="6">
        <v>0</v>
      </c>
      <c r="AU948" t="s">
        <v>2973</v>
      </c>
      <c r="AV948" t="s">
        <v>2973</v>
      </c>
    </row>
    <row r="949" spans="1:48" x14ac:dyDescent="0.45">
      <c r="A949" s="5" t="s">
        <v>1923</v>
      </c>
      <c r="B949">
        <v>2180</v>
      </c>
      <c r="C949" t="s">
        <v>1849</v>
      </c>
      <c r="D949">
        <v>913</v>
      </c>
      <c r="E949" t="s">
        <v>1138</v>
      </c>
      <c r="F949" t="s">
        <v>2739</v>
      </c>
      <c r="G949" t="s">
        <v>2744</v>
      </c>
      <c r="H949" t="s">
        <v>2745</v>
      </c>
      <c r="I949" t="s">
        <v>2742</v>
      </c>
      <c r="J949">
        <v>633.66431232788102</v>
      </c>
      <c r="K949">
        <v>1</v>
      </c>
      <c r="L949">
        <v>1</v>
      </c>
      <c r="M949">
        <v>2</v>
      </c>
      <c r="N949" s="6">
        <v>5746344.2400748897</v>
      </c>
      <c r="O949" s="6">
        <v>3518147.4042282798</v>
      </c>
      <c r="P949" s="6">
        <v>1483759.7829041299</v>
      </c>
      <c r="Q949" s="6">
        <v>495689.144723495</v>
      </c>
      <c r="R949" s="6">
        <v>204550.27768959</v>
      </c>
      <c r="S949" s="6">
        <v>247383.62158669901</v>
      </c>
      <c r="T949" s="6">
        <v>6257398.4800000004</v>
      </c>
      <c r="U949" s="6">
        <v>5191092.3696203902</v>
      </c>
      <c r="V949" s="6">
        <v>9891337.9920489602</v>
      </c>
      <c r="W949" s="6">
        <v>1533504.6982895001</v>
      </c>
      <c r="X949" s="6">
        <v>0</v>
      </c>
      <c r="Y949" s="6">
        <v>0</v>
      </c>
      <c r="Z949" s="6">
        <v>0</v>
      </c>
      <c r="AA949" s="6">
        <v>23648.159281919401</v>
      </c>
      <c r="AB949" s="6">
        <v>0</v>
      </c>
      <c r="AC949" s="6">
        <v>247383.62158669901</v>
      </c>
      <c r="AD949" s="6">
        <v>0</v>
      </c>
      <c r="AE949" s="6">
        <v>0</v>
      </c>
      <c r="AF949" s="6">
        <v>0</v>
      </c>
      <c r="AG949" s="6">
        <v>0</v>
      </c>
      <c r="AH949" s="6">
        <v>0</v>
      </c>
      <c r="AI949" s="6">
        <v>0</v>
      </c>
      <c r="AJ949" s="6">
        <v>11695874.471207101</v>
      </c>
      <c r="AK949" s="6">
        <v>18457.5243447752</v>
      </c>
      <c r="AL949" s="6">
        <v>330.98244656580999</v>
      </c>
      <c r="AM949" s="6">
        <v>93035.839999999997</v>
      </c>
      <c r="AN949" s="6">
        <v>8582.5821107517404</v>
      </c>
      <c r="AO949" s="6">
        <v>19520.097895265601</v>
      </c>
      <c r="AP949" s="6">
        <v>330.98244656580999</v>
      </c>
      <c r="AQ949" s="6">
        <v>40734.411818744898</v>
      </c>
      <c r="AR949" s="6">
        <v>8582.5821107517604</v>
      </c>
      <c r="AS949" s="6">
        <v>18457.5243447752</v>
      </c>
      <c r="AT949" s="6">
        <v>0</v>
      </c>
      <c r="AU949" t="s">
        <v>2973</v>
      </c>
      <c r="AV949" t="s">
        <v>2973</v>
      </c>
    </row>
    <row r="950" spans="1:48" x14ac:dyDescent="0.45">
      <c r="A950" s="5" t="s">
        <v>1924</v>
      </c>
      <c r="B950">
        <v>2180</v>
      </c>
      <c r="C950" t="s">
        <v>1849</v>
      </c>
      <c r="D950">
        <v>5218</v>
      </c>
      <c r="E950" t="s">
        <v>1925</v>
      </c>
      <c r="F950" t="s">
        <v>3</v>
      </c>
      <c r="G950" t="s">
        <v>2740</v>
      </c>
      <c r="H950" t="s">
        <v>2741</v>
      </c>
      <c r="I950" t="s">
        <v>2742</v>
      </c>
      <c r="J950">
        <v>170.011177315607</v>
      </c>
      <c r="K950">
        <v>1</v>
      </c>
      <c r="L950">
        <v>1</v>
      </c>
      <c r="M950">
        <v>2</v>
      </c>
      <c r="N950" s="6">
        <v>420777.34647602099</v>
      </c>
      <c r="O950" s="6">
        <v>386021.20476756099</v>
      </c>
      <c r="P950" s="6">
        <v>398090.50728827098</v>
      </c>
      <c r="Q950" s="6">
        <v>132992.64837468299</v>
      </c>
      <c r="R950" s="6">
        <v>54880.530359183598</v>
      </c>
      <c r="S950" s="6">
        <v>66372.6517910494</v>
      </c>
      <c r="T950" s="6">
        <v>0</v>
      </c>
      <c r="U950" s="6">
        <v>1392762.23726572</v>
      </c>
      <c r="V950" s="6">
        <v>1087220.2621224299</v>
      </c>
      <c r="W950" s="6">
        <v>299197.20974834799</v>
      </c>
      <c r="X950" s="6">
        <v>0</v>
      </c>
      <c r="Y950" s="6">
        <v>0</v>
      </c>
      <c r="Z950" s="6">
        <v>0</v>
      </c>
      <c r="AA950" s="6">
        <v>6344.7653949395399</v>
      </c>
      <c r="AB950" s="6">
        <v>0</v>
      </c>
      <c r="AC950" s="6">
        <v>66372.6517910494</v>
      </c>
      <c r="AD950" s="6">
        <v>0</v>
      </c>
      <c r="AE950" s="6">
        <v>0</v>
      </c>
      <c r="AF950" s="6">
        <v>0</v>
      </c>
      <c r="AG950" s="6">
        <v>0</v>
      </c>
      <c r="AH950" s="6">
        <v>0</v>
      </c>
      <c r="AI950" s="6">
        <v>0</v>
      </c>
      <c r="AJ950" s="6">
        <v>1459134.8890567699</v>
      </c>
      <c r="AK950" s="6">
        <v>8582.5821107517695</v>
      </c>
      <c r="AL950" s="6">
        <v>330.98244656580999</v>
      </c>
      <c r="AM950" s="6">
        <v>93035.839999999997</v>
      </c>
      <c r="AN950" s="6">
        <v>8582.5821107517404</v>
      </c>
      <c r="AO950" s="6">
        <v>19520.097895265601</v>
      </c>
      <c r="AP950" s="6">
        <v>330.98244656580999</v>
      </c>
      <c r="AQ950" s="6">
        <v>93035.839999999997</v>
      </c>
      <c r="AR950" s="6">
        <v>8582.5821107517404</v>
      </c>
      <c r="AS950" s="6">
        <v>19520.097895265601</v>
      </c>
      <c r="AT950" s="6">
        <v>0</v>
      </c>
      <c r="AU950" t="s">
        <v>2973</v>
      </c>
      <c r="AV950" t="s">
        <v>2976</v>
      </c>
    </row>
    <row r="951" spans="1:48" x14ac:dyDescent="0.45">
      <c r="A951" s="5" t="s">
        <v>1926</v>
      </c>
      <c r="B951">
        <v>2180</v>
      </c>
      <c r="C951" t="s">
        <v>1849</v>
      </c>
      <c r="D951">
        <v>864</v>
      </c>
      <c r="E951" t="s">
        <v>1927</v>
      </c>
      <c r="F951" t="s">
        <v>2739</v>
      </c>
      <c r="G951" t="s">
        <v>2740</v>
      </c>
      <c r="H951" t="s">
        <v>2741</v>
      </c>
      <c r="I951" t="s">
        <v>2742</v>
      </c>
      <c r="J951">
        <v>490.73895381104899</v>
      </c>
      <c r="K951">
        <v>4</v>
      </c>
      <c r="L951">
        <v>1</v>
      </c>
      <c r="M951">
        <v>2</v>
      </c>
      <c r="N951" s="6">
        <v>4259034.01456152</v>
      </c>
      <c r="O951" s="6">
        <v>2287395.7859257502</v>
      </c>
      <c r="P951" s="6">
        <v>1149092.20766171</v>
      </c>
      <c r="Q951" s="6">
        <v>383884.60193294502</v>
      </c>
      <c r="R951" s="6">
        <v>158413.19658098099</v>
      </c>
      <c r="S951" s="6">
        <v>191585.31936485</v>
      </c>
      <c r="T951" s="6">
        <v>4217597.76</v>
      </c>
      <c r="U951" s="6">
        <v>4020222.0466629099</v>
      </c>
      <c r="V951" s="6">
        <v>6974620.90728499</v>
      </c>
      <c r="W951" s="6">
        <v>1244884.67097687</v>
      </c>
      <c r="X951" s="6">
        <v>0</v>
      </c>
      <c r="Y951" s="6">
        <v>0</v>
      </c>
      <c r="Z951" s="6">
        <v>0</v>
      </c>
      <c r="AA951" s="6">
        <v>18314.228401048498</v>
      </c>
      <c r="AB951" s="6">
        <v>0</v>
      </c>
      <c r="AC951" s="6">
        <v>191585.31936485</v>
      </c>
      <c r="AD951" s="6">
        <v>0</v>
      </c>
      <c r="AE951" s="6">
        <v>0</v>
      </c>
      <c r="AF951" s="6">
        <v>0</v>
      </c>
      <c r="AG951" s="6">
        <v>0</v>
      </c>
      <c r="AH951" s="6">
        <v>0</v>
      </c>
      <c r="AI951" s="6">
        <v>0</v>
      </c>
      <c r="AJ951" s="6">
        <v>8429405.1260277405</v>
      </c>
      <c r="AK951" s="6">
        <v>17176.9635578458</v>
      </c>
      <c r="AL951" s="6">
        <v>330.98244656580999</v>
      </c>
      <c r="AM951" s="6">
        <v>93035.839999999997</v>
      </c>
      <c r="AN951" s="6">
        <v>8582.5821107517404</v>
      </c>
      <c r="AO951" s="6">
        <v>19520.097895265601</v>
      </c>
      <c r="AP951" s="6">
        <v>330.98244656580999</v>
      </c>
      <c r="AQ951" s="6">
        <v>93035.839999999997</v>
      </c>
      <c r="AR951" s="6">
        <v>8582.5821107517404</v>
      </c>
      <c r="AS951" s="6">
        <v>19520.097895265601</v>
      </c>
      <c r="AT951" s="6">
        <v>0</v>
      </c>
      <c r="AU951" t="s">
        <v>2973</v>
      </c>
      <c r="AV951" t="s">
        <v>2973</v>
      </c>
    </row>
    <row r="952" spans="1:48" x14ac:dyDescent="0.45">
      <c r="A952" s="5" t="s">
        <v>1928</v>
      </c>
      <c r="B952">
        <v>2180</v>
      </c>
      <c r="C952" t="s">
        <v>1849</v>
      </c>
      <c r="D952">
        <v>1243</v>
      </c>
      <c r="E952" t="s">
        <v>1929</v>
      </c>
      <c r="F952" t="s">
        <v>2739</v>
      </c>
      <c r="G952" t="s">
        <v>2747</v>
      </c>
      <c r="H952" t="s">
        <v>2741</v>
      </c>
      <c r="I952" t="s">
        <v>2742</v>
      </c>
      <c r="J952">
        <v>430.74999999992298</v>
      </c>
      <c r="K952">
        <v>2</v>
      </c>
      <c r="L952">
        <v>1</v>
      </c>
      <c r="M952">
        <v>2</v>
      </c>
      <c r="N952" s="6">
        <v>3399409.3958675</v>
      </c>
      <c r="O952" s="6">
        <v>2103672.39607374</v>
      </c>
      <c r="P952" s="6">
        <v>1008624.77821716</v>
      </c>
      <c r="Q952" s="6">
        <v>337022.747084114</v>
      </c>
      <c r="R952" s="6">
        <v>139048.43684677</v>
      </c>
      <c r="S952" s="6">
        <v>168165.530116384</v>
      </c>
      <c r="T952" s="6">
        <v>3458996.04</v>
      </c>
      <c r="U952" s="6">
        <v>3528781.7140892702</v>
      </c>
      <c r="V952" s="6">
        <v>6010284.0470182002</v>
      </c>
      <c r="W952" s="6">
        <v>961418.24816877604</v>
      </c>
      <c r="X952" s="6">
        <v>0</v>
      </c>
      <c r="Y952" s="6">
        <v>0</v>
      </c>
      <c r="Z952" s="6">
        <v>0</v>
      </c>
      <c r="AA952" s="6">
        <v>16075.4589023062</v>
      </c>
      <c r="AB952" s="6">
        <v>0</v>
      </c>
      <c r="AC952" s="6">
        <v>168165.530116384</v>
      </c>
      <c r="AD952" s="6">
        <v>0</v>
      </c>
      <c r="AE952" s="6">
        <v>0</v>
      </c>
      <c r="AF952" s="6">
        <v>0</v>
      </c>
      <c r="AG952" s="6">
        <v>0</v>
      </c>
      <c r="AH952" s="6">
        <v>0</v>
      </c>
      <c r="AI952" s="6">
        <v>0</v>
      </c>
      <c r="AJ952" s="6">
        <v>7155943.2842056602</v>
      </c>
      <c r="AK952" s="6">
        <v>16612.752836232001</v>
      </c>
      <c r="AL952" s="6">
        <v>330.98244656580999</v>
      </c>
      <c r="AM952" s="6">
        <v>93035.839999999997</v>
      </c>
      <c r="AN952" s="6">
        <v>8582.5821107517404</v>
      </c>
      <c r="AO952" s="6">
        <v>19520.097895265601</v>
      </c>
      <c r="AP952" s="6">
        <v>3753.1860850462999</v>
      </c>
      <c r="AQ952" s="6">
        <v>20687.885194392002</v>
      </c>
      <c r="AR952" s="6">
        <v>14122.692853946</v>
      </c>
      <c r="AS952" s="6">
        <v>16759.131628278501</v>
      </c>
      <c r="AT952" s="6">
        <v>0</v>
      </c>
      <c r="AU952" t="s">
        <v>2973</v>
      </c>
      <c r="AV952" t="s">
        <v>2973</v>
      </c>
    </row>
    <row r="953" spans="1:48" x14ac:dyDescent="0.45">
      <c r="A953" s="5" t="s">
        <v>1930</v>
      </c>
      <c r="B953">
        <v>2180</v>
      </c>
      <c r="C953" t="s">
        <v>1849</v>
      </c>
      <c r="D953">
        <v>868</v>
      </c>
      <c r="E953" t="s">
        <v>1931</v>
      </c>
      <c r="F953" t="s">
        <v>2739</v>
      </c>
      <c r="G953" t="s">
        <v>2740</v>
      </c>
      <c r="H953" t="s">
        <v>2745</v>
      </c>
      <c r="I953" t="s">
        <v>2742</v>
      </c>
      <c r="J953">
        <v>691.34341601126596</v>
      </c>
      <c r="K953">
        <v>1</v>
      </c>
      <c r="L953">
        <v>1</v>
      </c>
      <c r="M953">
        <v>2</v>
      </c>
      <c r="N953" s="6">
        <v>5249495.7240148298</v>
      </c>
      <c r="O953" s="6">
        <v>2454044.2322691102</v>
      </c>
      <c r="P953" s="6">
        <v>1618818.57143675</v>
      </c>
      <c r="Q953" s="6">
        <v>540809.10022201599</v>
      </c>
      <c r="R953" s="6">
        <v>223169.40527147899</v>
      </c>
      <c r="S953" s="6">
        <v>269901.64143012598</v>
      </c>
      <c r="T953" s="6">
        <v>4422727.04</v>
      </c>
      <c r="U953" s="6">
        <v>5663609.99321419</v>
      </c>
      <c r="V953" s="6">
        <v>8733398.1072810199</v>
      </c>
      <c r="W953" s="6">
        <v>1327138.20005628</v>
      </c>
      <c r="X953" s="6">
        <v>0</v>
      </c>
      <c r="Y953" s="6">
        <v>0</v>
      </c>
      <c r="Z953" s="6">
        <v>0</v>
      </c>
      <c r="AA953" s="6">
        <v>25800.725876891502</v>
      </c>
      <c r="AB953" s="6">
        <v>0</v>
      </c>
      <c r="AC953" s="6">
        <v>269901.64143012598</v>
      </c>
      <c r="AD953" s="6">
        <v>0</v>
      </c>
      <c r="AE953" s="6">
        <v>0</v>
      </c>
      <c r="AF953" s="6">
        <v>0</v>
      </c>
      <c r="AG953" s="6">
        <v>0</v>
      </c>
      <c r="AH953" s="6">
        <v>0</v>
      </c>
      <c r="AI953" s="6">
        <v>0</v>
      </c>
      <c r="AJ953" s="6">
        <v>10356238.674644301</v>
      </c>
      <c r="AK953" s="6">
        <v>14979.8760424957</v>
      </c>
      <c r="AL953" s="6">
        <v>330.98244656580999</v>
      </c>
      <c r="AM953" s="6">
        <v>93035.839999999997</v>
      </c>
      <c r="AN953" s="6">
        <v>8582.5821107517404</v>
      </c>
      <c r="AO953" s="6">
        <v>19520.097895265601</v>
      </c>
      <c r="AP953" s="6">
        <v>330.98244656580999</v>
      </c>
      <c r="AQ953" s="6">
        <v>93035.839999999997</v>
      </c>
      <c r="AR953" s="6">
        <v>8582.5821107517404</v>
      </c>
      <c r="AS953" s="6">
        <v>19520.097895265601</v>
      </c>
      <c r="AT953" s="6">
        <v>0</v>
      </c>
      <c r="AU953" t="s">
        <v>2973</v>
      </c>
      <c r="AV953" t="s">
        <v>2973</v>
      </c>
    </row>
    <row r="954" spans="1:48" x14ac:dyDescent="0.45">
      <c r="A954" s="5" t="s">
        <v>1932</v>
      </c>
      <c r="B954">
        <v>2180</v>
      </c>
      <c r="C954" t="s">
        <v>1849</v>
      </c>
      <c r="D954">
        <v>5060</v>
      </c>
      <c r="E954" t="s">
        <v>1933</v>
      </c>
      <c r="F954" t="s">
        <v>3</v>
      </c>
      <c r="G954" t="s">
        <v>2740</v>
      </c>
      <c r="H954" t="s">
        <v>2741</v>
      </c>
      <c r="I954" t="s">
        <v>2742</v>
      </c>
      <c r="J954">
        <v>333.25815091207602</v>
      </c>
      <c r="K954">
        <v>1</v>
      </c>
      <c r="L954">
        <v>1</v>
      </c>
      <c r="M954">
        <v>2</v>
      </c>
      <c r="N954" s="6">
        <v>824813.30137472099</v>
      </c>
      <c r="O954" s="6">
        <v>756683.85423197795</v>
      </c>
      <c r="P954" s="6">
        <v>780342.26013421605</v>
      </c>
      <c r="Q954" s="6">
        <v>260693.94249279401</v>
      </c>
      <c r="R954" s="6">
        <v>107577.539061584</v>
      </c>
      <c r="S954" s="6">
        <v>130104.546984898</v>
      </c>
      <c r="T954" s="6">
        <v>0</v>
      </c>
      <c r="U954" s="6">
        <v>2730110.8972952999</v>
      </c>
      <c r="V954" s="6">
        <v>2131183.4898740202</v>
      </c>
      <c r="W954" s="6">
        <v>586490.31465552899</v>
      </c>
      <c r="X954" s="6">
        <v>0</v>
      </c>
      <c r="Y954" s="6">
        <v>0</v>
      </c>
      <c r="Z954" s="6">
        <v>0</v>
      </c>
      <c r="AA954" s="6">
        <v>12437.092765749399</v>
      </c>
      <c r="AB954" s="6">
        <v>0</v>
      </c>
      <c r="AC954" s="6">
        <v>130104.546984898</v>
      </c>
      <c r="AD954" s="6">
        <v>0</v>
      </c>
      <c r="AE954" s="6">
        <v>0</v>
      </c>
      <c r="AF954" s="6">
        <v>0</v>
      </c>
      <c r="AG954" s="6">
        <v>0</v>
      </c>
      <c r="AH954" s="6">
        <v>0</v>
      </c>
      <c r="AI954" s="6">
        <v>0</v>
      </c>
      <c r="AJ954" s="6">
        <v>2860215.4442802002</v>
      </c>
      <c r="AK954" s="6">
        <v>8582.5821107517695</v>
      </c>
      <c r="AL954" s="6">
        <v>330.98244656580999</v>
      </c>
      <c r="AM954" s="6">
        <v>93035.839999999997</v>
      </c>
      <c r="AN954" s="6">
        <v>8582.5821107517404</v>
      </c>
      <c r="AO954" s="6">
        <v>19520.097895265601</v>
      </c>
      <c r="AP954" s="6">
        <v>330.98244656580999</v>
      </c>
      <c r="AQ954" s="6">
        <v>93035.839999999997</v>
      </c>
      <c r="AR954" s="6">
        <v>8582.5821107517404</v>
      </c>
      <c r="AS954" s="6">
        <v>19520.097895265601</v>
      </c>
      <c r="AT954" s="6">
        <v>0</v>
      </c>
      <c r="AU954" t="s">
        <v>2973</v>
      </c>
      <c r="AV954" t="s">
        <v>2976</v>
      </c>
    </row>
    <row r="955" spans="1:48" x14ac:dyDescent="0.45">
      <c r="A955" s="5" t="s">
        <v>1934</v>
      </c>
      <c r="B955">
        <v>2180</v>
      </c>
      <c r="C955" t="s">
        <v>1849</v>
      </c>
      <c r="D955">
        <v>869</v>
      </c>
      <c r="E955" t="s">
        <v>1935</v>
      </c>
      <c r="F955" t="s">
        <v>2739</v>
      </c>
      <c r="G955" t="s">
        <v>2740</v>
      </c>
      <c r="H955" t="s">
        <v>2741</v>
      </c>
      <c r="I955" t="s">
        <v>2742</v>
      </c>
      <c r="J955">
        <v>267.86510840308898</v>
      </c>
      <c r="K955">
        <v>2</v>
      </c>
      <c r="L955">
        <v>1</v>
      </c>
      <c r="M955">
        <v>2</v>
      </c>
      <c r="N955" s="6">
        <v>2573540.75324196</v>
      </c>
      <c r="O955" s="6">
        <v>1385127.76684764</v>
      </c>
      <c r="P955" s="6">
        <v>627220.86025590205</v>
      </c>
      <c r="Q955" s="6">
        <v>209539.69460235201</v>
      </c>
      <c r="R955" s="6">
        <v>86468.310178169893</v>
      </c>
      <c r="S955" s="6">
        <v>104574.992348917</v>
      </c>
      <c r="T955" s="6">
        <v>2687498.09</v>
      </c>
      <c r="U955" s="6">
        <v>2194399.29512602</v>
      </c>
      <c r="V955" s="6">
        <v>4173098.5710627702</v>
      </c>
      <c r="W955" s="6">
        <v>698802.16974171903</v>
      </c>
      <c r="X955" s="6">
        <v>0</v>
      </c>
      <c r="Y955" s="6">
        <v>0</v>
      </c>
      <c r="Z955" s="6">
        <v>0</v>
      </c>
      <c r="AA955" s="6">
        <v>9996.6443215238796</v>
      </c>
      <c r="AB955" s="6">
        <v>0</v>
      </c>
      <c r="AC955" s="6">
        <v>104574.992348917</v>
      </c>
      <c r="AD955" s="6">
        <v>0</v>
      </c>
      <c r="AE955" s="6">
        <v>0</v>
      </c>
      <c r="AF955" s="6">
        <v>0</v>
      </c>
      <c r="AG955" s="6">
        <v>0</v>
      </c>
      <c r="AH955" s="6">
        <v>0</v>
      </c>
      <c r="AI955" s="6">
        <v>0</v>
      </c>
      <c r="AJ955" s="6">
        <v>4986472.3774749404</v>
      </c>
      <c r="AK955" s="6">
        <v>18615.609950853199</v>
      </c>
      <c r="AL955" s="6">
        <v>330.98244656580999</v>
      </c>
      <c r="AM955" s="6">
        <v>93035.839999999997</v>
      </c>
      <c r="AN955" s="6">
        <v>8582.5821107517404</v>
      </c>
      <c r="AO955" s="6">
        <v>19520.097895265601</v>
      </c>
      <c r="AP955" s="6">
        <v>330.98244656580999</v>
      </c>
      <c r="AQ955" s="6">
        <v>93035.839999999997</v>
      </c>
      <c r="AR955" s="6">
        <v>8582.5821107517404</v>
      </c>
      <c r="AS955" s="6">
        <v>19520.097895265601</v>
      </c>
      <c r="AT955" s="6">
        <v>0</v>
      </c>
      <c r="AU955" t="s">
        <v>2973</v>
      </c>
      <c r="AV955" t="s">
        <v>2973</v>
      </c>
    </row>
    <row r="956" spans="1:48" x14ac:dyDescent="0.45">
      <c r="A956" s="5" t="s">
        <v>1936</v>
      </c>
      <c r="B956">
        <v>2180</v>
      </c>
      <c r="C956" t="s">
        <v>1849</v>
      </c>
      <c r="D956">
        <v>870</v>
      </c>
      <c r="E956" t="s">
        <v>1937</v>
      </c>
      <c r="F956" t="s">
        <v>2739</v>
      </c>
      <c r="G956" t="s">
        <v>2740</v>
      </c>
      <c r="H956" t="s">
        <v>2741</v>
      </c>
      <c r="I956" t="s">
        <v>2742</v>
      </c>
      <c r="J956">
        <v>502.82924984868799</v>
      </c>
      <c r="K956">
        <v>3</v>
      </c>
      <c r="L956">
        <v>1</v>
      </c>
      <c r="M956">
        <v>2</v>
      </c>
      <c r="N956" s="6">
        <v>4568742.6046842802</v>
      </c>
      <c r="O956" s="6">
        <v>2212322.1630149102</v>
      </c>
      <c r="P956" s="6">
        <v>1177402.2997326199</v>
      </c>
      <c r="Q956" s="6">
        <v>393342.33591883699</v>
      </c>
      <c r="R956" s="6">
        <v>162316.00973257399</v>
      </c>
      <c r="S956" s="6">
        <v>196305.39143086001</v>
      </c>
      <c r="T956" s="6">
        <v>4394857.4800000004</v>
      </c>
      <c r="U956" s="6">
        <v>4119267.9330832199</v>
      </c>
      <c r="V956" s="6">
        <v>7342361.6239125403</v>
      </c>
      <c r="W956" s="6">
        <v>1152998.3546011699</v>
      </c>
      <c r="X956" s="6">
        <v>0</v>
      </c>
      <c r="Y956" s="6">
        <v>0</v>
      </c>
      <c r="Z956" s="6">
        <v>0</v>
      </c>
      <c r="AA956" s="6">
        <v>18765.434569521702</v>
      </c>
      <c r="AB956" s="6">
        <v>0</v>
      </c>
      <c r="AC956" s="6">
        <v>196305.39143086001</v>
      </c>
      <c r="AD956" s="6">
        <v>0</v>
      </c>
      <c r="AE956" s="6">
        <v>0</v>
      </c>
      <c r="AF956" s="6">
        <v>0</v>
      </c>
      <c r="AG956" s="6">
        <v>0</v>
      </c>
      <c r="AH956" s="6">
        <v>0</v>
      </c>
      <c r="AI956" s="6">
        <v>0</v>
      </c>
      <c r="AJ956" s="6">
        <v>8710430.8045140691</v>
      </c>
      <c r="AK956" s="6">
        <v>17322.8403223067</v>
      </c>
      <c r="AL956" s="6">
        <v>330.98244656580999</v>
      </c>
      <c r="AM956" s="6">
        <v>93035.839999999997</v>
      </c>
      <c r="AN956" s="6">
        <v>8582.5821107517404</v>
      </c>
      <c r="AO956" s="6">
        <v>19520.097895265601</v>
      </c>
      <c r="AP956" s="6">
        <v>330.98244656580999</v>
      </c>
      <c r="AQ956" s="6">
        <v>93035.839999999997</v>
      </c>
      <c r="AR956" s="6">
        <v>8582.5821107517404</v>
      </c>
      <c r="AS956" s="6">
        <v>19520.097895265601</v>
      </c>
      <c r="AT956" s="6">
        <v>0</v>
      </c>
      <c r="AU956" t="s">
        <v>2973</v>
      </c>
      <c r="AV956" t="s">
        <v>2973</v>
      </c>
    </row>
    <row r="957" spans="1:48" x14ac:dyDescent="0.45">
      <c r="A957" s="5" t="s">
        <v>1938</v>
      </c>
      <c r="B957">
        <v>2180</v>
      </c>
      <c r="C957" t="s">
        <v>1849</v>
      </c>
      <c r="D957">
        <v>871</v>
      </c>
      <c r="E957" t="s">
        <v>1939</v>
      </c>
      <c r="F957" t="s">
        <v>2739</v>
      </c>
      <c r="G957" t="s">
        <v>2740</v>
      </c>
      <c r="H957" t="s">
        <v>2741</v>
      </c>
      <c r="I957" t="s">
        <v>2742</v>
      </c>
      <c r="J957">
        <v>394.104355716859</v>
      </c>
      <c r="K957">
        <v>1</v>
      </c>
      <c r="L957">
        <v>1</v>
      </c>
      <c r="M957">
        <v>2</v>
      </c>
      <c r="N957" s="6">
        <v>2951179.7446777001</v>
      </c>
      <c r="O957" s="6">
        <v>1442589.3070566601</v>
      </c>
      <c r="P957" s="6">
        <v>922816.98985352297</v>
      </c>
      <c r="Q957" s="6">
        <v>308291.38901546801</v>
      </c>
      <c r="R957" s="6">
        <v>127219.024067191</v>
      </c>
      <c r="S957" s="6">
        <v>153859.00847432</v>
      </c>
      <c r="T957" s="6">
        <v>2523522.4700000002</v>
      </c>
      <c r="U957" s="6">
        <v>3228573.9846705399</v>
      </c>
      <c r="V957" s="6">
        <v>5010308.6841096804</v>
      </c>
      <c r="W957" s="6">
        <v>727079.91595018306</v>
      </c>
      <c r="X957" s="6">
        <v>0</v>
      </c>
      <c r="Y957" s="6">
        <v>0</v>
      </c>
      <c r="Z957" s="6">
        <v>0</v>
      </c>
      <c r="AA957" s="6">
        <v>14707.854610672901</v>
      </c>
      <c r="AB957" s="6">
        <v>0</v>
      </c>
      <c r="AC957" s="6">
        <v>153859.00847432</v>
      </c>
      <c r="AD957" s="6">
        <v>0</v>
      </c>
      <c r="AE957" s="6">
        <v>0</v>
      </c>
      <c r="AF957" s="6">
        <v>0</v>
      </c>
      <c r="AG957" s="6">
        <v>0</v>
      </c>
      <c r="AH957" s="6">
        <v>0</v>
      </c>
      <c r="AI957" s="6">
        <v>0</v>
      </c>
      <c r="AJ957" s="6">
        <v>5905955.4631448798</v>
      </c>
      <c r="AK957" s="6">
        <v>14985.765514827201</v>
      </c>
      <c r="AL957" s="6">
        <v>330.98244656580999</v>
      </c>
      <c r="AM957" s="6">
        <v>93035.839999999997</v>
      </c>
      <c r="AN957" s="6">
        <v>8582.5821107517404</v>
      </c>
      <c r="AO957" s="6">
        <v>19520.097895265601</v>
      </c>
      <c r="AP957" s="6">
        <v>330.98244656580999</v>
      </c>
      <c r="AQ957" s="6">
        <v>93035.839999999997</v>
      </c>
      <c r="AR957" s="6">
        <v>8582.5821107517404</v>
      </c>
      <c r="AS957" s="6">
        <v>19520.097895265601</v>
      </c>
      <c r="AT957" s="6">
        <v>0</v>
      </c>
      <c r="AU957" t="s">
        <v>2973</v>
      </c>
      <c r="AV957" t="s">
        <v>2973</v>
      </c>
    </row>
    <row r="958" spans="1:48" x14ac:dyDescent="0.45">
      <c r="A958" s="5" t="s">
        <v>1940</v>
      </c>
      <c r="B958">
        <v>2180</v>
      </c>
      <c r="C958" t="s">
        <v>1849</v>
      </c>
      <c r="D958">
        <v>914</v>
      </c>
      <c r="E958" t="s">
        <v>1941</v>
      </c>
      <c r="F958" t="s">
        <v>2739</v>
      </c>
      <c r="G958" t="s">
        <v>2744</v>
      </c>
      <c r="H958" t="s">
        <v>2745</v>
      </c>
      <c r="I958" t="s">
        <v>2742</v>
      </c>
      <c r="J958">
        <v>1662.18564085394</v>
      </c>
      <c r="K958">
        <v>1</v>
      </c>
      <c r="L958">
        <v>1</v>
      </c>
      <c r="M958">
        <v>2</v>
      </c>
      <c r="N958" s="6">
        <v>12740973.9781137</v>
      </c>
      <c r="O958" s="6">
        <v>6474619.0090670604</v>
      </c>
      <c r="P958" s="6">
        <v>3892098.9515086501</v>
      </c>
      <c r="Q958" s="6">
        <v>1300258.4533437199</v>
      </c>
      <c r="R958" s="6">
        <v>536562.54233297205</v>
      </c>
      <c r="S958" s="6">
        <v>648920.09157537494</v>
      </c>
      <c r="T958" s="6">
        <v>11327588.279999999</v>
      </c>
      <c r="U958" s="6">
        <v>13616924.6543661</v>
      </c>
      <c r="V958" s="6">
        <v>21076873.106598701</v>
      </c>
      <c r="W958" s="6">
        <v>3805607.5655327998</v>
      </c>
      <c r="X958" s="6">
        <v>0</v>
      </c>
      <c r="Y958" s="6">
        <v>0</v>
      </c>
      <c r="Z958" s="6">
        <v>0</v>
      </c>
      <c r="AA958" s="6">
        <v>62032.262234604001</v>
      </c>
      <c r="AB958" s="6">
        <v>0</v>
      </c>
      <c r="AC958" s="6">
        <v>648920.09157537494</v>
      </c>
      <c r="AD958" s="6">
        <v>0</v>
      </c>
      <c r="AE958" s="6">
        <v>0</v>
      </c>
      <c r="AF958" s="6">
        <v>0</v>
      </c>
      <c r="AG958" s="6">
        <v>0</v>
      </c>
      <c r="AH958" s="6">
        <v>0</v>
      </c>
      <c r="AI958" s="6">
        <v>0</v>
      </c>
      <c r="AJ958" s="6">
        <v>25593433.025941499</v>
      </c>
      <c r="AK958" s="6">
        <v>15397.457658696199</v>
      </c>
      <c r="AL958" s="6">
        <v>330.98244656580999</v>
      </c>
      <c r="AM958" s="6">
        <v>93035.839999999997</v>
      </c>
      <c r="AN958" s="6">
        <v>8582.5821107517404</v>
      </c>
      <c r="AO958" s="6">
        <v>19520.097895265601</v>
      </c>
      <c r="AP958" s="6">
        <v>330.98244656580999</v>
      </c>
      <c r="AQ958" s="6">
        <v>40734.411818744898</v>
      </c>
      <c r="AR958" s="6">
        <v>8582.5821107517604</v>
      </c>
      <c r="AS958" s="6">
        <v>18457.5243447752</v>
      </c>
      <c r="AT958" s="6">
        <v>0</v>
      </c>
      <c r="AU958" t="s">
        <v>2973</v>
      </c>
      <c r="AV958" t="s">
        <v>2973</v>
      </c>
    </row>
    <row r="959" spans="1:48" x14ac:dyDescent="0.45">
      <c r="A959" s="5" t="s">
        <v>1942</v>
      </c>
      <c r="B959">
        <v>2180</v>
      </c>
      <c r="C959" t="s">
        <v>1849</v>
      </c>
      <c r="D959">
        <v>872</v>
      </c>
      <c r="E959" t="s">
        <v>1943</v>
      </c>
      <c r="F959" t="s">
        <v>2739</v>
      </c>
      <c r="G959" t="s">
        <v>2740</v>
      </c>
      <c r="H959" t="s">
        <v>2741</v>
      </c>
      <c r="I959" t="s">
        <v>2742</v>
      </c>
      <c r="J959">
        <v>489.14085501105899</v>
      </c>
      <c r="K959">
        <v>1</v>
      </c>
      <c r="L959">
        <v>1</v>
      </c>
      <c r="M959">
        <v>2</v>
      </c>
      <c r="N959" s="6">
        <v>3710832.4330149</v>
      </c>
      <c r="O959" s="6">
        <v>1531852.7208300501</v>
      </c>
      <c r="P959" s="6">
        <v>1145350.1715672</v>
      </c>
      <c r="Q959" s="6">
        <v>382634.47594045999</v>
      </c>
      <c r="R959" s="6">
        <v>157897.32161855401</v>
      </c>
      <c r="S959" s="6">
        <v>190961.418884574</v>
      </c>
      <c r="T959" s="6">
        <v>2921436.99</v>
      </c>
      <c r="U959" s="6">
        <v>4007130.1329711601</v>
      </c>
      <c r="V959" s="6">
        <v>5982558.0768970205</v>
      </c>
      <c r="W959" s="6">
        <v>927754.45823392901</v>
      </c>
      <c r="X959" s="6">
        <v>0</v>
      </c>
      <c r="Y959" s="6">
        <v>0</v>
      </c>
      <c r="Z959" s="6">
        <v>0</v>
      </c>
      <c r="AA959" s="6">
        <v>18254.587840210301</v>
      </c>
      <c r="AB959" s="6">
        <v>0</v>
      </c>
      <c r="AC959" s="6">
        <v>190961.418884574</v>
      </c>
      <c r="AD959" s="6">
        <v>0</v>
      </c>
      <c r="AE959" s="6">
        <v>0</v>
      </c>
      <c r="AF959" s="6">
        <v>0</v>
      </c>
      <c r="AG959" s="6">
        <v>0</v>
      </c>
      <c r="AH959" s="6">
        <v>0</v>
      </c>
      <c r="AI959" s="6">
        <v>0</v>
      </c>
      <c r="AJ959" s="6">
        <v>7119528.5418557497</v>
      </c>
      <c r="AK959" s="6">
        <v>14555.1704972482</v>
      </c>
      <c r="AL959" s="6">
        <v>330.98244656580999</v>
      </c>
      <c r="AM959" s="6">
        <v>93035.839999999997</v>
      </c>
      <c r="AN959" s="6">
        <v>8582.5821107517404</v>
      </c>
      <c r="AO959" s="6">
        <v>19520.097895265601</v>
      </c>
      <c r="AP959" s="6">
        <v>330.98244656580999</v>
      </c>
      <c r="AQ959" s="6">
        <v>93035.839999999997</v>
      </c>
      <c r="AR959" s="6">
        <v>8582.5821107517404</v>
      </c>
      <c r="AS959" s="6">
        <v>19520.097895265601</v>
      </c>
      <c r="AT959" s="6">
        <v>0</v>
      </c>
      <c r="AU959" t="s">
        <v>2973</v>
      </c>
      <c r="AV959" t="s">
        <v>2973</v>
      </c>
    </row>
    <row r="960" spans="1:48" x14ac:dyDescent="0.45">
      <c r="A960" s="5" t="s">
        <v>1944</v>
      </c>
      <c r="B960">
        <v>2180</v>
      </c>
      <c r="C960" t="s">
        <v>1849</v>
      </c>
      <c r="D960">
        <v>915</v>
      </c>
      <c r="E960" t="s">
        <v>1945</v>
      </c>
      <c r="F960" t="s">
        <v>2739</v>
      </c>
      <c r="G960" t="s">
        <v>2744</v>
      </c>
      <c r="H960" t="s">
        <v>2745</v>
      </c>
      <c r="I960" t="s">
        <v>2742</v>
      </c>
      <c r="J960">
        <v>1096.06760041538</v>
      </c>
      <c r="K960">
        <v>2</v>
      </c>
      <c r="L960">
        <v>1</v>
      </c>
      <c r="M960">
        <v>2</v>
      </c>
      <c r="N960" s="6">
        <v>8861371.0448681805</v>
      </c>
      <c r="O960" s="6">
        <v>4971944.3966533998</v>
      </c>
      <c r="P960" s="6">
        <v>2566502.4733143901</v>
      </c>
      <c r="Q960" s="6">
        <v>857407.93798705202</v>
      </c>
      <c r="R960" s="6">
        <v>353816.56765217701</v>
      </c>
      <c r="S960" s="6">
        <v>427906.64902443899</v>
      </c>
      <c r="T960" s="6">
        <v>8631858.8900000006</v>
      </c>
      <c r="U960" s="6">
        <v>8979183.5304751992</v>
      </c>
      <c r="V960" s="6">
        <v>15295833.779836999</v>
      </c>
      <c r="W960" s="6">
        <v>2274303.7313761301</v>
      </c>
      <c r="X960" s="6">
        <v>0</v>
      </c>
      <c r="Y960" s="6">
        <v>0</v>
      </c>
      <c r="Z960" s="6">
        <v>0</v>
      </c>
      <c r="AA960" s="6">
        <v>40904.909262054302</v>
      </c>
      <c r="AB960" s="6">
        <v>0</v>
      </c>
      <c r="AC960" s="6">
        <v>427906.64902443899</v>
      </c>
      <c r="AD960" s="6">
        <v>0</v>
      </c>
      <c r="AE960" s="6">
        <v>0</v>
      </c>
      <c r="AF960" s="6">
        <v>0</v>
      </c>
      <c r="AG960" s="6">
        <v>0</v>
      </c>
      <c r="AH960" s="6">
        <v>0</v>
      </c>
      <c r="AI960" s="6">
        <v>0</v>
      </c>
      <c r="AJ960" s="6">
        <v>18038949.069499601</v>
      </c>
      <c r="AK960" s="6">
        <v>16457.880027348099</v>
      </c>
      <c r="AL960" s="6">
        <v>330.98244656580999</v>
      </c>
      <c r="AM960" s="6">
        <v>93035.839999999997</v>
      </c>
      <c r="AN960" s="6">
        <v>8582.5821107517404</v>
      </c>
      <c r="AO960" s="6">
        <v>19520.097895265601</v>
      </c>
      <c r="AP960" s="6">
        <v>330.98244656580999</v>
      </c>
      <c r="AQ960" s="6">
        <v>40734.411818744898</v>
      </c>
      <c r="AR960" s="6">
        <v>8582.5821107517604</v>
      </c>
      <c r="AS960" s="6">
        <v>18457.5243447752</v>
      </c>
      <c r="AT960" s="6">
        <v>0</v>
      </c>
      <c r="AU960" t="s">
        <v>2973</v>
      </c>
      <c r="AV960" t="s">
        <v>2973</v>
      </c>
    </row>
    <row r="961" spans="1:48" x14ac:dyDescent="0.45">
      <c r="A961" s="5" t="s">
        <v>1946</v>
      </c>
      <c r="B961">
        <v>2180</v>
      </c>
      <c r="C961" t="s">
        <v>1849</v>
      </c>
      <c r="D961">
        <v>873</v>
      </c>
      <c r="E961" t="s">
        <v>1947</v>
      </c>
      <c r="F961" t="s">
        <v>2739</v>
      </c>
      <c r="G961" t="s">
        <v>2740</v>
      </c>
      <c r="H961" t="s">
        <v>2741</v>
      </c>
      <c r="I961" t="s">
        <v>2742</v>
      </c>
      <c r="J961">
        <v>380.46996598469298</v>
      </c>
      <c r="K961">
        <v>1</v>
      </c>
      <c r="L961">
        <v>1</v>
      </c>
      <c r="M961">
        <v>2</v>
      </c>
      <c r="N961" s="6">
        <v>2849672.56554353</v>
      </c>
      <c r="O961" s="6">
        <v>1395095.44690291</v>
      </c>
      <c r="P961" s="6">
        <v>890891.31760805706</v>
      </c>
      <c r="Q961" s="6">
        <v>297625.77497711999</v>
      </c>
      <c r="R961" s="6">
        <v>122817.769094195</v>
      </c>
      <c r="S961" s="6">
        <v>148536.11961274501</v>
      </c>
      <c r="T961" s="6">
        <v>2439224.27</v>
      </c>
      <c r="U961" s="6">
        <v>3116878.6041258099</v>
      </c>
      <c r="V961" s="6">
        <v>4787944.4893570896</v>
      </c>
      <c r="W961" s="6">
        <v>753959.36143326096</v>
      </c>
      <c r="X961" s="6">
        <v>0</v>
      </c>
      <c r="Y961" s="6">
        <v>0</v>
      </c>
      <c r="Z961" s="6">
        <v>0</v>
      </c>
      <c r="AA961" s="6">
        <v>14199.023335461099</v>
      </c>
      <c r="AB961" s="6">
        <v>0</v>
      </c>
      <c r="AC961" s="6">
        <v>148536.11961274501</v>
      </c>
      <c r="AD961" s="6">
        <v>0</v>
      </c>
      <c r="AE961" s="6">
        <v>0</v>
      </c>
      <c r="AF961" s="6">
        <v>0</v>
      </c>
      <c r="AG961" s="6">
        <v>0</v>
      </c>
      <c r="AH961" s="6">
        <v>0</v>
      </c>
      <c r="AI961" s="6">
        <v>0</v>
      </c>
      <c r="AJ961" s="6">
        <v>5704638.99373856</v>
      </c>
      <c r="AK961" s="6">
        <v>14993.6644249288</v>
      </c>
      <c r="AL961" s="6">
        <v>330.98244656580999</v>
      </c>
      <c r="AM961" s="6">
        <v>93035.839999999997</v>
      </c>
      <c r="AN961" s="6">
        <v>8582.5821107517404</v>
      </c>
      <c r="AO961" s="6">
        <v>19520.097895265601</v>
      </c>
      <c r="AP961" s="6">
        <v>330.98244656580999</v>
      </c>
      <c r="AQ961" s="6">
        <v>93035.839999999997</v>
      </c>
      <c r="AR961" s="6">
        <v>8582.5821107517404</v>
      </c>
      <c r="AS961" s="6">
        <v>19520.097895265601</v>
      </c>
      <c r="AT961" s="6">
        <v>0</v>
      </c>
      <c r="AU961" t="s">
        <v>2973</v>
      </c>
      <c r="AV961" t="s">
        <v>2973</v>
      </c>
    </row>
    <row r="962" spans="1:48" x14ac:dyDescent="0.45">
      <c r="A962" s="5" t="s">
        <v>1948</v>
      </c>
      <c r="B962">
        <v>2180</v>
      </c>
      <c r="C962" t="s">
        <v>1849</v>
      </c>
      <c r="D962">
        <v>1278</v>
      </c>
      <c r="E962" t="s">
        <v>1949</v>
      </c>
      <c r="F962" t="s">
        <v>2739</v>
      </c>
      <c r="G962" t="s">
        <v>2740</v>
      </c>
      <c r="H962" t="s">
        <v>2741</v>
      </c>
      <c r="I962" t="s">
        <v>2742</v>
      </c>
      <c r="J962">
        <v>438.61324426000198</v>
      </c>
      <c r="K962">
        <v>2</v>
      </c>
      <c r="L962">
        <v>1</v>
      </c>
      <c r="M962">
        <v>2</v>
      </c>
      <c r="N962" s="6">
        <v>3514103.9507319401</v>
      </c>
      <c r="O962" s="6">
        <v>1513150.4529143199</v>
      </c>
      <c r="P962" s="6">
        <v>1027036.99643629</v>
      </c>
      <c r="Q962" s="6">
        <v>343108.834885969</v>
      </c>
      <c r="R962" s="6">
        <v>141586.73475253501</v>
      </c>
      <c r="S962" s="6">
        <v>171235.35400362901</v>
      </c>
      <c r="T962" s="6">
        <v>2945788.14</v>
      </c>
      <c r="U962" s="6">
        <v>3593198.8297210499</v>
      </c>
      <c r="V962" s="6">
        <v>5736898.9577822704</v>
      </c>
      <c r="W962" s="6">
        <v>785719.09915385302</v>
      </c>
      <c r="X962" s="6">
        <v>0</v>
      </c>
      <c r="Y962" s="6">
        <v>0</v>
      </c>
      <c r="Z962" s="6">
        <v>0</v>
      </c>
      <c r="AA962" s="6">
        <v>16368.9127849335</v>
      </c>
      <c r="AB962" s="6">
        <v>0</v>
      </c>
      <c r="AC962" s="6">
        <v>171235.35400362901</v>
      </c>
      <c r="AD962" s="6">
        <v>0</v>
      </c>
      <c r="AE962" s="6">
        <v>0</v>
      </c>
      <c r="AF962" s="6">
        <v>0</v>
      </c>
      <c r="AG962" s="6">
        <v>0</v>
      </c>
      <c r="AH962" s="6">
        <v>0</v>
      </c>
      <c r="AI962" s="6">
        <v>0</v>
      </c>
      <c r="AJ962" s="6">
        <v>6710222.3237246899</v>
      </c>
      <c r="AK962" s="6">
        <v>15298.7225341217</v>
      </c>
      <c r="AL962" s="6">
        <v>330.98244656580999</v>
      </c>
      <c r="AM962" s="6">
        <v>93035.839999999997</v>
      </c>
      <c r="AN962" s="6">
        <v>8582.5821107517404</v>
      </c>
      <c r="AO962" s="6">
        <v>19520.097895265601</v>
      </c>
      <c r="AP962" s="6">
        <v>330.98244656580999</v>
      </c>
      <c r="AQ962" s="6">
        <v>93035.839999999997</v>
      </c>
      <c r="AR962" s="6">
        <v>8582.5821107517404</v>
      </c>
      <c r="AS962" s="6">
        <v>19520.097895265601</v>
      </c>
      <c r="AT962" s="6">
        <v>0</v>
      </c>
      <c r="AU962" t="s">
        <v>2973</v>
      </c>
      <c r="AV962" t="s">
        <v>2973</v>
      </c>
    </row>
    <row r="963" spans="1:48" x14ac:dyDescent="0.45">
      <c r="A963" s="5" t="s">
        <v>1950</v>
      </c>
      <c r="B963">
        <v>2180</v>
      </c>
      <c r="C963" t="s">
        <v>1849</v>
      </c>
      <c r="D963">
        <v>875</v>
      </c>
      <c r="E963" t="s">
        <v>1951</v>
      </c>
      <c r="F963" t="s">
        <v>2739</v>
      </c>
      <c r="G963" t="s">
        <v>2740</v>
      </c>
      <c r="H963" t="s">
        <v>2745</v>
      </c>
      <c r="I963" t="s">
        <v>2742</v>
      </c>
      <c r="J963">
        <v>382.480237951128</v>
      </c>
      <c r="K963">
        <v>2</v>
      </c>
      <c r="L963">
        <v>2</v>
      </c>
      <c r="M963">
        <v>2</v>
      </c>
      <c r="N963" s="6">
        <v>3247103.2149076401</v>
      </c>
      <c r="O963" s="6">
        <v>1819625.2774210901</v>
      </c>
      <c r="P963" s="6">
        <v>904842.60980492702</v>
      </c>
      <c r="Q963" s="6">
        <v>299198.32683512702</v>
      </c>
      <c r="R963" s="6">
        <v>123466.695790817</v>
      </c>
      <c r="S963" s="6">
        <v>149320.93319582901</v>
      </c>
      <c r="T963" s="6">
        <v>3260889.01</v>
      </c>
      <c r="U963" s="6">
        <v>3133347.1147595998</v>
      </c>
      <c r="V963" s="6">
        <v>5474701.9241944598</v>
      </c>
      <c r="W963" s="6">
        <v>905260.15449172899</v>
      </c>
      <c r="X963" s="6">
        <v>0</v>
      </c>
      <c r="Y963" s="6">
        <v>0</v>
      </c>
      <c r="Z963" s="6">
        <v>0</v>
      </c>
      <c r="AA963" s="6">
        <v>14274.0460734271</v>
      </c>
      <c r="AB963" s="6">
        <v>0</v>
      </c>
      <c r="AC963" s="6">
        <v>149320.93319582901</v>
      </c>
      <c r="AD963" s="6">
        <v>0</v>
      </c>
      <c r="AE963" s="6">
        <v>0</v>
      </c>
      <c r="AF963" s="6">
        <v>0</v>
      </c>
      <c r="AG963" s="6">
        <v>0</v>
      </c>
      <c r="AH963" s="6">
        <v>0</v>
      </c>
      <c r="AI963" s="6">
        <v>0</v>
      </c>
      <c r="AJ963" s="6">
        <v>6543557.0579554401</v>
      </c>
      <c r="AK963" s="6">
        <v>17108.2226182665</v>
      </c>
      <c r="AL963" s="6">
        <v>330.98244656580999</v>
      </c>
      <c r="AM963" s="6">
        <v>93035.839999999997</v>
      </c>
      <c r="AN963" s="6">
        <v>8582.5821107517404</v>
      </c>
      <c r="AO963" s="6">
        <v>19520.097895265601</v>
      </c>
      <c r="AP963" s="6">
        <v>330.98244656580999</v>
      </c>
      <c r="AQ963" s="6">
        <v>93035.839999999997</v>
      </c>
      <c r="AR963" s="6">
        <v>8582.5821107517404</v>
      </c>
      <c r="AS963" s="6">
        <v>19520.097895265601</v>
      </c>
      <c r="AT963" s="6">
        <v>0</v>
      </c>
      <c r="AU963" t="s">
        <v>2973</v>
      </c>
      <c r="AV963" t="s">
        <v>2973</v>
      </c>
    </row>
    <row r="964" spans="1:48" x14ac:dyDescent="0.45">
      <c r="A964" s="5" t="s">
        <v>1952</v>
      </c>
      <c r="B964">
        <v>2180</v>
      </c>
      <c r="C964" t="s">
        <v>1849</v>
      </c>
      <c r="D964">
        <v>916</v>
      </c>
      <c r="E964" t="s">
        <v>1953</v>
      </c>
      <c r="F964" t="s">
        <v>2750</v>
      </c>
      <c r="G964" t="s">
        <v>2748</v>
      </c>
      <c r="H964" t="s">
        <v>2745</v>
      </c>
      <c r="I964" t="s">
        <v>2742</v>
      </c>
      <c r="J964">
        <v>394.42422189878101</v>
      </c>
      <c r="K964">
        <v>1</v>
      </c>
      <c r="L964">
        <v>2</v>
      </c>
      <c r="M964">
        <v>2</v>
      </c>
      <c r="N964" s="6">
        <v>3307369.2428808301</v>
      </c>
      <c r="O964" s="6">
        <v>1716548.56359247</v>
      </c>
      <c r="P964" s="6">
        <v>923565.97408289101</v>
      </c>
      <c r="Q964" s="6">
        <v>308541.60697955103</v>
      </c>
      <c r="R964" s="6">
        <v>127322.27860601</v>
      </c>
      <c r="S964" s="6">
        <v>153983.88477391101</v>
      </c>
      <c r="T964" s="6">
        <v>3152153.28</v>
      </c>
      <c r="U964" s="6">
        <v>3231194.38614175</v>
      </c>
      <c r="V964" s="6">
        <v>5458535.8460537205</v>
      </c>
      <c r="W964" s="6">
        <v>910092.02816879598</v>
      </c>
      <c r="X964" s="6">
        <v>0</v>
      </c>
      <c r="Y964" s="6">
        <v>0</v>
      </c>
      <c r="Z964" s="6">
        <v>0</v>
      </c>
      <c r="AA964" s="6">
        <v>14719.7919192317</v>
      </c>
      <c r="AB964" s="6">
        <v>0</v>
      </c>
      <c r="AC964" s="6">
        <v>153983.88477391101</v>
      </c>
      <c r="AD964" s="6">
        <v>0</v>
      </c>
      <c r="AE964" s="6">
        <v>0</v>
      </c>
      <c r="AF964" s="6">
        <v>0</v>
      </c>
      <c r="AG964" s="6">
        <v>0</v>
      </c>
      <c r="AH964" s="6">
        <v>0</v>
      </c>
      <c r="AI964" s="6">
        <v>0</v>
      </c>
      <c r="AJ964" s="6">
        <v>6537331.5509156696</v>
      </c>
      <c r="AK964" s="6">
        <v>16574.366349623699</v>
      </c>
      <c r="AL964" s="6">
        <v>330.98244656580999</v>
      </c>
      <c r="AM964" s="6">
        <v>93035.839999999997</v>
      </c>
      <c r="AN964" s="6">
        <v>8582.5821107517404</v>
      </c>
      <c r="AO964" s="6">
        <v>19520.097895265601</v>
      </c>
      <c r="AP964" s="6">
        <v>330.98244656580999</v>
      </c>
      <c r="AQ964" s="6">
        <v>56162.493707719797</v>
      </c>
      <c r="AR964" s="6">
        <v>8582.5821107517804</v>
      </c>
      <c r="AS964" s="6">
        <v>16574.366349623699</v>
      </c>
      <c r="AT964" s="6">
        <v>0</v>
      </c>
      <c r="AU964" t="s">
        <v>2973</v>
      </c>
      <c r="AV964" t="s">
        <v>2973</v>
      </c>
    </row>
    <row r="965" spans="1:48" x14ac:dyDescent="0.45">
      <c r="A965" s="5" t="s">
        <v>1954</v>
      </c>
      <c r="B965">
        <v>2180</v>
      </c>
      <c r="C965" t="s">
        <v>1849</v>
      </c>
      <c r="D965">
        <v>877</v>
      </c>
      <c r="E965" t="s">
        <v>1955</v>
      </c>
      <c r="F965" t="s">
        <v>2739</v>
      </c>
      <c r="G965" t="s">
        <v>2747</v>
      </c>
      <c r="H965" t="s">
        <v>2741</v>
      </c>
      <c r="I965" t="s">
        <v>2742</v>
      </c>
      <c r="J965">
        <v>737.24425287353097</v>
      </c>
      <c r="K965">
        <v>1</v>
      </c>
      <c r="L965">
        <v>1</v>
      </c>
      <c r="M965">
        <v>2</v>
      </c>
      <c r="N965" s="6">
        <v>5385857.9795603696</v>
      </c>
      <c r="O965" s="6">
        <v>2481520.7854275601</v>
      </c>
      <c r="P965" s="6">
        <v>1726297.90144301</v>
      </c>
      <c r="Q965" s="6">
        <v>576715.40916777798</v>
      </c>
      <c r="R965" s="6">
        <v>237986.444425647</v>
      </c>
      <c r="S965" s="6">
        <v>287821.40594255697</v>
      </c>
      <c r="T965" s="6">
        <v>4368740.59</v>
      </c>
      <c r="U965" s="6">
        <v>6039637.9300243696</v>
      </c>
      <c r="V965" s="6">
        <v>9029993.6604918502</v>
      </c>
      <c r="W965" s="6">
        <v>1350871.1283937099</v>
      </c>
      <c r="X965" s="6">
        <v>0</v>
      </c>
      <c r="Y965" s="6">
        <v>0</v>
      </c>
      <c r="Z965" s="6">
        <v>0</v>
      </c>
      <c r="AA965" s="6">
        <v>27513.731138785799</v>
      </c>
      <c r="AB965" s="6">
        <v>0</v>
      </c>
      <c r="AC965" s="6">
        <v>287821.40594255697</v>
      </c>
      <c r="AD965" s="6">
        <v>0</v>
      </c>
      <c r="AE965" s="6">
        <v>0</v>
      </c>
      <c r="AF965" s="6">
        <v>0</v>
      </c>
      <c r="AG965" s="6">
        <v>0</v>
      </c>
      <c r="AH965" s="6">
        <v>0</v>
      </c>
      <c r="AI965" s="6">
        <v>0</v>
      </c>
      <c r="AJ965" s="6">
        <v>10696199.9259669</v>
      </c>
      <c r="AK965" s="6">
        <v>14508.353078747899</v>
      </c>
      <c r="AL965" s="6">
        <v>330.98244656580999</v>
      </c>
      <c r="AM965" s="6">
        <v>93035.839999999997</v>
      </c>
      <c r="AN965" s="6">
        <v>8582.5821107517404</v>
      </c>
      <c r="AO965" s="6">
        <v>19520.097895265601</v>
      </c>
      <c r="AP965" s="6">
        <v>3753.1860850462999</v>
      </c>
      <c r="AQ965" s="6">
        <v>20687.885194392002</v>
      </c>
      <c r="AR965" s="6">
        <v>14122.692853946</v>
      </c>
      <c r="AS965" s="6">
        <v>16759.131628278501</v>
      </c>
      <c r="AT965" s="6">
        <v>0</v>
      </c>
      <c r="AU965" t="s">
        <v>2973</v>
      </c>
      <c r="AV965" t="s">
        <v>2973</v>
      </c>
    </row>
    <row r="966" spans="1:48" x14ac:dyDescent="0.45">
      <c r="A966" s="5" t="s">
        <v>1956</v>
      </c>
      <c r="B966">
        <v>2180</v>
      </c>
      <c r="C966" t="s">
        <v>1849</v>
      </c>
      <c r="D966">
        <v>878</v>
      </c>
      <c r="E966" t="s">
        <v>1957</v>
      </c>
      <c r="F966" t="s">
        <v>2739</v>
      </c>
      <c r="G966" t="s">
        <v>2747</v>
      </c>
      <c r="H966" t="s">
        <v>2745</v>
      </c>
      <c r="I966" t="s">
        <v>2742</v>
      </c>
      <c r="J966">
        <v>504.17093796293699</v>
      </c>
      <c r="K966">
        <v>1</v>
      </c>
      <c r="L966">
        <v>1</v>
      </c>
      <c r="M966">
        <v>2</v>
      </c>
      <c r="N966" s="6">
        <v>3727217.11026236</v>
      </c>
      <c r="O966" s="6">
        <v>2368573.9613198601</v>
      </c>
      <c r="P966" s="6">
        <v>1180543.9361265199</v>
      </c>
      <c r="Q966" s="6">
        <v>394391.882533503</v>
      </c>
      <c r="R966" s="6">
        <v>162749.11393459901</v>
      </c>
      <c r="S966" s="6">
        <v>196829.18874481</v>
      </c>
      <c r="T966" s="6">
        <v>3703216.72</v>
      </c>
      <c r="U966" s="6">
        <v>4130259.2841768302</v>
      </c>
      <c r="V966" s="6">
        <v>6865788.7198003698</v>
      </c>
      <c r="W966" s="6">
        <v>948871.77841486002</v>
      </c>
      <c r="X966" s="6">
        <v>0</v>
      </c>
      <c r="Y966" s="6">
        <v>0</v>
      </c>
      <c r="Z966" s="6">
        <v>0</v>
      </c>
      <c r="AA966" s="6">
        <v>18815.505961605999</v>
      </c>
      <c r="AB966" s="6">
        <v>0</v>
      </c>
      <c r="AC966" s="6">
        <v>196829.18874481</v>
      </c>
      <c r="AD966" s="6">
        <v>0</v>
      </c>
      <c r="AE966" s="6">
        <v>0</v>
      </c>
      <c r="AF966" s="6">
        <v>0</v>
      </c>
      <c r="AG966" s="6">
        <v>0</v>
      </c>
      <c r="AH966" s="6">
        <v>0</v>
      </c>
      <c r="AI966" s="6">
        <v>0</v>
      </c>
      <c r="AJ966" s="6">
        <v>8030305.1929216497</v>
      </c>
      <c r="AK966" s="6">
        <v>15927.743128882999</v>
      </c>
      <c r="AL966" s="6">
        <v>330.98244656580999</v>
      </c>
      <c r="AM966" s="6">
        <v>93035.839999999997</v>
      </c>
      <c r="AN966" s="6">
        <v>8582.5821107517404</v>
      </c>
      <c r="AO966" s="6">
        <v>19520.097895265601</v>
      </c>
      <c r="AP966" s="6">
        <v>3753.1860850462999</v>
      </c>
      <c r="AQ966" s="6">
        <v>20687.885194392002</v>
      </c>
      <c r="AR966" s="6">
        <v>14122.692853946</v>
      </c>
      <c r="AS966" s="6">
        <v>16759.131628278501</v>
      </c>
      <c r="AT966" s="6">
        <v>0</v>
      </c>
      <c r="AU966" t="s">
        <v>2973</v>
      </c>
      <c r="AV966" t="s">
        <v>2973</v>
      </c>
    </row>
    <row r="967" spans="1:48" x14ac:dyDescent="0.45">
      <c r="A967" s="5" t="s">
        <v>1958</v>
      </c>
      <c r="B967">
        <v>2180</v>
      </c>
      <c r="C967" t="s">
        <v>1849</v>
      </c>
      <c r="D967">
        <v>3451</v>
      </c>
      <c r="E967" t="s">
        <v>1959</v>
      </c>
      <c r="F967" t="s">
        <v>3</v>
      </c>
      <c r="G967" t="s">
        <v>2740</v>
      </c>
      <c r="H967" t="s">
        <v>2741</v>
      </c>
      <c r="I967" t="s">
        <v>2742</v>
      </c>
      <c r="J967">
        <v>88.005882352940006</v>
      </c>
      <c r="K967">
        <v>1</v>
      </c>
      <c r="L967">
        <v>1</v>
      </c>
      <c r="M967">
        <v>2</v>
      </c>
      <c r="N967" s="6">
        <v>217814.39453246901</v>
      </c>
      <c r="O967" s="6">
        <v>199822.96028365701</v>
      </c>
      <c r="P967" s="6">
        <v>206070.606082543</v>
      </c>
      <c r="Q967" s="6">
        <v>68843.328723857398</v>
      </c>
      <c r="R967" s="6">
        <v>28408.7762611705</v>
      </c>
      <c r="S967" s="6">
        <v>34357.645639570197</v>
      </c>
      <c r="T967" s="6">
        <v>0</v>
      </c>
      <c r="U967" s="6">
        <v>720960.06588369701</v>
      </c>
      <c r="V967" s="6">
        <v>562796.98776779301</v>
      </c>
      <c r="W967" s="6">
        <v>154878.72537086401</v>
      </c>
      <c r="X967" s="6">
        <v>0</v>
      </c>
      <c r="Y967" s="6">
        <v>0</v>
      </c>
      <c r="Z967" s="6">
        <v>0</v>
      </c>
      <c r="AA967" s="6">
        <v>3284.3527450403499</v>
      </c>
      <c r="AB967" s="6">
        <v>0</v>
      </c>
      <c r="AC967" s="6">
        <v>34357.645639570197</v>
      </c>
      <c r="AD967" s="6">
        <v>0</v>
      </c>
      <c r="AE967" s="6">
        <v>0</v>
      </c>
      <c r="AF967" s="6">
        <v>0</v>
      </c>
      <c r="AG967" s="6">
        <v>0</v>
      </c>
      <c r="AH967" s="6">
        <v>0</v>
      </c>
      <c r="AI967" s="6">
        <v>0</v>
      </c>
      <c r="AJ967" s="6">
        <v>755317.71152326697</v>
      </c>
      <c r="AK967" s="6">
        <v>8582.5821107517604</v>
      </c>
      <c r="AL967" s="6">
        <v>330.98244656580999</v>
      </c>
      <c r="AM967" s="6">
        <v>93035.839999999997</v>
      </c>
      <c r="AN967" s="6">
        <v>8582.5821107517404</v>
      </c>
      <c r="AO967" s="6">
        <v>19520.097895265601</v>
      </c>
      <c r="AP967" s="6">
        <v>330.98244656580999</v>
      </c>
      <c r="AQ967" s="6">
        <v>93035.839999999997</v>
      </c>
      <c r="AR967" s="6">
        <v>8582.5821107517404</v>
      </c>
      <c r="AS967" s="6">
        <v>19520.097895265601</v>
      </c>
      <c r="AT967" s="6">
        <v>0</v>
      </c>
      <c r="AU967" t="s">
        <v>2973</v>
      </c>
      <c r="AV967" t="s">
        <v>2976</v>
      </c>
    </row>
    <row r="968" spans="1:48" x14ac:dyDescent="0.45">
      <c r="A968" s="5" t="s">
        <v>1960</v>
      </c>
      <c r="B968">
        <v>2180</v>
      </c>
      <c r="C968" t="s">
        <v>1849</v>
      </c>
      <c r="D968">
        <v>879</v>
      </c>
      <c r="E968" t="s">
        <v>1961</v>
      </c>
      <c r="F968" t="s">
        <v>2739</v>
      </c>
      <c r="G968" t="s">
        <v>2740</v>
      </c>
      <c r="H968" t="s">
        <v>2745</v>
      </c>
      <c r="I968" t="s">
        <v>2742</v>
      </c>
      <c r="J968">
        <v>262.59240077197001</v>
      </c>
      <c r="K968">
        <v>1</v>
      </c>
      <c r="L968">
        <v>2</v>
      </c>
      <c r="M968">
        <v>2</v>
      </c>
      <c r="N968" s="6">
        <v>2094939.68169813</v>
      </c>
      <c r="O968" s="6">
        <v>1277219.68839397</v>
      </c>
      <c r="P968" s="6">
        <v>614874.52580426598</v>
      </c>
      <c r="Q968" s="6">
        <v>205415.07548589099</v>
      </c>
      <c r="R968" s="6">
        <v>84766.251550062501</v>
      </c>
      <c r="S968" s="6">
        <v>102516.518352548</v>
      </c>
      <c r="T968" s="6">
        <v>2126010.9</v>
      </c>
      <c r="U968" s="6">
        <v>2151204.3229323202</v>
      </c>
      <c r="V968" s="6">
        <v>3753294.3034998002</v>
      </c>
      <c r="W968" s="6">
        <v>514121.05095505097</v>
      </c>
      <c r="X968" s="6">
        <v>0</v>
      </c>
      <c r="Y968" s="6">
        <v>0</v>
      </c>
      <c r="Z968" s="6">
        <v>0</v>
      </c>
      <c r="AA968" s="6">
        <v>9799.8684774659596</v>
      </c>
      <c r="AB968" s="6">
        <v>0</v>
      </c>
      <c r="AC968" s="6">
        <v>102516.518352548</v>
      </c>
      <c r="AD968" s="6">
        <v>0</v>
      </c>
      <c r="AE968" s="6">
        <v>0</v>
      </c>
      <c r="AF968" s="6">
        <v>0</v>
      </c>
      <c r="AG968" s="6">
        <v>0</v>
      </c>
      <c r="AH968" s="6">
        <v>0</v>
      </c>
      <c r="AI968" s="6">
        <v>0</v>
      </c>
      <c r="AJ968" s="6">
        <v>4379731.7412848603</v>
      </c>
      <c r="AK968" s="6">
        <v>16678.821353585699</v>
      </c>
      <c r="AL968" s="6">
        <v>330.98244656580999</v>
      </c>
      <c r="AM968" s="6">
        <v>93035.839999999997</v>
      </c>
      <c r="AN968" s="6">
        <v>8582.5821107517404</v>
      </c>
      <c r="AO968" s="6">
        <v>19520.097895265601</v>
      </c>
      <c r="AP968" s="6">
        <v>330.98244656580999</v>
      </c>
      <c r="AQ968" s="6">
        <v>93035.839999999997</v>
      </c>
      <c r="AR968" s="6">
        <v>8582.5821107517404</v>
      </c>
      <c r="AS968" s="6">
        <v>19520.097895265601</v>
      </c>
      <c r="AT968" s="6">
        <v>0</v>
      </c>
      <c r="AU968" t="s">
        <v>2973</v>
      </c>
      <c r="AV968" t="s">
        <v>2973</v>
      </c>
    </row>
    <row r="969" spans="1:48" x14ac:dyDescent="0.45">
      <c r="A969" s="5" t="s">
        <v>1962</v>
      </c>
      <c r="B969">
        <v>2180</v>
      </c>
      <c r="C969" t="s">
        <v>1849</v>
      </c>
      <c r="D969">
        <v>4400</v>
      </c>
      <c r="E969" t="s">
        <v>1963</v>
      </c>
      <c r="F969" t="s">
        <v>3</v>
      </c>
      <c r="G969" t="s">
        <v>2740</v>
      </c>
      <c r="H969" t="s">
        <v>2741</v>
      </c>
      <c r="I969" t="s">
        <v>2742</v>
      </c>
      <c r="J969">
        <v>168.630880597925</v>
      </c>
      <c r="K969">
        <v>1</v>
      </c>
      <c r="L969">
        <v>1</v>
      </c>
      <c r="M969">
        <v>2</v>
      </c>
      <c r="N969" s="6">
        <v>417361.114676525</v>
      </c>
      <c r="O969" s="6">
        <v>382887.15316984302</v>
      </c>
      <c r="P969" s="6">
        <v>394858.46672937297</v>
      </c>
      <c r="Q969" s="6">
        <v>131912.89986093401</v>
      </c>
      <c r="R969" s="6">
        <v>54434.963090516503</v>
      </c>
      <c r="S969" s="6">
        <v>65833.781612879306</v>
      </c>
      <c r="T969" s="6">
        <v>0</v>
      </c>
      <c r="U969" s="6">
        <v>1381454.5975271999</v>
      </c>
      <c r="V969" s="6">
        <v>1078393.27449198</v>
      </c>
      <c r="W969" s="6">
        <v>296768.06989368802</v>
      </c>
      <c r="X969" s="6">
        <v>0</v>
      </c>
      <c r="Y969" s="6">
        <v>0</v>
      </c>
      <c r="Z969" s="6">
        <v>0</v>
      </c>
      <c r="AA969" s="6">
        <v>6293.2531415255498</v>
      </c>
      <c r="AB969" s="6">
        <v>0</v>
      </c>
      <c r="AC969" s="6">
        <v>65833.781612879306</v>
      </c>
      <c r="AD969" s="6">
        <v>0</v>
      </c>
      <c r="AE969" s="6">
        <v>0</v>
      </c>
      <c r="AF969" s="6">
        <v>0</v>
      </c>
      <c r="AG969" s="6">
        <v>0</v>
      </c>
      <c r="AH969" s="6">
        <v>0</v>
      </c>
      <c r="AI969" s="6">
        <v>0</v>
      </c>
      <c r="AJ969" s="6">
        <v>1447288.37914008</v>
      </c>
      <c r="AK969" s="6">
        <v>8582.5821107517695</v>
      </c>
      <c r="AL969" s="6">
        <v>330.98244656580999</v>
      </c>
      <c r="AM969" s="6">
        <v>93035.839999999997</v>
      </c>
      <c r="AN969" s="6">
        <v>8582.5821107517404</v>
      </c>
      <c r="AO969" s="6">
        <v>19520.097895265601</v>
      </c>
      <c r="AP969" s="6">
        <v>330.98244656580999</v>
      </c>
      <c r="AQ969" s="6">
        <v>93035.839999999997</v>
      </c>
      <c r="AR969" s="6">
        <v>8582.5821107517404</v>
      </c>
      <c r="AS969" s="6">
        <v>19520.097895265601</v>
      </c>
      <c r="AT969" s="6">
        <v>0</v>
      </c>
      <c r="AU969" t="s">
        <v>2973</v>
      </c>
      <c r="AV969" t="s">
        <v>2976</v>
      </c>
    </row>
    <row r="970" spans="1:48" x14ac:dyDescent="0.45">
      <c r="A970" s="5" t="s">
        <v>1964</v>
      </c>
      <c r="B970">
        <v>2180</v>
      </c>
      <c r="C970" t="s">
        <v>1849</v>
      </c>
      <c r="D970">
        <v>2180</v>
      </c>
      <c r="E970" t="s">
        <v>1849</v>
      </c>
      <c r="F970" t="s">
        <v>1</v>
      </c>
      <c r="G970" t="s">
        <v>1</v>
      </c>
      <c r="H970" t="s">
        <v>2743</v>
      </c>
      <c r="I970" t="s">
        <v>2742</v>
      </c>
      <c r="J970">
        <v>1606.6036765454</v>
      </c>
      <c r="K970">
        <v>1</v>
      </c>
      <c r="L970">
        <v>2</v>
      </c>
      <c r="M970">
        <v>2</v>
      </c>
      <c r="N970" s="6">
        <v>3976341.1002115202</v>
      </c>
      <c r="O970" s="6">
        <v>3647895.9595271298</v>
      </c>
      <c r="P970" s="6">
        <v>3761950.72997974</v>
      </c>
      <c r="Q970" s="6">
        <v>1256779.0024512799</v>
      </c>
      <c r="R970" s="6">
        <v>518620.38271840202</v>
      </c>
      <c r="S970" s="6">
        <v>627220.79849851795</v>
      </c>
      <c r="T970" s="6">
        <v>0</v>
      </c>
      <c r="U970" s="6">
        <v>13161587.1748881</v>
      </c>
      <c r="V970" s="6">
        <v>10274219.012659101</v>
      </c>
      <c r="W970" s="6">
        <v>2827410.2019861601</v>
      </c>
      <c r="X970" s="6">
        <v>0</v>
      </c>
      <c r="Y970" s="6">
        <v>0</v>
      </c>
      <c r="Z970" s="6">
        <v>0</v>
      </c>
      <c r="AA970" s="6">
        <v>59957.960242842099</v>
      </c>
      <c r="AB970" s="6">
        <v>0</v>
      </c>
      <c r="AC970" s="6">
        <v>627220.79849851795</v>
      </c>
      <c r="AD970" s="6">
        <v>0</v>
      </c>
      <c r="AE970" s="6">
        <v>0</v>
      </c>
      <c r="AF970" s="6">
        <v>0</v>
      </c>
      <c r="AG970" s="6">
        <v>0</v>
      </c>
      <c r="AH970" s="6">
        <v>0</v>
      </c>
      <c r="AI970" s="6">
        <v>0</v>
      </c>
      <c r="AJ970" s="6">
        <v>13788807.973386601</v>
      </c>
      <c r="AK970" s="6">
        <v>8582.5821107517495</v>
      </c>
      <c r="AL970" s="6">
        <v>330.98244656580999</v>
      </c>
      <c r="AM970" s="6">
        <v>93035.839999999997</v>
      </c>
      <c r="AN970" s="6">
        <v>8582.5821107517404</v>
      </c>
      <c r="AO970" s="6">
        <v>19520.097895265601</v>
      </c>
      <c r="AP970" s="6">
        <v>634.54287297753501</v>
      </c>
      <c r="AQ970" s="6">
        <v>40331.279999999999</v>
      </c>
      <c r="AR970" s="6">
        <v>8582.5821107517495</v>
      </c>
      <c r="AS970" s="6">
        <v>8582.5821107517495</v>
      </c>
      <c r="AT970" s="6">
        <v>0</v>
      </c>
      <c r="AU970" t="s">
        <v>2973</v>
      </c>
      <c r="AV970" t="s">
        <v>2977</v>
      </c>
    </row>
    <row r="971" spans="1:48" x14ac:dyDescent="0.45">
      <c r="A971" s="5" t="s">
        <v>1965</v>
      </c>
      <c r="B971">
        <v>2180</v>
      </c>
      <c r="C971" t="s">
        <v>1849</v>
      </c>
      <c r="D971">
        <v>4534</v>
      </c>
      <c r="E971" t="s">
        <v>1966</v>
      </c>
      <c r="F971" t="s">
        <v>3</v>
      </c>
      <c r="G971" t="s">
        <v>2740</v>
      </c>
      <c r="H971" t="s">
        <v>2741</v>
      </c>
      <c r="I971" t="s">
        <v>2742</v>
      </c>
      <c r="J971">
        <v>383.86239621022997</v>
      </c>
      <c r="K971">
        <v>1</v>
      </c>
      <c r="L971">
        <v>1</v>
      </c>
      <c r="M971">
        <v>2</v>
      </c>
      <c r="N971" s="6">
        <v>950058.71401868202</v>
      </c>
      <c r="O971" s="6">
        <v>871584.01576714299</v>
      </c>
      <c r="P971" s="6">
        <v>898834.87926528102</v>
      </c>
      <c r="Q971" s="6">
        <v>300279.53155503602</v>
      </c>
      <c r="R971" s="6">
        <v>123912.863975154</v>
      </c>
      <c r="S971" s="6">
        <v>149860.530122925</v>
      </c>
      <c r="T971" s="6">
        <v>0</v>
      </c>
      <c r="U971" s="6">
        <v>3144670.0045813001</v>
      </c>
      <c r="V971" s="6">
        <v>2454797.2763689598</v>
      </c>
      <c r="W971" s="6">
        <v>675547.100413337</v>
      </c>
      <c r="X971" s="6">
        <v>0</v>
      </c>
      <c r="Y971" s="6">
        <v>0</v>
      </c>
      <c r="Z971" s="6">
        <v>0</v>
      </c>
      <c r="AA971" s="6">
        <v>14325.6277990004</v>
      </c>
      <c r="AB971" s="6">
        <v>0</v>
      </c>
      <c r="AC971" s="6">
        <v>149860.530122925</v>
      </c>
      <c r="AD971" s="6">
        <v>0</v>
      </c>
      <c r="AE971" s="6">
        <v>0</v>
      </c>
      <c r="AF971" s="6">
        <v>0</v>
      </c>
      <c r="AG971" s="6">
        <v>0</v>
      </c>
      <c r="AH971" s="6">
        <v>0</v>
      </c>
      <c r="AI971" s="6">
        <v>0</v>
      </c>
      <c r="AJ971" s="6">
        <v>3294530.53470422</v>
      </c>
      <c r="AK971" s="6">
        <v>8582.5821107517404</v>
      </c>
      <c r="AL971" s="6">
        <v>330.98244656580999</v>
      </c>
      <c r="AM971" s="6">
        <v>93035.839999999997</v>
      </c>
      <c r="AN971" s="6">
        <v>8582.5821107517404</v>
      </c>
      <c r="AO971" s="6">
        <v>19520.097895265601</v>
      </c>
      <c r="AP971" s="6">
        <v>330.98244656580999</v>
      </c>
      <c r="AQ971" s="6">
        <v>93035.839999999997</v>
      </c>
      <c r="AR971" s="6">
        <v>8582.5821107517404</v>
      </c>
      <c r="AS971" s="6">
        <v>19520.097895265601</v>
      </c>
      <c r="AT971" s="6">
        <v>0</v>
      </c>
      <c r="AU971" t="s">
        <v>2973</v>
      </c>
      <c r="AV971" t="s">
        <v>2976</v>
      </c>
    </row>
    <row r="972" spans="1:48" x14ac:dyDescent="0.45">
      <c r="A972" s="5" t="s">
        <v>1967</v>
      </c>
      <c r="B972">
        <v>2180</v>
      </c>
      <c r="C972" t="s">
        <v>1849</v>
      </c>
      <c r="D972">
        <v>883</v>
      </c>
      <c r="E972" t="s">
        <v>1968</v>
      </c>
      <c r="F972" t="s">
        <v>2739</v>
      </c>
      <c r="G972" t="s">
        <v>2740</v>
      </c>
      <c r="H972" t="s">
        <v>2741</v>
      </c>
      <c r="I972" t="s">
        <v>2742</v>
      </c>
      <c r="J972">
        <v>633.06674732807505</v>
      </c>
      <c r="K972">
        <v>1</v>
      </c>
      <c r="L972">
        <v>1</v>
      </c>
      <c r="M972">
        <v>2</v>
      </c>
      <c r="N972" s="6">
        <v>4640525.5278159203</v>
      </c>
      <c r="O972" s="6">
        <v>2091349.0848420199</v>
      </c>
      <c r="P972" s="6">
        <v>1482360.55164377</v>
      </c>
      <c r="Q972" s="6">
        <v>495221.69456430501</v>
      </c>
      <c r="R972" s="6">
        <v>204357.38046582401</v>
      </c>
      <c r="S972" s="6">
        <v>247150.33119790899</v>
      </c>
      <c r="T972" s="6">
        <v>3727617.23</v>
      </c>
      <c r="U972" s="6">
        <v>5186197.0093318401</v>
      </c>
      <c r="V972" s="6">
        <v>7720264.6581521202</v>
      </c>
      <c r="W972" s="6">
        <v>1169923.7228417101</v>
      </c>
      <c r="X972" s="6">
        <v>0</v>
      </c>
      <c r="Y972" s="6">
        <v>0</v>
      </c>
      <c r="Z972" s="6">
        <v>0</v>
      </c>
      <c r="AA972" s="6">
        <v>23625.858337993999</v>
      </c>
      <c r="AB972" s="6">
        <v>0</v>
      </c>
      <c r="AC972" s="6">
        <v>247150.33119790899</v>
      </c>
      <c r="AD972" s="6">
        <v>0</v>
      </c>
      <c r="AE972" s="6">
        <v>0</v>
      </c>
      <c r="AF972" s="6">
        <v>0</v>
      </c>
      <c r="AG972" s="6">
        <v>0</v>
      </c>
      <c r="AH972" s="6">
        <v>0</v>
      </c>
      <c r="AI972" s="6">
        <v>0</v>
      </c>
      <c r="AJ972" s="6">
        <v>9160964.5705297496</v>
      </c>
      <c r="AK972" s="6">
        <v>14470.7720144749</v>
      </c>
      <c r="AL972" s="6">
        <v>330.98244656580999</v>
      </c>
      <c r="AM972" s="6">
        <v>93035.839999999997</v>
      </c>
      <c r="AN972" s="6">
        <v>8582.5821107517404</v>
      </c>
      <c r="AO972" s="6">
        <v>19520.097895265601</v>
      </c>
      <c r="AP972" s="6">
        <v>330.98244656580999</v>
      </c>
      <c r="AQ972" s="6">
        <v>93035.839999999997</v>
      </c>
      <c r="AR972" s="6">
        <v>8582.5821107517404</v>
      </c>
      <c r="AS972" s="6">
        <v>19520.097895265601</v>
      </c>
      <c r="AT972" s="6">
        <v>0</v>
      </c>
      <c r="AU972" t="s">
        <v>2973</v>
      </c>
      <c r="AV972" t="s">
        <v>2973</v>
      </c>
    </row>
    <row r="973" spans="1:48" x14ac:dyDescent="0.45">
      <c r="A973" s="5" t="s">
        <v>1969</v>
      </c>
      <c r="B973">
        <v>2180</v>
      </c>
      <c r="C973" t="s">
        <v>1849</v>
      </c>
      <c r="D973">
        <v>1299</v>
      </c>
      <c r="E973" t="s">
        <v>1970</v>
      </c>
      <c r="F973" t="s">
        <v>2739</v>
      </c>
      <c r="G973" t="s">
        <v>2740</v>
      </c>
      <c r="H973" t="s">
        <v>2741</v>
      </c>
      <c r="I973" t="s">
        <v>2742</v>
      </c>
      <c r="J973">
        <v>378.80626837739698</v>
      </c>
      <c r="K973">
        <v>1</v>
      </c>
      <c r="L973">
        <v>1</v>
      </c>
      <c r="M973">
        <v>2</v>
      </c>
      <c r="N973" s="6">
        <v>3052305.4770713001</v>
      </c>
      <c r="O973" s="6">
        <v>1378490.6055377501</v>
      </c>
      <c r="P973" s="6">
        <v>886995.67830409901</v>
      </c>
      <c r="Q973" s="6">
        <v>296324.33377553301</v>
      </c>
      <c r="R973" s="6">
        <v>122280.718480893</v>
      </c>
      <c r="S973" s="6">
        <v>147886.609246907</v>
      </c>
      <c r="T973" s="6">
        <v>2633147.52</v>
      </c>
      <c r="U973" s="6">
        <v>3103249.2931695702</v>
      </c>
      <c r="V973" s="6">
        <v>4998433.7650659196</v>
      </c>
      <c r="W973" s="6">
        <v>723826.11345655401</v>
      </c>
      <c r="X973" s="6">
        <v>0</v>
      </c>
      <c r="Y973" s="6">
        <v>0</v>
      </c>
      <c r="Z973" s="6">
        <v>0</v>
      </c>
      <c r="AA973" s="6">
        <v>14136.934647099</v>
      </c>
      <c r="AB973" s="6">
        <v>0</v>
      </c>
      <c r="AC973" s="6">
        <v>147886.609246907</v>
      </c>
      <c r="AD973" s="6">
        <v>0</v>
      </c>
      <c r="AE973" s="6">
        <v>0</v>
      </c>
      <c r="AF973" s="6">
        <v>0</v>
      </c>
      <c r="AG973" s="6">
        <v>0</v>
      </c>
      <c r="AH973" s="6">
        <v>0</v>
      </c>
      <c r="AI973" s="6">
        <v>0</v>
      </c>
      <c r="AJ973" s="6">
        <v>5884283.4224164896</v>
      </c>
      <c r="AK973" s="6">
        <v>15533.754094465199</v>
      </c>
      <c r="AL973" s="6">
        <v>330.98244656580999</v>
      </c>
      <c r="AM973" s="6">
        <v>93035.839999999997</v>
      </c>
      <c r="AN973" s="6">
        <v>8582.5821107517404</v>
      </c>
      <c r="AO973" s="6">
        <v>19520.097895265601</v>
      </c>
      <c r="AP973" s="6">
        <v>330.98244656580999</v>
      </c>
      <c r="AQ973" s="6">
        <v>93035.839999999997</v>
      </c>
      <c r="AR973" s="6">
        <v>8582.5821107517404</v>
      </c>
      <c r="AS973" s="6">
        <v>19520.097895265601</v>
      </c>
      <c r="AT973" s="6">
        <v>0</v>
      </c>
      <c r="AU973" t="s">
        <v>2973</v>
      </c>
      <c r="AV973" t="s">
        <v>2973</v>
      </c>
    </row>
    <row r="974" spans="1:48" x14ac:dyDescent="0.45">
      <c r="A974" s="5" t="s">
        <v>1971</v>
      </c>
      <c r="B974">
        <v>2180</v>
      </c>
      <c r="C974" t="s">
        <v>1849</v>
      </c>
      <c r="D974">
        <v>884</v>
      </c>
      <c r="E974" t="s">
        <v>1972</v>
      </c>
      <c r="F974" t="s">
        <v>2739</v>
      </c>
      <c r="G974" t="s">
        <v>2740</v>
      </c>
      <c r="H974" t="s">
        <v>2741</v>
      </c>
      <c r="I974" t="s">
        <v>2742</v>
      </c>
      <c r="J974">
        <v>307.05031256298503</v>
      </c>
      <c r="K974">
        <v>5</v>
      </c>
      <c r="L974">
        <v>1</v>
      </c>
      <c r="M974">
        <v>2</v>
      </c>
      <c r="N974" s="6">
        <v>2710523.83038601</v>
      </c>
      <c r="O974" s="6">
        <v>1638174.6482896099</v>
      </c>
      <c r="P974" s="6">
        <v>718975.16752270702</v>
      </c>
      <c r="Q974" s="6">
        <v>240192.644370783</v>
      </c>
      <c r="R974" s="6">
        <v>99117.506663268097</v>
      </c>
      <c r="S974" s="6">
        <v>119872.96247142099</v>
      </c>
      <c r="T974" s="6">
        <v>2891572.24</v>
      </c>
      <c r="U974" s="6">
        <v>2515411.5572323902</v>
      </c>
      <c r="V974" s="6">
        <v>4458313.0912073804</v>
      </c>
      <c r="W974" s="6">
        <v>937211.68181015796</v>
      </c>
      <c r="X974" s="6">
        <v>0</v>
      </c>
      <c r="Y974" s="6">
        <v>0</v>
      </c>
      <c r="Z974" s="6">
        <v>0</v>
      </c>
      <c r="AA974" s="6">
        <v>11459.024214851799</v>
      </c>
      <c r="AB974" s="6">
        <v>0</v>
      </c>
      <c r="AC974" s="6">
        <v>119872.96247142099</v>
      </c>
      <c r="AD974" s="6">
        <v>0</v>
      </c>
      <c r="AE974" s="6">
        <v>0</v>
      </c>
      <c r="AF974" s="6">
        <v>0</v>
      </c>
      <c r="AG974" s="6">
        <v>0</v>
      </c>
      <c r="AH974" s="6">
        <v>0</v>
      </c>
      <c r="AI974" s="6">
        <v>0</v>
      </c>
      <c r="AJ974" s="6">
        <v>5526856.7597038103</v>
      </c>
      <c r="AK974" s="6">
        <v>17999.8408520431</v>
      </c>
      <c r="AL974" s="6">
        <v>330.98244656580999</v>
      </c>
      <c r="AM974" s="6">
        <v>93035.839999999997</v>
      </c>
      <c r="AN974" s="6">
        <v>8582.5821107517404</v>
      </c>
      <c r="AO974" s="6">
        <v>19520.097895265601</v>
      </c>
      <c r="AP974" s="6">
        <v>330.98244656580999</v>
      </c>
      <c r="AQ974" s="6">
        <v>93035.839999999997</v>
      </c>
      <c r="AR974" s="6">
        <v>8582.5821107517404</v>
      </c>
      <c r="AS974" s="6">
        <v>19520.097895265601</v>
      </c>
      <c r="AT974" s="6">
        <v>0</v>
      </c>
      <c r="AU974" t="s">
        <v>2973</v>
      </c>
      <c r="AV974" t="s">
        <v>2973</v>
      </c>
    </row>
    <row r="975" spans="1:48" x14ac:dyDescent="0.45">
      <c r="A975" s="5" t="s">
        <v>1973</v>
      </c>
      <c r="B975">
        <v>2180</v>
      </c>
      <c r="C975" t="s">
        <v>1849</v>
      </c>
      <c r="D975">
        <v>918</v>
      </c>
      <c r="E975" t="s">
        <v>1974</v>
      </c>
      <c r="F975" t="s">
        <v>2739</v>
      </c>
      <c r="G975" t="s">
        <v>2744</v>
      </c>
      <c r="H975" t="s">
        <v>2745</v>
      </c>
      <c r="I975" t="s">
        <v>2742</v>
      </c>
      <c r="J975">
        <v>977.16204145042502</v>
      </c>
      <c r="K975">
        <v>2</v>
      </c>
      <c r="L975">
        <v>2</v>
      </c>
      <c r="M975">
        <v>2</v>
      </c>
      <c r="N975" s="6">
        <v>7467080.5784050897</v>
      </c>
      <c r="O975" s="6">
        <v>4663801.1328651998</v>
      </c>
      <c r="P975" s="6">
        <v>2288078.5776908598</v>
      </c>
      <c r="Q975" s="6">
        <v>764393.08188812097</v>
      </c>
      <c r="R975" s="6">
        <v>315433.20814789197</v>
      </c>
      <c r="S975" s="6">
        <v>381485.71726093401</v>
      </c>
      <c r="T975" s="6">
        <v>7493698.8399999999</v>
      </c>
      <c r="U975" s="6">
        <v>8005087.73899718</v>
      </c>
      <c r="V975" s="6">
        <v>13294420.141291801</v>
      </c>
      <c r="W975" s="6">
        <v>2167899.0477152602</v>
      </c>
      <c r="X975" s="6">
        <v>0</v>
      </c>
      <c r="Y975" s="6">
        <v>0</v>
      </c>
      <c r="Z975" s="6">
        <v>0</v>
      </c>
      <c r="AA975" s="6">
        <v>36467.389990093303</v>
      </c>
      <c r="AB975" s="6">
        <v>0</v>
      </c>
      <c r="AC975" s="6">
        <v>381485.71726093401</v>
      </c>
      <c r="AD975" s="6">
        <v>0</v>
      </c>
      <c r="AE975" s="6">
        <v>0</v>
      </c>
      <c r="AF975" s="6">
        <v>0</v>
      </c>
      <c r="AG975" s="6">
        <v>0</v>
      </c>
      <c r="AH975" s="6">
        <v>0</v>
      </c>
      <c r="AI975" s="6">
        <v>0</v>
      </c>
      <c r="AJ975" s="6">
        <v>15880272.296258099</v>
      </c>
      <c r="AK975" s="6">
        <v>16251.421588876499</v>
      </c>
      <c r="AL975" s="6">
        <v>330.98244656580999</v>
      </c>
      <c r="AM975" s="6">
        <v>93035.839999999997</v>
      </c>
      <c r="AN975" s="6">
        <v>8582.5821107517404</v>
      </c>
      <c r="AO975" s="6">
        <v>19520.097895265601</v>
      </c>
      <c r="AP975" s="6">
        <v>330.98244656580999</v>
      </c>
      <c r="AQ975" s="6">
        <v>40734.411818744898</v>
      </c>
      <c r="AR975" s="6">
        <v>8582.5821107517604</v>
      </c>
      <c r="AS975" s="6">
        <v>18457.5243447752</v>
      </c>
      <c r="AT975" s="6">
        <v>0</v>
      </c>
      <c r="AU975" t="s">
        <v>2973</v>
      </c>
      <c r="AV975" t="s">
        <v>2973</v>
      </c>
    </row>
    <row r="976" spans="1:48" x14ac:dyDescent="0.45">
      <c r="A976" s="5" t="s">
        <v>1975</v>
      </c>
      <c r="B976">
        <v>2180</v>
      </c>
      <c r="C976" t="s">
        <v>1849</v>
      </c>
      <c r="D976">
        <v>829</v>
      </c>
      <c r="E976" t="s">
        <v>1976</v>
      </c>
      <c r="F976" t="s">
        <v>2739</v>
      </c>
      <c r="G976" t="s">
        <v>2740</v>
      </c>
      <c r="H976" t="s">
        <v>2741</v>
      </c>
      <c r="I976" t="s">
        <v>2742</v>
      </c>
      <c r="J976">
        <v>278.86483753076499</v>
      </c>
      <c r="K976">
        <v>3</v>
      </c>
      <c r="L976">
        <v>1</v>
      </c>
      <c r="M976">
        <v>2</v>
      </c>
      <c r="N976" s="6">
        <v>2423500.0522984499</v>
      </c>
      <c r="O976" s="6">
        <v>1372897.36231811</v>
      </c>
      <c r="P976" s="6">
        <v>652977.33002224599</v>
      </c>
      <c r="Q976" s="6">
        <v>218144.32361081999</v>
      </c>
      <c r="R976" s="6">
        <v>90019.082414830307</v>
      </c>
      <c r="S976" s="6">
        <v>108869.305244779</v>
      </c>
      <c r="T976" s="6">
        <v>2473027.09</v>
      </c>
      <c r="U976" s="6">
        <v>2284511.0606644601</v>
      </c>
      <c r="V976" s="6">
        <v>4072634.2201065598</v>
      </c>
      <c r="W976" s="6">
        <v>674496.77969307697</v>
      </c>
      <c r="X976" s="6">
        <v>0</v>
      </c>
      <c r="Y976" s="6">
        <v>0</v>
      </c>
      <c r="Z976" s="6">
        <v>0</v>
      </c>
      <c r="AA976" s="6">
        <v>10407.1508648285</v>
      </c>
      <c r="AB976" s="6">
        <v>0</v>
      </c>
      <c r="AC976" s="6">
        <v>108869.305244779</v>
      </c>
      <c r="AD976" s="6">
        <v>0</v>
      </c>
      <c r="AE976" s="6">
        <v>0</v>
      </c>
      <c r="AF976" s="6">
        <v>0</v>
      </c>
      <c r="AG976" s="6">
        <v>0</v>
      </c>
      <c r="AH976" s="6">
        <v>0</v>
      </c>
      <c r="AI976" s="6">
        <v>0</v>
      </c>
      <c r="AJ976" s="6">
        <v>4866407.4559092401</v>
      </c>
      <c r="AK976" s="6">
        <v>17450.774715806099</v>
      </c>
      <c r="AL976" s="6">
        <v>330.98244656580999</v>
      </c>
      <c r="AM976" s="6">
        <v>93035.839999999997</v>
      </c>
      <c r="AN976" s="6">
        <v>8582.5821107517404</v>
      </c>
      <c r="AO976" s="6">
        <v>19520.097895265601</v>
      </c>
      <c r="AP976" s="6">
        <v>330.98244656580999</v>
      </c>
      <c r="AQ976" s="6">
        <v>93035.839999999997</v>
      </c>
      <c r="AR976" s="6">
        <v>8582.5821107517404</v>
      </c>
      <c r="AS976" s="6">
        <v>19520.097895265601</v>
      </c>
      <c r="AT976" s="6">
        <v>0</v>
      </c>
      <c r="AU976" t="s">
        <v>2973</v>
      </c>
      <c r="AV976" t="s">
        <v>2973</v>
      </c>
    </row>
    <row r="977" spans="1:48" x14ac:dyDescent="0.45">
      <c r="A977" s="5" t="s">
        <v>2967</v>
      </c>
      <c r="B977">
        <v>2180</v>
      </c>
      <c r="C977" t="s">
        <v>1849</v>
      </c>
      <c r="D977">
        <v>5427</v>
      </c>
      <c r="E977" t="s">
        <v>2968</v>
      </c>
      <c r="F977" t="s">
        <v>2739</v>
      </c>
      <c r="G977" t="s">
        <v>2740</v>
      </c>
      <c r="H977" t="s">
        <v>2741</v>
      </c>
      <c r="I977" t="s">
        <v>2742</v>
      </c>
      <c r="J977">
        <v>534.27596289570999</v>
      </c>
      <c r="K977">
        <v>2</v>
      </c>
      <c r="L977">
        <v>1</v>
      </c>
      <c r="M977">
        <v>2</v>
      </c>
      <c r="N977" s="6">
        <v>1322332.01077034</v>
      </c>
      <c r="O977" s="6">
        <v>1213107.59758158</v>
      </c>
      <c r="P977" s="6">
        <v>1251036.50512488</v>
      </c>
      <c r="Q977" s="6">
        <v>417941.78706573701</v>
      </c>
      <c r="R977" s="6">
        <v>172467.179304619</v>
      </c>
      <c r="S977" s="6">
        <v>208582.24150624301</v>
      </c>
      <c r="T977" s="6">
        <v>0</v>
      </c>
      <c r="U977" s="6">
        <v>4376885.0798471598</v>
      </c>
      <c r="V977" s="6">
        <v>3416690.9587765499</v>
      </c>
      <c r="W977" s="6">
        <v>940255.104740893</v>
      </c>
      <c r="X977" s="6">
        <v>0</v>
      </c>
      <c r="Y977" s="6">
        <v>0</v>
      </c>
      <c r="Z977" s="6">
        <v>0</v>
      </c>
      <c r="AA977" s="6">
        <v>19939.0163297076</v>
      </c>
      <c r="AB977" s="6">
        <v>0</v>
      </c>
      <c r="AC977" s="6">
        <v>208582.24150624301</v>
      </c>
      <c r="AD977" s="6">
        <v>0</v>
      </c>
      <c r="AE977" s="6">
        <v>0</v>
      </c>
      <c r="AF977" s="6">
        <v>0</v>
      </c>
      <c r="AG977" s="6">
        <v>0</v>
      </c>
      <c r="AH977" s="6">
        <v>0</v>
      </c>
      <c r="AI977" s="6">
        <v>0</v>
      </c>
      <c r="AJ977" s="6">
        <v>4585467.3213534001</v>
      </c>
      <c r="AK977" s="6">
        <v>8582.5821107517404</v>
      </c>
      <c r="AL977" s="6">
        <v>330.98244656580999</v>
      </c>
      <c r="AM977" s="6">
        <v>93035.839999999997</v>
      </c>
      <c r="AN977" s="6">
        <v>8582.5821107517404</v>
      </c>
      <c r="AO977" s="6">
        <v>19520.097895265601</v>
      </c>
      <c r="AP977" s="6">
        <v>330.98244656580999</v>
      </c>
      <c r="AQ977" s="6">
        <v>93035.839999999997</v>
      </c>
      <c r="AR977" s="6">
        <v>8582.5821107517404</v>
      </c>
      <c r="AS977" s="6">
        <v>19520.097895265601</v>
      </c>
      <c r="AT977" s="6">
        <v>0</v>
      </c>
      <c r="AU977" t="s">
        <v>2973</v>
      </c>
      <c r="AV977" t="s">
        <v>2976</v>
      </c>
    </row>
    <row r="978" spans="1:48" x14ac:dyDescent="0.45">
      <c r="A978" s="5" t="s">
        <v>1977</v>
      </c>
      <c r="B978">
        <v>2180</v>
      </c>
      <c r="C978" t="s">
        <v>1849</v>
      </c>
      <c r="D978">
        <v>885</v>
      </c>
      <c r="E978" t="s">
        <v>1978</v>
      </c>
      <c r="F978" t="s">
        <v>2739</v>
      </c>
      <c r="G978" t="s">
        <v>2747</v>
      </c>
      <c r="H978" t="s">
        <v>2741</v>
      </c>
      <c r="I978" t="s">
        <v>2742</v>
      </c>
      <c r="J978">
        <v>577.24971100139896</v>
      </c>
      <c r="K978">
        <v>2</v>
      </c>
      <c r="L978">
        <v>1</v>
      </c>
      <c r="M978">
        <v>2</v>
      </c>
      <c r="N978" s="6">
        <v>3996191.8871077001</v>
      </c>
      <c r="O978" s="6">
        <v>2575227.4093149998</v>
      </c>
      <c r="P978" s="6">
        <v>1351661.89607617</v>
      </c>
      <c r="Q978" s="6">
        <v>451558.35664311599</v>
      </c>
      <c r="R978" s="6">
        <v>186339.33832851701</v>
      </c>
      <c r="S978" s="6">
        <v>225359.26560672501</v>
      </c>
      <c r="T978" s="6">
        <v>3832045.11</v>
      </c>
      <c r="U978" s="6">
        <v>4728933.7774705002</v>
      </c>
      <c r="V978" s="6">
        <v>7395708.3803389799</v>
      </c>
      <c r="W978" s="6">
        <v>1143727.72360147</v>
      </c>
      <c r="X978" s="6">
        <v>0</v>
      </c>
      <c r="Y978" s="6">
        <v>0</v>
      </c>
      <c r="Z978" s="6">
        <v>0</v>
      </c>
      <c r="AA978" s="6">
        <v>21542.783530058601</v>
      </c>
      <c r="AB978" s="6">
        <v>0</v>
      </c>
      <c r="AC978" s="6">
        <v>225359.26560672501</v>
      </c>
      <c r="AD978" s="6">
        <v>0</v>
      </c>
      <c r="AE978" s="6">
        <v>0</v>
      </c>
      <c r="AF978" s="6">
        <v>0</v>
      </c>
      <c r="AG978" s="6">
        <v>0</v>
      </c>
      <c r="AH978" s="6">
        <v>0</v>
      </c>
      <c r="AI978" s="6">
        <v>0</v>
      </c>
      <c r="AJ978" s="6">
        <v>8786338.1530772299</v>
      </c>
      <c r="AK978" s="6">
        <v>15221.0351700911</v>
      </c>
      <c r="AL978" s="6">
        <v>330.98244656580999</v>
      </c>
      <c r="AM978" s="6">
        <v>93035.839999999997</v>
      </c>
      <c r="AN978" s="6">
        <v>8582.5821107517404</v>
      </c>
      <c r="AO978" s="6">
        <v>19520.097895265601</v>
      </c>
      <c r="AP978" s="6">
        <v>3753.1860850462999</v>
      </c>
      <c r="AQ978" s="6">
        <v>20687.885194392002</v>
      </c>
      <c r="AR978" s="6">
        <v>14122.692853946</v>
      </c>
      <c r="AS978" s="6">
        <v>16759.131628278501</v>
      </c>
      <c r="AT978" s="6">
        <v>0</v>
      </c>
      <c r="AU978" t="s">
        <v>2973</v>
      </c>
      <c r="AV978" t="s">
        <v>2973</v>
      </c>
    </row>
    <row r="979" spans="1:48" x14ac:dyDescent="0.45">
      <c r="A979" s="5" t="s">
        <v>1979</v>
      </c>
      <c r="B979">
        <v>2180</v>
      </c>
      <c r="C979" t="s">
        <v>1849</v>
      </c>
      <c r="D979">
        <v>886</v>
      </c>
      <c r="E979" t="s">
        <v>1980</v>
      </c>
      <c r="F979" t="s">
        <v>2739</v>
      </c>
      <c r="G979" t="s">
        <v>2740</v>
      </c>
      <c r="H979" t="s">
        <v>2741</v>
      </c>
      <c r="I979" t="s">
        <v>2742</v>
      </c>
      <c r="J979">
        <v>449.24315121127103</v>
      </c>
      <c r="K979">
        <v>1</v>
      </c>
      <c r="L979">
        <v>1</v>
      </c>
      <c r="M979">
        <v>2</v>
      </c>
      <c r="N979" s="6">
        <v>3483599.36059222</v>
      </c>
      <c r="O979" s="6">
        <v>1474298.9935822</v>
      </c>
      <c r="P979" s="6">
        <v>1051927.5072690099</v>
      </c>
      <c r="Q979" s="6">
        <v>351424.16744084703</v>
      </c>
      <c r="R979" s="6">
        <v>145018.126384342</v>
      </c>
      <c r="S979" s="6">
        <v>175385.28769497701</v>
      </c>
      <c r="T979" s="6">
        <v>2825987.21</v>
      </c>
      <c r="U979" s="6">
        <v>3680280.9452686198</v>
      </c>
      <c r="V979" s="6">
        <v>5608189.4766548397</v>
      </c>
      <c r="W979" s="6">
        <v>881313.06093661999</v>
      </c>
      <c r="X979" s="6">
        <v>0</v>
      </c>
      <c r="Y979" s="6">
        <v>0</v>
      </c>
      <c r="Z979" s="6">
        <v>0</v>
      </c>
      <c r="AA979" s="6">
        <v>16765.617677169099</v>
      </c>
      <c r="AB979" s="6">
        <v>0</v>
      </c>
      <c r="AC979" s="6">
        <v>175385.28769497701</v>
      </c>
      <c r="AD979" s="6">
        <v>0</v>
      </c>
      <c r="AE979" s="6">
        <v>0</v>
      </c>
      <c r="AF979" s="6">
        <v>0</v>
      </c>
      <c r="AG979" s="6">
        <v>0</v>
      </c>
      <c r="AH979" s="6">
        <v>0</v>
      </c>
      <c r="AI979" s="6">
        <v>0</v>
      </c>
      <c r="AJ979" s="6">
        <v>6681653.4429636002</v>
      </c>
      <c r="AK979" s="6">
        <v>14873.1336803871</v>
      </c>
      <c r="AL979" s="6">
        <v>330.98244656580999</v>
      </c>
      <c r="AM979" s="6">
        <v>93035.839999999997</v>
      </c>
      <c r="AN979" s="6">
        <v>8582.5821107517404</v>
      </c>
      <c r="AO979" s="6">
        <v>19520.097895265601</v>
      </c>
      <c r="AP979" s="6">
        <v>330.98244656580999</v>
      </c>
      <c r="AQ979" s="6">
        <v>93035.839999999997</v>
      </c>
      <c r="AR979" s="6">
        <v>8582.5821107517404</v>
      </c>
      <c r="AS979" s="6">
        <v>19520.097895265601</v>
      </c>
      <c r="AT979" s="6">
        <v>0</v>
      </c>
      <c r="AU979" t="s">
        <v>2973</v>
      </c>
      <c r="AV979" t="s">
        <v>2973</v>
      </c>
    </row>
    <row r="980" spans="1:48" x14ac:dyDescent="0.45">
      <c r="A980" s="5" t="s">
        <v>1981</v>
      </c>
      <c r="B980">
        <v>2180</v>
      </c>
      <c r="C980" t="s">
        <v>1849</v>
      </c>
      <c r="D980">
        <v>887</v>
      </c>
      <c r="E980" t="s">
        <v>1982</v>
      </c>
      <c r="F980" t="s">
        <v>2739</v>
      </c>
      <c r="G980" t="s">
        <v>2740</v>
      </c>
      <c r="H980" t="s">
        <v>2741</v>
      </c>
      <c r="I980" t="s">
        <v>2742</v>
      </c>
      <c r="J980">
        <v>447.35805691589201</v>
      </c>
      <c r="K980">
        <v>4</v>
      </c>
      <c r="L980">
        <v>1</v>
      </c>
      <c r="M980">
        <v>2</v>
      </c>
      <c r="N980" s="6">
        <v>3644835.6157302898</v>
      </c>
      <c r="O980" s="6">
        <v>1959834.88693774</v>
      </c>
      <c r="P980" s="6">
        <v>1047513.45546264</v>
      </c>
      <c r="Q980" s="6">
        <v>349949.53685045399</v>
      </c>
      <c r="R980" s="6">
        <v>144409.607719035</v>
      </c>
      <c r="S980" s="6">
        <v>174649.34368684801</v>
      </c>
      <c r="T980" s="6">
        <v>3481705.19</v>
      </c>
      <c r="U980" s="6">
        <v>3664837.9127001502</v>
      </c>
      <c r="V980" s="6">
        <v>6115953.9821279598</v>
      </c>
      <c r="W980" s="6">
        <v>1013893.85404041</v>
      </c>
      <c r="X980" s="6">
        <v>0</v>
      </c>
      <c r="Y980" s="6">
        <v>0</v>
      </c>
      <c r="Z980" s="6">
        <v>0</v>
      </c>
      <c r="AA980" s="6">
        <v>16695.266531789301</v>
      </c>
      <c r="AB980" s="6">
        <v>0</v>
      </c>
      <c r="AC980" s="6">
        <v>174649.34368684801</v>
      </c>
      <c r="AD980" s="6">
        <v>0</v>
      </c>
      <c r="AE980" s="6">
        <v>0</v>
      </c>
      <c r="AF980" s="6">
        <v>0</v>
      </c>
      <c r="AG980" s="6">
        <v>0</v>
      </c>
      <c r="AH980" s="6">
        <v>0</v>
      </c>
      <c r="AI980" s="6">
        <v>0</v>
      </c>
      <c r="AJ980" s="6">
        <v>7321192.4463870097</v>
      </c>
      <c r="AK980" s="6">
        <v>16365.397544999299</v>
      </c>
      <c r="AL980" s="6">
        <v>330.98244656580999</v>
      </c>
      <c r="AM980" s="6">
        <v>93035.839999999997</v>
      </c>
      <c r="AN980" s="6">
        <v>8582.5821107517404</v>
      </c>
      <c r="AO980" s="6">
        <v>19520.097895265601</v>
      </c>
      <c r="AP980" s="6">
        <v>330.98244656580999</v>
      </c>
      <c r="AQ980" s="6">
        <v>93035.839999999997</v>
      </c>
      <c r="AR980" s="6">
        <v>8582.5821107517404</v>
      </c>
      <c r="AS980" s="6">
        <v>19520.097895265601</v>
      </c>
      <c r="AT980" s="6">
        <v>0</v>
      </c>
      <c r="AU980" t="s">
        <v>2973</v>
      </c>
      <c r="AV980" t="s">
        <v>2973</v>
      </c>
    </row>
    <row r="981" spans="1:48" x14ac:dyDescent="0.45">
      <c r="A981" s="5" t="s">
        <v>1983</v>
      </c>
      <c r="B981">
        <v>2180</v>
      </c>
      <c r="C981" t="s">
        <v>1849</v>
      </c>
      <c r="D981">
        <v>888</v>
      </c>
      <c r="E981" t="s">
        <v>1984</v>
      </c>
      <c r="F981" t="s">
        <v>2739</v>
      </c>
      <c r="G981" t="s">
        <v>2747</v>
      </c>
      <c r="H981" t="s">
        <v>2745</v>
      </c>
      <c r="I981" t="s">
        <v>2742</v>
      </c>
      <c r="J981">
        <v>601.74425287352597</v>
      </c>
      <c r="K981">
        <v>1</v>
      </c>
      <c r="L981">
        <v>1</v>
      </c>
      <c r="M981">
        <v>2</v>
      </c>
      <c r="N981" s="6">
        <v>4151851.0725143398</v>
      </c>
      <c r="O981" s="6">
        <v>2037493.27650006</v>
      </c>
      <c r="P981" s="6">
        <v>1409017.2109068399</v>
      </c>
      <c r="Q981" s="6">
        <v>470719.41443787102</v>
      </c>
      <c r="R981" s="6">
        <v>194246.309329323</v>
      </c>
      <c r="S981" s="6">
        <v>234921.97627157599</v>
      </c>
      <c r="T981" s="6">
        <v>3333729.8</v>
      </c>
      <c r="U981" s="6">
        <v>4929597.4836884197</v>
      </c>
      <c r="V981" s="6">
        <v>7178107.3502978999</v>
      </c>
      <c r="W981" s="6">
        <v>1062763.0210126501</v>
      </c>
      <c r="X981" s="6">
        <v>0</v>
      </c>
      <c r="Y981" s="6">
        <v>0</v>
      </c>
      <c r="Z981" s="6">
        <v>0</v>
      </c>
      <c r="AA981" s="6">
        <v>22456.912377873501</v>
      </c>
      <c r="AB981" s="6">
        <v>0</v>
      </c>
      <c r="AC981" s="6">
        <v>234921.97627157599</v>
      </c>
      <c r="AD981" s="6">
        <v>0</v>
      </c>
      <c r="AE981" s="6">
        <v>0</v>
      </c>
      <c r="AF981" s="6">
        <v>0</v>
      </c>
      <c r="AG981" s="6">
        <v>0</v>
      </c>
      <c r="AH981" s="6">
        <v>0</v>
      </c>
      <c r="AI981" s="6">
        <v>0</v>
      </c>
      <c r="AJ981" s="6">
        <v>8498249.2599599902</v>
      </c>
      <c r="AK981" s="6">
        <v>14122.692853946</v>
      </c>
      <c r="AL981" s="6">
        <v>330.98244656580999</v>
      </c>
      <c r="AM981" s="6">
        <v>93035.839999999997</v>
      </c>
      <c r="AN981" s="6">
        <v>8582.5821107517404</v>
      </c>
      <c r="AO981" s="6">
        <v>19520.097895265601</v>
      </c>
      <c r="AP981" s="6">
        <v>3753.1860850462999</v>
      </c>
      <c r="AQ981" s="6">
        <v>20687.885194392002</v>
      </c>
      <c r="AR981" s="6">
        <v>14122.692853946</v>
      </c>
      <c r="AS981" s="6">
        <v>16759.131628278501</v>
      </c>
      <c r="AT981" s="6">
        <v>0</v>
      </c>
      <c r="AU981" t="s">
        <v>2973</v>
      </c>
      <c r="AV981" t="s">
        <v>2973</v>
      </c>
    </row>
    <row r="982" spans="1:48" x14ac:dyDescent="0.45">
      <c r="A982" s="5" t="s">
        <v>1985</v>
      </c>
      <c r="B982">
        <v>2180</v>
      </c>
      <c r="C982" t="s">
        <v>1849</v>
      </c>
      <c r="D982">
        <v>889</v>
      </c>
      <c r="E982" t="s">
        <v>1986</v>
      </c>
      <c r="F982" t="s">
        <v>2739</v>
      </c>
      <c r="G982" t="s">
        <v>2740</v>
      </c>
      <c r="H982" t="s">
        <v>2741</v>
      </c>
      <c r="I982" t="s">
        <v>2742</v>
      </c>
      <c r="J982">
        <v>363.86683616590602</v>
      </c>
      <c r="K982">
        <v>3</v>
      </c>
      <c r="L982">
        <v>1</v>
      </c>
      <c r="M982">
        <v>2</v>
      </c>
      <c r="N982" s="6">
        <v>3238107.7002370702</v>
      </c>
      <c r="O982" s="6">
        <v>1679644.9733268199</v>
      </c>
      <c r="P982" s="6">
        <v>852014.17743118398</v>
      </c>
      <c r="Q982" s="6">
        <v>284637.83947326703</v>
      </c>
      <c r="R982" s="6">
        <v>117458.188715631</v>
      </c>
      <c r="S982" s="6">
        <v>142054.22958937101</v>
      </c>
      <c r="T982" s="6">
        <v>3191000.11</v>
      </c>
      <c r="U982" s="6">
        <v>2980862.7691839798</v>
      </c>
      <c r="V982" s="6">
        <v>5148248.2729985397</v>
      </c>
      <c r="W982" s="6">
        <v>1010035.20660169</v>
      </c>
      <c r="X982" s="6">
        <v>0</v>
      </c>
      <c r="Y982" s="6">
        <v>0</v>
      </c>
      <c r="Z982" s="6">
        <v>0</v>
      </c>
      <c r="AA982" s="6">
        <v>13579.3995837452</v>
      </c>
      <c r="AB982" s="6">
        <v>0</v>
      </c>
      <c r="AC982" s="6">
        <v>142054.22958937101</v>
      </c>
      <c r="AD982" s="6">
        <v>0</v>
      </c>
      <c r="AE982" s="6">
        <v>0</v>
      </c>
      <c r="AF982" s="6">
        <v>0</v>
      </c>
      <c r="AG982" s="6">
        <v>0</v>
      </c>
      <c r="AH982" s="6">
        <v>0</v>
      </c>
      <c r="AI982" s="6">
        <v>0</v>
      </c>
      <c r="AJ982" s="6">
        <v>6313917.1087733395</v>
      </c>
      <c r="AK982" s="6">
        <v>17352.274187182298</v>
      </c>
      <c r="AL982" s="6">
        <v>330.98244656580999</v>
      </c>
      <c r="AM982" s="6">
        <v>93035.839999999997</v>
      </c>
      <c r="AN982" s="6">
        <v>8582.5821107517404</v>
      </c>
      <c r="AO982" s="6">
        <v>19520.097895265601</v>
      </c>
      <c r="AP982" s="6">
        <v>330.98244656580999</v>
      </c>
      <c r="AQ982" s="6">
        <v>93035.839999999997</v>
      </c>
      <c r="AR982" s="6">
        <v>8582.5821107517404</v>
      </c>
      <c r="AS982" s="6">
        <v>19520.097895265601</v>
      </c>
      <c r="AT982" s="6">
        <v>0</v>
      </c>
      <c r="AU982" t="s">
        <v>2973</v>
      </c>
      <c r="AV982" t="s">
        <v>2973</v>
      </c>
    </row>
    <row r="983" spans="1:48" x14ac:dyDescent="0.45">
      <c r="A983" s="5" t="s">
        <v>1987</v>
      </c>
      <c r="B983">
        <v>2180</v>
      </c>
      <c r="C983" t="s">
        <v>1849</v>
      </c>
      <c r="D983">
        <v>890</v>
      </c>
      <c r="E983" t="s">
        <v>1988</v>
      </c>
      <c r="F983" t="s">
        <v>2739</v>
      </c>
      <c r="G983" t="s">
        <v>2740</v>
      </c>
      <c r="H983" t="s">
        <v>2741</v>
      </c>
      <c r="I983" t="s">
        <v>2742</v>
      </c>
      <c r="J983">
        <v>267.49971342137701</v>
      </c>
      <c r="K983">
        <v>1</v>
      </c>
      <c r="L983">
        <v>1</v>
      </c>
      <c r="M983">
        <v>2</v>
      </c>
      <c r="N983" s="6">
        <v>2128778.11134435</v>
      </c>
      <c r="O983" s="6">
        <v>1163058.3342725299</v>
      </c>
      <c r="P983" s="6">
        <v>626365.26784176205</v>
      </c>
      <c r="Q983" s="6">
        <v>209253.861358397</v>
      </c>
      <c r="R983" s="6">
        <v>86350.358695781804</v>
      </c>
      <c r="S983" s="6">
        <v>104432.341528716</v>
      </c>
      <c r="T983" s="6">
        <v>2022400.02</v>
      </c>
      <c r="U983" s="6">
        <v>2191405.9135128199</v>
      </c>
      <c r="V983" s="6">
        <v>3681680.9227699498</v>
      </c>
      <c r="W983" s="6">
        <v>522142.002850861</v>
      </c>
      <c r="X983" s="6">
        <v>0</v>
      </c>
      <c r="Y983" s="6">
        <v>0</v>
      </c>
      <c r="Z983" s="6">
        <v>0</v>
      </c>
      <c r="AA983" s="6">
        <v>9983.0078920134401</v>
      </c>
      <c r="AB983" s="6">
        <v>0</v>
      </c>
      <c r="AC983" s="6">
        <v>104432.341528716</v>
      </c>
      <c r="AD983" s="6">
        <v>0</v>
      </c>
      <c r="AE983" s="6">
        <v>0</v>
      </c>
      <c r="AF983" s="6">
        <v>0</v>
      </c>
      <c r="AG983" s="6">
        <v>0</v>
      </c>
      <c r="AH983" s="6">
        <v>0</v>
      </c>
      <c r="AI983" s="6">
        <v>0</v>
      </c>
      <c r="AJ983" s="6">
        <v>4318238.2750415299</v>
      </c>
      <c r="AK983" s="6">
        <v>16142.964116896999</v>
      </c>
      <c r="AL983" s="6">
        <v>330.98244656580999</v>
      </c>
      <c r="AM983" s="6">
        <v>93035.839999999997</v>
      </c>
      <c r="AN983" s="6">
        <v>8582.5821107517404</v>
      </c>
      <c r="AO983" s="6">
        <v>19520.097895265601</v>
      </c>
      <c r="AP983" s="6">
        <v>330.98244656580999</v>
      </c>
      <c r="AQ983" s="6">
        <v>93035.839999999997</v>
      </c>
      <c r="AR983" s="6">
        <v>8582.5821107517404</v>
      </c>
      <c r="AS983" s="6">
        <v>19520.097895265601</v>
      </c>
      <c r="AT983" s="6">
        <v>0</v>
      </c>
      <c r="AU983" t="s">
        <v>2973</v>
      </c>
      <c r="AV983" t="s">
        <v>2973</v>
      </c>
    </row>
    <row r="984" spans="1:48" x14ac:dyDescent="0.45">
      <c r="A984" s="5" t="s">
        <v>1989</v>
      </c>
      <c r="B984">
        <v>2180</v>
      </c>
      <c r="C984" t="s">
        <v>1849</v>
      </c>
      <c r="D984">
        <v>892</v>
      </c>
      <c r="E984" t="s">
        <v>1990</v>
      </c>
      <c r="F984" t="s">
        <v>2739</v>
      </c>
      <c r="G984" t="s">
        <v>2740</v>
      </c>
      <c r="H984" t="s">
        <v>2741</v>
      </c>
      <c r="I984" t="s">
        <v>2742</v>
      </c>
      <c r="J984">
        <v>349.03967217838101</v>
      </c>
      <c r="K984">
        <v>1</v>
      </c>
      <c r="L984">
        <v>1</v>
      </c>
      <c r="M984">
        <v>2</v>
      </c>
      <c r="N984" s="6">
        <v>2759119.86704758</v>
      </c>
      <c r="O984" s="6">
        <v>1301544.7432678801</v>
      </c>
      <c r="P984" s="6">
        <v>817295.55876952398</v>
      </c>
      <c r="Q984" s="6">
        <v>273039.16791694902</v>
      </c>
      <c r="R984" s="6">
        <v>112671.89974212799</v>
      </c>
      <c r="S984" s="6">
        <v>136265.67963676501</v>
      </c>
      <c r="T984" s="6">
        <v>2404275.27</v>
      </c>
      <c r="U984" s="6">
        <v>2859395.9667440602</v>
      </c>
      <c r="V984" s="6">
        <v>4562225.0754199</v>
      </c>
      <c r="W984" s="6">
        <v>688420.10698782897</v>
      </c>
      <c r="X984" s="6">
        <v>0</v>
      </c>
      <c r="Y984" s="6">
        <v>0</v>
      </c>
      <c r="Z984" s="6">
        <v>0</v>
      </c>
      <c r="AA984" s="6">
        <v>13026.0543363412</v>
      </c>
      <c r="AB984" s="6">
        <v>0</v>
      </c>
      <c r="AC984" s="6">
        <v>136265.67963676501</v>
      </c>
      <c r="AD984" s="6">
        <v>0</v>
      </c>
      <c r="AE984" s="6">
        <v>0</v>
      </c>
      <c r="AF984" s="6">
        <v>0</v>
      </c>
      <c r="AG984" s="6">
        <v>0</v>
      </c>
      <c r="AH984" s="6">
        <v>0</v>
      </c>
      <c r="AI984" s="6">
        <v>0</v>
      </c>
      <c r="AJ984" s="6">
        <v>5399936.9163808301</v>
      </c>
      <c r="AK984" s="6">
        <v>15470.8399841183</v>
      </c>
      <c r="AL984" s="6">
        <v>330.98244656580999</v>
      </c>
      <c r="AM984" s="6">
        <v>93035.839999999997</v>
      </c>
      <c r="AN984" s="6">
        <v>8582.5821107517404</v>
      </c>
      <c r="AO984" s="6">
        <v>19520.097895265601</v>
      </c>
      <c r="AP984" s="6">
        <v>330.98244656580999</v>
      </c>
      <c r="AQ984" s="6">
        <v>93035.839999999997</v>
      </c>
      <c r="AR984" s="6">
        <v>8582.5821107517404</v>
      </c>
      <c r="AS984" s="6">
        <v>19520.097895265601</v>
      </c>
      <c r="AT984" s="6">
        <v>0</v>
      </c>
      <c r="AU984" t="s">
        <v>2973</v>
      </c>
      <c r="AV984" t="s">
        <v>2973</v>
      </c>
    </row>
    <row r="985" spans="1:48" x14ac:dyDescent="0.45">
      <c r="A985" s="5" t="s">
        <v>1991</v>
      </c>
      <c r="B985">
        <v>2180</v>
      </c>
      <c r="C985" t="s">
        <v>1849</v>
      </c>
      <c r="D985">
        <v>893</v>
      </c>
      <c r="E985" t="s">
        <v>1992</v>
      </c>
      <c r="F985" t="s">
        <v>2739</v>
      </c>
      <c r="G985" t="s">
        <v>2740</v>
      </c>
      <c r="H985" t="s">
        <v>2741</v>
      </c>
      <c r="I985" t="s">
        <v>2742</v>
      </c>
      <c r="J985">
        <v>578.63263762852</v>
      </c>
      <c r="K985">
        <v>1</v>
      </c>
      <c r="L985">
        <v>1</v>
      </c>
      <c r="M985">
        <v>2</v>
      </c>
      <c r="N985" s="6">
        <v>4393779.5379281398</v>
      </c>
      <c r="O985" s="6">
        <v>2027291.7122895799</v>
      </c>
      <c r="P985" s="6">
        <v>1354900.0947124299</v>
      </c>
      <c r="Q985" s="6">
        <v>452640.16242525697</v>
      </c>
      <c r="R985" s="6">
        <v>186785.754546218</v>
      </c>
      <c r="S985" s="6">
        <v>225899.16250599801</v>
      </c>
      <c r="T985" s="6">
        <v>3675134.3</v>
      </c>
      <c r="U985" s="6">
        <v>4740262.9619016303</v>
      </c>
      <c r="V985" s="6">
        <v>7350618.0962214703</v>
      </c>
      <c r="W985" s="6">
        <v>1043184.77174927</v>
      </c>
      <c r="X985" s="6">
        <v>0</v>
      </c>
      <c r="Y985" s="6">
        <v>0</v>
      </c>
      <c r="Z985" s="6">
        <v>0</v>
      </c>
      <c r="AA985" s="6">
        <v>21594.3939308925</v>
      </c>
      <c r="AB985" s="6">
        <v>0</v>
      </c>
      <c r="AC985" s="6">
        <v>225899.16250599801</v>
      </c>
      <c r="AD985" s="6">
        <v>0</v>
      </c>
      <c r="AE985" s="6">
        <v>0</v>
      </c>
      <c r="AF985" s="6">
        <v>0</v>
      </c>
      <c r="AG985" s="6">
        <v>0</v>
      </c>
      <c r="AH985" s="6">
        <v>0</v>
      </c>
      <c r="AI985" s="6">
        <v>0</v>
      </c>
      <c r="AJ985" s="6">
        <v>8641296.4244076293</v>
      </c>
      <c r="AK985" s="6">
        <v>14933.994148382801</v>
      </c>
      <c r="AL985" s="6">
        <v>330.98244656580999</v>
      </c>
      <c r="AM985" s="6">
        <v>93035.839999999997</v>
      </c>
      <c r="AN985" s="6">
        <v>8582.5821107517404</v>
      </c>
      <c r="AO985" s="6">
        <v>19520.097895265601</v>
      </c>
      <c r="AP985" s="6">
        <v>330.98244656580999</v>
      </c>
      <c r="AQ985" s="6">
        <v>93035.839999999997</v>
      </c>
      <c r="AR985" s="6">
        <v>8582.5821107517404</v>
      </c>
      <c r="AS985" s="6">
        <v>19520.097895265601</v>
      </c>
      <c r="AT985" s="6">
        <v>0</v>
      </c>
      <c r="AU985" t="s">
        <v>2973</v>
      </c>
      <c r="AV985" t="s">
        <v>2973</v>
      </c>
    </row>
    <row r="986" spans="1:48" x14ac:dyDescent="0.45">
      <c r="A986" s="5" t="s">
        <v>1993</v>
      </c>
      <c r="B986">
        <v>2180</v>
      </c>
      <c r="C986" t="s">
        <v>1849</v>
      </c>
      <c r="D986">
        <v>3616</v>
      </c>
      <c r="E986" t="s">
        <v>1994</v>
      </c>
      <c r="F986" t="s">
        <v>3</v>
      </c>
      <c r="G986" t="s">
        <v>2748</v>
      </c>
      <c r="H986" t="s">
        <v>2745</v>
      </c>
      <c r="I986" t="s">
        <v>2742</v>
      </c>
      <c r="J986">
        <v>198.89788748158901</v>
      </c>
      <c r="K986">
        <v>1</v>
      </c>
      <c r="L986">
        <v>2</v>
      </c>
      <c r="M986">
        <v>2</v>
      </c>
      <c r="N986" s="6">
        <v>492271.90021056699</v>
      </c>
      <c r="O986" s="6">
        <v>451610.31976641697</v>
      </c>
      <c r="P986" s="6">
        <v>465730.32536045398</v>
      </c>
      <c r="Q986" s="6">
        <v>155589.51611282199</v>
      </c>
      <c r="R986" s="6">
        <v>64205.317113046098</v>
      </c>
      <c r="S986" s="6">
        <v>77650.072402498394</v>
      </c>
      <c r="T986" s="6">
        <v>0</v>
      </c>
      <c r="U986" s="6">
        <v>1629407.3785633</v>
      </c>
      <c r="V986" s="6">
        <v>1271950.56688476</v>
      </c>
      <c r="W986" s="6">
        <v>350034.00305180799</v>
      </c>
      <c r="X986" s="6">
        <v>0</v>
      </c>
      <c r="Y986" s="6">
        <v>0</v>
      </c>
      <c r="Z986" s="6">
        <v>0</v>
      </c>
      <c r="AA986" s="6">
        <v>7422.8086267356202</v>
      </c>
      <c r="AB986" s="6">
        <v>0</v>
      </c>
      <c r="AC986" s="6">
        <v>77650.072402498394</v>
      </c>
      <c r="AD986" s="6">
        <v>0</v>
      </c>
      <c r="AE986" s="6">
        <v>0</v>
      </c>
      <c r="AF986" s="6">
        <v>0</v>
      </c>
      <c r="AG986" s="6">
        <v>0</v>
      </c>
      <c r="AH986" s="6">
        <v>0</v>
      </c>
      <c r="AI986" s="6">
        <v>0</v>
      </c>
      <c r="AJ986" s="6">
        <v>1707057.4509658001</v>
      </c>
      <c r="AK986" s="6">
        <v>8582.5821107517804</v>
      </c>
      <c r="AL986" s="6">
        <v>330.98244656580999</v>
      </c>
      <c r="AM986" s="6">
        <v>93035.839999999997</v>
      </c>
      <c r="AN986" s="6">
        <v>8582.5821107517404</v>
      </c>
      <c r="AO986" s="6">
        <v>19520.097895265601</v>
      </c>
      <c r="AP986" s="6">
        <v>330.98244656580999</v>
      </c>
      <c r="AQ986" s="6">
        <v>56162.493707719797</v>
      </c>
      <c r="AR986" s="6">
        <v>8582.5821107517804</v>
      </c>
      <c r="AS986" s="6">
        <v>16574.366349623699</v>
      </c>
      <c r="AT986" s="6">
        <v>0</v>
      </c>
      <c r="AU986" t="s">
        <v>2973</v>
      </c>
      <c r="AV986" t="s">
        <v>2976</v>
      </c>
    </row>
    <row r="987" spans="1:48" x14ac:dyDescent="0.45">
      <c r="A987" s="5" t="s">
        <v>1995</v>
      </c>
      <c r="B987">
        <v>2180</v>
      </c>
      <c r="C987" t="s">
        <v>1849</v>
      </c>
      <c r="D987">
        <v>895</v>
      </c>
      <c r="E987" t="s">
        <v>1996</v>
      </c>
      <c r="F987" t="s">
        <v>2739</v>
      </c>
      <c r="G987" t="s">
        <v>2740</v>
      </c>
      <c r="H987" t="s">
        <v>2741</v>
      </c>
      <c r="I987" t="s">
        <v>2742</v>
      </c>
      <c r="J987">
        <v>548.28988251439205</v>
      </c>
      <c r="K987">
        <v>1</v>
      </c>
      <c r="L987">
        <v>1</v>
      </c>
      <c r="M987">
        <v>2</v>
      </c>
      <c r="N987" s="6">
        <v>4494548.6856651297</v>
      </c>
      <c r="O987" s="6">
        <v>2040154.16451193</v>
      </c>
      <c r="P987" s="6">
        <v>1283850.86744026</v>
      </c>
      <c r="Q987" s="6">
        <v>428904.29149412899</v>
      </c>
      <c r="R987" s="6">
        <v>176990.948583955</v>
      </c>
      <c r="S987" s="6">
        <v>214053.29947881299</v>
      </c>
      <c r="T987" s="6">
        <v>3932759.32</v>
      </c>
      <c r="U987" s="6">
        <v>4491689.6376954</v>
      </c>
      <c r="V987" s="6">
        <v>7379953.64443703</v>
      </c>
      <c r="W987" s="6">
        <v>1024033.30171359</v>
      </c>
      <c r="X987" s="6">
        <v>0</v>
      </c>
      <c r="Y987" s="6">
        <v>0</v>
      </c>
      <c r="Z987" s="6">
        <v>0</v>
      </c>
      <c r="AA987" s="6">
        <v>20462.011544775301</v>
      </c>
      <c r="AB987" s="6">
        <v>0</v>
      </c>
      <c r="AC987" s="6">
        <v>214053.29947881299</v>
      </c>
      <c r="AD987" s="6">
        <v>0</v>
      </c>
      <c r="AE987" s="6">
        <v>0</v>
      </c>
      <c r="AF987" s="6">
        <v>0</v>
      </c>
      <c r="AG987" s="6">
        <v>0</v>
      </c>
      <c r="AH987" s="6">
        <v>0</v>
      </c>
      <c r="AI987" s="6">
        <v>0</v>
      </c>
      <c r="AJ987" s="6">
        <v>8638502.2571741994</v>
      </c>
      <c r="AK987" s="6">
        <v>15755.3559397431</v>
      </c>
      <c r="AL987" s="6">
        <v>330.98244656580999</v>
      </c>
      <c r="AM987" s="6">
        <v>93035.839999999997</v>
      </c>
      <c r="AN987" s="6">
        <v>8582.5821107517404</v>
      </c>
      <c r="AO987" s="6">
        <v>19520.097895265601</v>
      </c>
      <c r="AP987" s="6">
        <v>330.98244656580999</v>
      </c>
      <c r="AQ987" s="6">
        <v>93035.839999999997</v>
      </c>
      <c r="AR987" s="6">
        <v>8582.5821107517404</v>
      </c>
      <c r="AS987" s="6">
        <v>19520.097895265601</v>
      </c>
      <c r="AT987" s="6">
        <v>0</v>
      </c>
      <c r="AU987" t="s">
        <v>2973</v>
      </c>
      <c r="AV987" t="s">
        <v>2973</v>
      </c>
    </row>
    <row r="988" spans="1:48" x14ac:dyDescent="0.45">
      <c r="A988" s="5" t="s">
        <v>1997</v>
      </c>
      <c r="B988">
        <v>2180</v>
      </c>
      <c r="C988" t="s">
        <v>1849</v>
      </c>
      <c r="D988">
        <v>896</v>
      </c>
      <c r="E988" t="s">
        <v>1998</v>
      </c>
      <c r="F988" t="s">
        <v>2739</v>
      </c>
      <c r="G988" t="s">
        <v>2740</v>
      </c>
      <c r="H988" t="s">
        <v>2741</v>
      </c>
      <c r="I988" t="s">
        <v>2742</v>
      </c>
      <c r="J988">
        <v>267.03206291586298</v>
      </c>
      <c r="K988">
        <v>2</v>
      </c>
      <c r="L988">
        <v>2</v>
      </c>
      <c r="M988">
        <v>2</v>
      </c>
      <c r="N988" s="6">
        <v>2420755.7872162201</v>
      </c>
      <c r="O988" s="6">
        <v>1266415.95401878</v>
      </c>
      <c r="P988" s="6">
        <v>625270.23850361397</v>
      </c>
      <c r="Q988" s="6">
        <v>208888.03788593999</v>
      </c>
      <c r="R988" s="6">
        <v>86199.398575567393</v>
      </c>
      <c r="S988" s="6">
        <v>104249.76997870101</v>
      </c>
      <c r="T988" s="6">
        <v>2419954.58</v>
      </c>
      <c r="U988" s="6">
        <v>2187574.8362001302</v>
      </c>
      <c r="V988" s="6">
        <v>3925464.39113427</v>
      </c>
      <c r="W988" s="6">
        <v>672099.46974837803</v>
      </c>
      <c r="X988" s="6">
        <v>0</v>
      </c>
      <c r="Y988" s="6">
        <v>0</v>
      </c>
      <c r="Z988" s="6">
        <v>0</v>
      </c>
      <c r="AA988" s="6">
        <v>9965.5553174759207</v>
      </c>
      <c r="AB988" s="6">
        <v>0</v>
      </c>
      <c r="AC988" s="6">
        <v>104249.76997870101</v>
      </c>
      <c r="AD988" s="6">
        <v>0</v>
      </c>
      <c r="AE988" s="6">
        <v>0</v>
      </c>
      <c r="AF988" s="6">
        <v>0</v>
      </c>
      <c r="AG988" s="6">
        <v>0</v>
      </c>
      <c r="AH988" s="6">
        <v>0</v>
      </c>
      <c r="AI988" s="6">
        <v>0</v>
      </c>
      <c r="AJ988" s="6">
        <v>4711779.1861788305</v>
      </c>
      <c r="AK988" s="6">
        <v>17644.994143131898</v>
      </c>
      <c r="AL988" s="6">
        <v>330.98244656580999</v>
      </c>
      <c r="AM988" s="6">
        <v>93035.839999999997</v>
      </c>
      <c r="AN988" s="6">
        <v>8582.5821107517404</v>
      </c>
      <c r="AO988" s="6">
        <v>19520.097895265601</v>
      </c>
      <c r="AP988" s="6">
        <v>330.98244656580999</v>
      </c>
      <c r="AQ988" s="6">
        <v>93035.839999999997</v>
      </c>
      <c r="AR988" s="6">
        <v>8582.5821107517404</v>
      </c>
      <c r="AS988" s="6">
        <v>19520.097895265601</v>
      </c>
      <c r="AT988" s="6">
        <v>0</v>
      </c>
      <c r="AU988" t="s">
        <v>2973</v>
      </c>
      <c r="AV988" t="s">
        <v>2973</v>
      </c>
    </row>
    <row r="989" spans="1:48" x14ac:dyDescent="0.45">
      <c r="A989" s="5" t="s">
        <v>1999</v>
      </c>
      <c r="B989">
        <v>2180</v>
      </c>
      <c r="C989" t="s">
        <v>1849</v>
      </c>
      <c r="D989">
        <v>898</v>
      </c>
      <c r="E989" t="s">
        <v>2000</v>
      </c>
      <c r="F989" t="s">
        <v>2739</v>
      </c>
      <c r="G989" t="s">
        <v>2747</v>
      </c>
      <c r="H989" t="s">
        <v>2741</v>
      </c>
      <c r="I989" t="s">
        <v>2742</v>
      </c>
      <c r="J989">
        <v>825.88404397468298</v>
      </c>
      <c r="K989">
        <v>1</v>
      </c>
      <c r="L989">
        <v>1</v>
      </c>
      <c r="M989">
        <v>2</v>
      </c>
      <c r="N989" s="6">
        <v>5907347.6070612697</v>
      </c>
      <c r="O989" s="6">
        <v>2755493.6558926902</v>
      </c>
      <c r="P989" s="6">
        <v>1933852.8396685</v>
      </c>
      <c r="Q989" s="6">
        <v>646054.61824834906</v>
      </c>
      <c r="R989" s="6">
        <v>266599.84986973699</v>
      </c>
      <c r="S989" s="6">
        <v>322426.53063189797</v>
      </c>
      <c r="T989" s="6">
        <v>4743557.4800000004</v>
      </c>
      <c r="U989" s="6">
        <v>6765791.0907405401</v>
      </c>
      <c r="V989" s="6">
        <v>9919946.1001674291</v>
      </c>
      <c r="W989" s="6">
        <v>1558580.72940772</v>
      </c>
      <c r="X989" s="6">
        <v>0</v>
      </c>
      <c r="Y989" s="6">
        <v>0</v>
      </c>
      <c r="Z989" s="6">
        <v>0</v>
      </c>
      <c r="AA989" s="6">
        <v>30821.741165380801</v>
      </c>
      <c r="AB989" s="6">
        <v>0</v>
      </c>
      <c r="AC989" s="6">
        <v>322426.53063189797</v>
      </c>
      <c r="AD989" s="6">
        <v>0</v>
      </c>
      <c r="AE989" s="6">
        <v>0</v>
      </c>
      <c r="AF989" s="6">
        <v>0</v>
      </c>
      <c r="AG989" s="6">
        <v>0</v>
      </c>
      <c r="AH989" s="6">
        <v>0</v>
      </c>
      <c r="AI989" s="6">
        <v>0</v>
      </c>
      <c r="AJ989" s="6">
        <v>11831775.1013724</v>
      </c>
      <c r="AK989" s="6">
        <v>14326.194079777</v>
      </c>
      <c r="AL989" s="6">
        <v>330.98244656580999</v>
      </c>
      <c r="AM989" s="6">
        <v>93035.839999999997</v>
      </c>
      <c r="AN989" s="6">
        <v>8582.5821107517404</v>
      </c>
      <c r="AO989" s="6">
        <v>19520.097895265601</v>
      </c>
      <c r="AP989" s="6">
        <v>3753.1860850462999</v>
      </c>
      <c r="AQ989" s="6">
        <v>20687.885194392002</v>
      </c>
      <c r="AR989" s="6">
        <v>14122.692853946</v>
      </c>
      <c r="AS989" s="6">
        <v>16759.131628278501</v>
      </c>
      <c r="AT989" s="6">
        <v>0</v>
      </c>
      <c r="AU989" t="s">
        <v>2973</v>
      </c>
      <c r="AV989" t="s">
        <v>2973</v>
      </c>
    </row>
    <row r="990" spans="1:48" x14ac:dyDescent="0.45">
      <c r="A990" s="5" t="s">
        <v>2001</v>
      </c>
      <c r="B990">
        <v>2180</v>
      </c>
      <c r="C990" t="s">
        <v>1849</v>
      </c>
      <c r="D990">
        <v>900</v>
      </c>
      <c r="E990" t="s">
        <v>2002</v>
      </c>
      <c r="F990" t="s">
        <v>2739</v>
      </c>
      <c r="G990" t="s">
        <v>2740</v>
      </c>
      <c r="H990" t="s">
        <v>2741</v>
      </c>
      <c r="I990" t="s">
        <v>2742</v>
      </c>
      <c r="J990">
        <v>235.910465819667</v>
      </c>
      <c r="K990">
        <v>3</v>
      </c>
      <c r="L990">
        <v>1</v>
      </c>
      <c r="M990">
        <v>2</v>
      </c>
      <c r="N990" s="6">
        <v>2308032.3725015302</v>
      </c>
      <c r="O990" s="6">
        <v>1178069.5959225399</v>
      </c>
      <c r="P990" s="6">
        <v>552397.30996288196</v>
      </c>
      <c r="Q990" s="6">
        <v>184542.91137823099</v>
      </c>
      <c r="R990" s="6">
        <v>76153.178196224893</v>
      </c>
      <c r="S990" s="6">
        <v>92099.845721588703</v>
      </c>
      <c r="T990" s="6">
        <v>2366574.27</v>
      </c>
      <c r="U990" s="6">
        <v>1932621.0979613999</v>
      </c>
      <c r="V990" s="6">
        <v>3675497.0804488501</v>
      </c>
      <c r="W990" s="6">
        <v>614894.18072692503</v>
      </c>
      <c r="X990" s="6">
        <v>0</v>
      </c>
      <c r="Y990" s="6">
        <v>0</v>
      </c>
      <c r="Z990" s="6">
        <v>0</v>
      </c>
      <c r="AA990" s="6">
        <v>8804.1067856265508</v>
      </c>
      <c r="AB990" s="6">
        <v>0</v>
      </c>
      <c r="AC990" s="6">
        <v>92099.845721588703</v>
      </c>
      <c r="AD990" s="6">
        <v>0</v>
      </c>
      <c r="AE990" s="6">
        <v>0</v>
      </c>
      <c r="AF990" s="6">
        <v>0</v>
      </c>
      <c r="AG990" s="6">
        <v>0</v>
      </c>
      <c r="AH990" s="6">
        <v>0</v>
      </c>
      <c r="AI990" s="6">
        <v>0</v>
      </c>
      <c r="AJ990" s="6">
        <v>4391295.2136829896</v>
      </c>
      <c r="AK990" s="6">
        <v>18614.245020565399</v>
      </c>
      <c r="AL990" s="6">
        <v>330.98244656580999</v>
      </c>
      <c r="AM990" s="6">
        <v>93035.839999999997</v>
      </c>
      <c r="AN990" s="6">
        <v>8582.5821107517404</v>
      </c>
      <c r="AO990" s="6">
        <v>19520.097895265601</v>
      </c>
      <c r="AP990" s="6">
        <v>330.98244656580999</v>
      </c>
      <c r="AQ990" s="6">
        <v>93035.839999999997</v>
      </c>
      <c r="AR990" s="6">
        <v>8582.5821107517404</v>
      </c>
      <c r="AS990" s="6">
        <v>19520.097895265601</v>
      </c>
      <c r="AT990" s="6">
        <v>0</v>
      </c>
      <c r="AU990" t="s">
        <v>2973</v>
      </c>
      <c r="AV990" t="s">
        <v>2973</v>
      </c>
    </row>
    <row r="991" spans="1:48" x14ac:dyDescent="0.45">
      <c r="A991" s="5" t="s">
        <v>2003</v>
      </c>
      <c r="B991">
        <v>2180</v>
      </c>
      <c r="C991" t="s">
        <v>1849</v>
      </c>
      <c r="D991">
        <v>922</v>
      </c>
      <c r="E991" t="s">
        <v>2004</v>
      </c>
      <c r="F991" t="s">
        <v>2739</v>
      </c>
      <c r="G991" t="s">
        <v>2744</v>
      </c>
      <c r="H991" t="s">
        <v>2745</v>
      </c>
      <c r="I991" t="s">
        <v>2742</v>
      </c>
      <c r="J991">
        <v>1493.7346495867</v>
      </c>
      <c r="K991">
        <v>1</v>
      </c>
      <c r="L991">
        <v>1</v>
      </c>
      <c r="M991">
        <v>2</v>
      </c>
      <c r="N991" s="6">
        <v>11392498.1991948</v>
      </c>
      <c r="O991" s="6">
        <v>6418695.44607828</v>
      </c>
      <c r="P991" s="6">
        <v>3497661.70552511</v>
      </c>
      <c r="Q991" s="6">
        <v>1168486.2733982599</v>
      </c>
      <c r="R991" s="6">
        <v>482185.64849431202</v>
      </c>
      <c r="S991" s="6">
        <v>583156.53906210605</v>
      </c>
      <c r="T991" s="6">
        <v>10722583.529999999</v>
      </c>
      <c r="U991" s="6">
        <v>12236943.742690699</v>
      </c>
      <c r="V991" s="6">
        <v>19840115.8930889</v>
      </c>
      <c r="W991" s="6">
        <v>3063665.6570936702</v>
      </c>
      <c r="X991" s="6">
        <v>0</v>
      </c>
      <c r="Y991" s="6">
        <v>0</v>
      </c>
      <c r="Z991" s="6">
        <v>0</v>
      </c>
      <c r="AA991" s="6">
        <v>55745.722508150699</v>
      </c>
      <c r="AB991" s="6">
        <v>0</v>
      </c>
      <c r="AC991" s="6">
        <v>583156.53906210605</v>
      </c>
      <c r="AD991" s="6">
        <v>0</v>
      </c>
      <c r="AE991" s="6">
        <v>0</v>
      </c>
      <c r="AF991" s="6">
        <v>0</v>
      </c>
      <c r="AG991" s="6">
        <v>0</v>
      </c>
      <c r="AH991" s="6">
        <v>0</v>
      </c>
      <c r="AI991" s="6">
        <v>0</v>
      </c>
      <c r="AJ991" s="6">
        <v>23542683.8117528</v>
      </c>
      <c r="AK991" s="6">
        <v>15760.954476263099</v>
      </c>
      <c r="AL991" s="6">
        <v>330.98244656580999</v>
      </c>
      <c r="AM991" s="6">
        <v>93035.839999999997</v>
      </c>
      <c r="AN991" s="6">
        <v>8582.5821107517404</v>
      </c>
      <c r="AO991" s="6">
        <v>19520.097895265601</v>
      </c>
      <c r="AP991" s="6">
        <v>330.98244656580999</v>
      </c>
      <c r="AQ991" s="6">
        <v>40734.411818744898</v>
      </c>
      <c r="AR991" s="6">
        <v>8582.5821107517604</v>
      </c>
      <c r="AS991" s="6">
        <v>18457.5243447752</v>
      </c>
      <c r="AT991" s="6">
        <v>0</v>
      </c>
      <c r="AU991" t="s">
        <v>2973</v>
      </c>
      <c r="AV991" t="s">
        <v>2973</v>
      </c>
    </row>
    <row r="992" spans="1:48" x14ac:dyDescent="0.45">
      <c r="A992" s="5" t="s">
        <v>2005</v>
      </c>
      <c r="B992">
        <v>2180</v>
      </c>
      <c r="C992" t="s">
        <v>1849</v>
      </c>
      <c r="D992">
        <v>1364</v>
      </c>
      <c r="E992" t="s">
        <v>2006</v>
      </c>
      <c r="F992" t="s">
        <v>2739</v>
      </c>
      <c r="G992" t="s">
        <v>2740</v>
      </c>
      <c r="H992" t="s">
        <v>2741</v>
      </c>
      <c r="I992" t="s">
        <v>2742</v>
      </c>
      <c r="J992">
        <v>317.08045977010602</v>
      </c>
      <c r="K992">
        <v>1</v>
      </c>
      <c r="L992">
        <v>1</v>
      </c>
      <c r="M992">
        <v>2</v>
      </c>
      <c r="N992" s="6">
        <v>2450313.03599917</v>
      </c>
      <c r="O992" s="6">
        <v>1228205.1662644399</v>
      </c>
      <c r="P992" s="6">
        <v>742461.30798067502</v>
      </c>
      <c r="Q992" s="6">
        <v>248038.80990957399</v>
      </c>
      <c r="R992" s="6">
        <v>112897.77259592801</v>
      </c>
      <c r="S992" s="6">
        <v>123788.74894206801</v>
      </c>
      <c r="T992" s="6">
        <v>2184335.7599999998</v>
      </c>
      <c r="U992" s="6">
        <v>2597580.33274979</v>
      </c>
      <c r="V992" s="6">
        <v>4192814.23080874</v>
      </c>
      <c r="W992" s="6">
        <v>577268.51568507298</v>
      </c>
      <c r="X992" s="6">
        <v>0</v>
      </c>
      <c r="Y992" s="6">
        <v>0</v>
      </c>
      <c r="Z992" s="6">
        <v>0</v>
      </c>
      <c r="AA992" s="6">
        <v>11833.346255971201</v>
      </c>
      <c r="AB992" s="6">
        <v>0</v>
      </c>
      <c r="AC992" s="6">
        <v>123788.74894206801</v>
      </c>
      <c r="AD992" s="6">
        <v>0</v>
      </c>
      <c r="AE992" s="6">
        <v>0</v>
      </c>
      <c r="AF992" s="6">
        <v>0</v>
      </c>
      <c r="AG992" s="6">
        <v>0</v>
      </c>
      <c r="AH992" s="6">
        <v>0</v>
      </c>
      <c r="AI992" s="6">
        <v>0</v>
      </c>
      <c r="AJ992" s="6">
        <v>4905704.8416918498</v>
      </c>
      <c r="AK992" s="6">
        <v>15471.482680606199</v>
      </c>
      <c r="AL992" s="6">
        <v>330.98244656580999</v>
      </c>
      <c r="AM992" s="6">
        <v>93035.839999999997</v>
      </c>
      <c r="AN992" s="6">
        <v>8582.5821107517404</v>
      </c>
      <c r="AO992" s="6">
        <v>19520.097895265601</v>
      </c>
      <c r="AP992" s="6">
        <v>330.98244656580999</v>
      </c>
      <c r="AQ992" s="6">
        <v>93035.839999999997</v>
      </c>
      <c r="AR992" s="6">
        <v>8582.5821107517404</v>
      </c>
      <c r="AS992" s="6">
        <v>19520.097895265601</v>
      </c>
      <c r="AT992" s="6">
        <v>0</v>
      </c>
      <c r="AU992" t="s">
        <v>2973</v>
      </c>
      <c r="AV992" t="s">
        <v>2973</v>
      </c>
    </row>
    <row r="993" spans="1:48" x14ac:dyDescent="0.45">
      <c r="A993" s="5" t="s">
        <v>2007</v>
      </c>
      <c r="B993">
        <v>2180</v>
      </c>
      <c r="C993" t="s">
        <v>1849</v>
      </c>
      <c r="D993">
        <v>902</v>
      </c>
      <c r="E993" t="s">
        <v>2008</v>
      </c>
      <c r="F993" t="s">
        <v>2739</v>
      </c>
      <c r="G993" t="s">
        <v>2740</v>
      </c>
      <c r="H993" t="s">
        <v>2741</v>
      </c>
      <c r="I993" t="s">
        <v>2742</v>
      </c>
      <c r="J993">
        <v>331.39957652748802</v>
      </c>
      <c r="K993">
        <v>2</v>
      </c>
      <c r="L993">
        <v>1</v>
      </c>
      <c r="M993">
        <v>2</v>
      </c>
      <c r="N993" s="6">
        <v>2734107.7932424899</v>
      </c>
      <c r="O993" s="6">
        <v>1802852.5827338099</v>
      </c>
      <c r="P993" s="6">
        <v>775990.30615521397</v>
      </c>
      <c r="Q993" s="6">
        <v>259240.05732176799</v>
      </c>
      <c r="R993" s="6">
        <v>106977.58116735199</v>
      </c>
      <c r="S993" s="6">
        <v>129378.956394892</v>
      </c>
      <c r="T993" s="6">
        <v>2964283.2</v>
      </c>
      <c r="U993" s="6">
        <v>2714885.12062064</v>
      </c>
      <c r="V993" s="6">
        <v>4452456.2399868397</v>
      </c>
      <c r="W993" s="6">
        <v>1214344.3492984299</v>
      </c>
      <c r="X993" s="6">
        <v>0</v>
      </c>
      <c r="Y993" s="6">
        <v>0</v>
      </c>
      <c r="Z993" s="6">
        <v>0</v>
      </c>
      <c r="AA993" s="6">
        <v>12367.731335369101</v>
      </c>
      <c r="AB993" s="6">
        <v>0</v>
      </c>
      <c r="AC993" s="6">
        <v>129378.956394892</v>
      </c>
      <c r="AD993" s="6">
        <v>0</v>
      </c>
      <c r="AE993" s="6">
        <v>0</v>
      </c>
      <c r="AF993" s="6">
        <v>0</v>
      </c>
      <c r="AG993" s="6">
        <v>0</v>
      </c>
      <c r="AH993" s="6">
        <v>0</v>
      </c>
      <c r="AI993" s="6">
        <v>0</v>
      </c>
      <c r="AJ993" s="6">
        <v>5808547.2770155203</v>
      </c>
      <c r="AK993" s="6">
        <v>17527.322568964501</v>
      </c>
      <c r="AL993" s="6">
        <v>330.98244656580999</v>
      </c>
      <c r="AM993" s="6">
        <v>93035.839999999997</v>
      </c>
      <c r="AN993" s="6">
        <v>8582.5821107517404</v>
      </c>
      <c r="AO993" s="6">
        <v>19520.097895265601</v>
      </c>
      <c r="AP993" s="6">
        <v>330.98244656580999</v>
      </c>
      <c r="AQ993" s="6">
        <v>93035.839999999997</v>
      </c>
      <c r="AR993" s="6">
        <v>8582.5821107517404</v>
      </c>
      <c r="AS993" s="6">
        <v>19520.097895265601</v>
      </c>
      <c r="AT993" s="6">
        <v>0</v>
      </c>
      <c r="AU993" t="s">
        <v>2973</v>
      </c>
      <c r="AV993" t="s">
        <v>2973</v>
      </c>
    </row>
    <row r="994" spans="1:48" x14ac:dyDescent="0.45">
      <c r="A994" s="5" t="s">
        <v>2009</v>
      </c>
      <c r="B994">
        <v>2180</v>
      </c>
      <c r="C994" t="s">
        <v>1849</v>
      </c>
      <c r="D994">
        <v>903</v>
      </c>
      <c r="E994" t="s">
        <v>2010</v>
      </c>
      <c r="F994" t="s">
        <v>2739</v>
      </c>
      <c r="G994" t="s">
        <v>2740</v>
      </c>
      <c r="H994" t="s">
        <v>2741</v>
      </c>
      <c r="I994" t="s">
        <v>2742</v>
      </c>
      <c r="J994">
        <v>296.43163021884902</v>
      </c>
      <c r="K994">
        <v>3</v>
      </c>
      <c r="L994">
        <v>2</v>
      </c>
      <c r="M994">
        <v>2</v>
      </c>
      <c r="N994" s="6">
        <v>2572231.64140744</v>
      </c>
      <c r="O994" s="6">
        <v>1410514.10380704</v>
      </c>
      <c r="P994" s="6">
        <v>694110.93972395</v>
      </c>
      <c r="Q994" s="6">
        <v>231886.092357591</v>
      </c>
      <c r="R994" s="6">
        <v>95689.738395538094</v>
      </c>
      <c r="S994" s="6">
        <v>115727.410885723</v>
      </c>
      <c r="T994" s="6">
        <v>2576011.12</v>
      </c>
      <c r="U994" s="6">
        <v>2428421.3956915499</v>
      </c>
      <c r="V994" s="6">
        <v>4261671.3836171003</v>
      </c>
      <c r="W994" s="6">
        <v>731698.39385292097</v>
      </c>
      <c r="X994" s="6">
        <v>0</v>
      </c>
      <c r="Y994" s="6">
        <v>0</v>
      </c>
      <c r="Z994" s="6">
        <v>0</v>
      </c>
      <c r="AA994" s="6">
        <v>11062.7382215382</v>
      </c>
      <c r="AB994" s="6">
        <v>0</v>
      </c>
      <c r="AC994" s="6">
        <v>115727.410885723</v>
      </c>
      <c r="AD994" s="6">
        <v>0</v>
      </c>
      <c r="AE994" s="6">
        <v>0</v>
      </c>
      <c r="AF994" s="6">
        <v>0</v>
      </c>
      <c r="AG994" s="6">
        <v>0</v>
      </c>
      <c r="AH994" s="6">
        <v>0</v>
      </c>
      <c r="AI994" s="6">
        <v>0</v>
      </c>
      <c r="AJ994" s="6">
        <v>5120159.9265772803</v>
      </c>
      <c r="AK994" s="6">
        <v>17272.6504347636</v>
      </c>
      <c r="AL994" s="6">
        <v>330.98244656580999</v>
      </c>
      <c r="AM994" s="6">
        <v>93035.839999999997</v>
      </c>
      <c r="AN994" s="6">
        <v>8582.5821107517404</v>
      </c>
      <c r="AO994" s="6">
        <v>19520.097895265601</v>
      </c>
      <c r="AP994" s="6">
        <v>330.98244656580999</v>
      </c>
      <c r="AQ994" s="6">
        <v>93035.839999999997</v>
      </c>
      <c r="AR994" s="6">
        <v>8582.5821107517404</v>
      </c>
      <c r="AS994" s="6">
        <v>19520.097895265601</v>
      </c>
      <c r="AT994" s="6">
        <v>0</v>
      </c>
      <c r="AU994" t="s">
        <v>2973</v>
      </c>
      <c r="AV994" t="s">
        <v>2973</v>
      </c>
    </row>
    <row r="995" spans="1:48" x14ac:dyDescent="0.45">
      <c r="A995" s="5" t="s">
        <v>2011</v>
      </c>
      <c r="B995">
        <v>2180</v>
      </c>
      <c r="C995" t="s">
        <v>1849</v>
      </c>
      <c r="D995">
        <v>904</v>
      </c>
      <c r="E995" t="s">
        <v>2012</v>
      </c>
      <c r="F995" t="s">
        <v>2739</v>
      </c>
      <c r="G995" t="s">
        <v>2740</v>
      </c>
      <c r="H995" t="s">
        <v>2741</v>
      </c>
      <c r="I995" t="s">
        <v>2742</v>
      </c>
      <c r="J995">
        <v>547.40790817421305</v>
      </c>
      <c r="K995">
        <v>2</v>
      </c>
      <c r="L995">
        <v>1</v>
      </c>
      <c r="M995">
        <v>2</v>
      </c>
      <c r="N995" s="6">
        <v>4216802.3308196599</v>
      </c>
      <c r="O995" s="6">
        <v>1962876.42560656</v>
      </c>
      <c r="P995" s="6">
        <v>1281785.67609201</v>
      </c>
      <c r="Q995" s="6">
        <v>428214.35977816198</v>
      </c>
      <c r="R995" s="6">
        <v>176706.242482178</v>
      </c>
      <c r="S995" s="6">
        <v>213708.97520147101</v>
      </c>
      <c r="T995" s="6">
        <v>3581920.69</v>
      </c>
      <c r="U995" s="6">
        <v>4484464.3447785703</v>
      </c>
      <c r="V995" s="6">
        <v>6994754.1248440696</v>
      </c>
      <c r="W995" s="6">
        <v>1051201.81340366</v>
      </c>
      <c r="X995" s="6">
        <v>0</v>
      </c>
      <c r="Y995" s="6">
        <v>0</v>
      </c>
      <c r="Z995" s="6">
        <v>0</v>
      </c>
      <c r="AA995" s="6">
        <v>20429.0965308265</v>
      </c>
      <c r="AB995" s="6">
        <v>0</v>
      </c>
      <c r="AC995" s="6">
        <v>213708.97520147101</v>
      </c>
      <c r="AD995" s="6">
        <v>0</v>
      </c>
      <c r="AE995" s="6">
        <v>0</v>
      </c>
      <c r="AF995" s="6">
        <v>0</v>
      </c>
      <c r="AG995" s="6">
        <v>0</v>
      </c>
      <c r="AH995" s="6">
        <v>0</v>
      </c>
      <c r="AI995" s="6">
        <v>0</v>
      </c>
      <c r="AJ995" s="6">
        <v>8280094.0099800397</v>
      </c>
      <c r="AK995" s="6">
        <v>15126.003637026201</v>
      </c>
      <c r="AL995" s="6">
        <v>330.98244656580999</v>
      </c>
      <c r="AM995" s="6">
        <v>93035.839999999997</v>
      </c>
      <c r="AN995" s="6">
        <v>8582.5821107517404</v>
      </c>
      <c r="AO995" s="6">
        <v>19520.097895265601</v>
      </c>
      <c r="AP995" s="6">
        <v>330.98244656580999</v>
      </c>
      <c r="AQ995" s="6">
        <v>93035.839999999997</v>
      </c>
      <c r="AR995" s="6">
        <v>8582.5821107517404</v>
      </c>
      <c r="AS995" s="6">
        <v>19520.097895265601</v>
      </c>
      <c r="AT995" s="6">
        <v>0</v>
      </c>
      <c r="AU995" t="s">
        <v>2973</v>
      </c>
      <c r="AV995" t="s">
        <v>2973</v>
      </c>
    </row>
    <row r="996" spans="1:48" x14ac:dyDescent="0.45">
      <c r="A996" s="5" t="s">
        <v>2013</v>
      </c>
      <c r="B996">
        <v>1967</v>
      </c>
      <c r="C996" t="s">
        <v>2014</v>
      </c>
      <c r="D996">
        <v>210</v>
      </c>
      <c r="E996" t="s">
        <v>2015</v>
      </c>
      <c r="F996" t="s">
        <v>2739</v>
      </c>
      <c r="G996" t="s">
        <v>2740</v>
      </c>
      <c r="H996" t="s">
        <v>2741</v>
      </c>
      <c r="I996" t="s">
        <v>2742</v>
      </c>
      <c r="J996">
        <v>67.473837209296505</v>
      </c>
      <c r="K996">
        <v>1</v>
      </c>
      <c r="L996">
        <v>1</v>
      </c>
      <c r="M996">
        <v>5</v>
      </c>
      <c r="N996" s="6">
        <v>689652.41219895799</v>
      </c>
      <c r="O996" s="6">
        <v>57448.386873213203</v>
      </c>
      <c r="P996" s="6">
        <v>160872.58708509401</v>
      </c>
      <c r="Q996" s="6">
        <v>121331.49093321001</v>
      </c>
      <c r="R996" s="6">
        <v>35986.3642000291</v>
      </c>
      <c r="S996" s="6">
        <v>51085.911835495703</v>
      </c>
      <c r="T996" s="6">
        <v>682757.26</v>
      </c>
      <c r="U996" s="6">
        <v>382533.98129050498</v>
      </c>
      <c r="V996" s="6">
        <v>868066.84684347303</v>
      </c>
      <c r="W996" s="6">
        <v>197224.39444703201</v>
      </c>
      <c r="X996" s="6">
        <v>0</v>
      </c>
      <c r="Y996" s="6">
        <v>0</v>
      </c>
      <c r="Z996" s="6">
        <v>0</v>
      </c>
      <c r="AA996" s="6">
        <v>0</v>
      </c>
      <c r="AB996" s="6">
        <v>0</v>
      </c>
      <c r="AC996" s="6">
        <v>44870.727539844098</v>
      </c>
      <c r="AD996" s="6">
        <v>6215.1842956516402</v>
      </c>
      <c r="AE996" s="6">
        <v>0</v>
      </c>
      <c r="AF996" s="6">
        <v>0</v>
      </c>
      <c r="AG996" s="6">
        <v>0</v>
      </c>
      <c r="AH996" s="6">
        <v>0</v>
      </c>
      <c r="AI996" s="6">
        <v>0</v>
      </c>
      <c r="AJ996" s="6">
        <v>1116377.153126</v>
      </c>
      <c r="AK996" s="6">
        <v>16545.3337070948</v>
      </c>
      <c r="AL996" s="6">
        <v>330.98244656580999</v>
      </c>
      <c r="AM996" s="6">
        <v>93035.839999999997</v>
      </c>
      <c r="AN996" s="6">
        <v>16545.3337070948</v>
      </c>
      <c r="AO996" s="6">
        <v>37677.211905063901</v>
      </c>
      <c r="AP996" s="6">
        <v>330.98244656580999</v>
      </c>
      <c r="AQ996" s="6">
        <v>93035.839999999997</v>
      </c>
      <c r="AR996" s="6">
        <v>16545.3337070948</v>
      </c>
      <c r="AS996" s="6">
        <v>16545.3337070948</v>
      </c>
      <c r="AT996" s="6">
        <v>0</v>
      </c>
      <c r="AU996" t="s">
        <v>2973</v>
      </c>
      <c r="AV996" t="s">
        <v>2973</v>
      </c>
    </row>
    <row r="997" spans="1:48" x14ac:dyDescent="0.45">
      <c r="A997" s="5" t="s">
        <v>2016</v>
      </c>
      <c r="B997">
        <v>1967</v>
      </c>
      <c r="C997" t="s">
        <v>2014</v>
      </c>
      <c r="D997">
        <v>211</v>
      </c>
      <c r="E997" t="s">
        <v>2017</v>
      </c>
      <c r="F997" t="s">
        <v>2739</v>
      </c>
      <c r="G997" t="s">
        <v>2744</v>
      </c>
      <c r="H997" t="s">
        <v>2745</v>
      </c>
      <c r="I997" t="s">
        <v>2742</v>
      </c>
      <c r="J997">
        <v>38.129411764699</v>
      </c>
      <c r="K997">
        <v>1</v>
      </c>
      <c r="L997">
        <v>2</v>
      </c>
      <c r="M997">
        <v>5</v>
      </c>
      <c r="N997" s="6">
        <v>605488.46780104202</v>
      </c>
      <c r="O997" s="6">
        <v>249933.89312678701</v>
      </c>
      <c r="P997" s="6">
        <v>125449.492914906</v>
      </c>
      <c r="Q997" s="6">
        <v>68564.329066789898</v>
      </c>
      <c r="R997" s="6">
        <v>358305.135799971</v>
      </c>
      <c r="S997" s="6">
        <v>28868.608164504301</v>
      </c>
      <c r="T997" s="6">
        <v>1191571.67</v>
      </c>
      <c r="U997" s="6">
        <v>216169.648709495</v>
      </c>
      <c r="V997" s="6">
        <v>1006823.76315653</v>
      </c>
      <c r="W997" s="6">
        <v>400917.555552968</v>
      </c>
      <c r="X997" s="6">
        <v>0</v>
      </c>
      <c r="Y997" s="6">
        <v>0</v>
      </c>
      <c r="Z997" s="6">
        <v>0</v>
      </c>
      <c r="AA997" s="6">
        <v>0</v>
      </c>
      <c r="AB997" s="6">
        <v>0</v>
      </c>
      <c r="AC997" s="6">
        <v>25356.412460155901</v>
      </c>
      <c r="AD997" s="6">
        <v>3512.1957043483599</v>
      </c>
      <c r="AE997" s="6">
        <v>0</v>
      </c>
      <c r="AF997" s="6">
        <v>0</v>
      </c>
      <c r="AG997" s="6">
        <v>0</v>
      </c>
      <c r="AH997" s="6">
        <v>0</v>
      </c>
      <c r="AI997" s="6">
        <v>0</v>
      </c>
      <c r="AJ997" s="6">
        <v>1436609.9268740001</v>
      </c>
      <c r="AK997" s="6">
        <v>37677.211905063901</v>
      </c>
      <c r="AL997" s="6">
        <v>330.98244656580999</v>
      </c>
      <c r="AM997" s="6">
        <v>93035.839999999997</v>
      </c>
      <c r="AN997" s="6">
        <v>16545.3337070948</v>
      </c>
      <c r="AO997" s="6">
        <v>37677.211905063901</v>
      </c>
      <c r="AP997" s="6">
        <v>330.98244656580999</v>
      </c>
      <c r="AQ997" s="6">
        <v>40734.411818744898</v>
      </c>
      <c r="AR997" s="6">
        <v>37677.211905063901</v>
      </c>
      <c r="AS997" s="6">
        <v>37677.211905063901</v>
      </c>
      <c r="AT997" s="6">
        <v>0</v>
      </c>
      <c r="AU997" t="s">
        <v>2973</v>
      </c>
      <c r="AV997" t="s">
        <v>2973</v>
      </c>
    </row>
    <row r="998" spans="1:48" x14ac:dyDescent="0.45">
      <c r="A998" s="5" t="s">
        <v>2018</v>
      </c>
      <c r="B998">
        <v>2009</v>
      </c>
      <c r="C998" t="s">
        <v>2019</v>
      </c>
      <c r="D998">
        <v>3349</v>
      </c>
      <c r="E998" t="s">
        <v>2020</v>
      </c>
      <c r="F998" t="s">
        <v>2739</v>
      </c>
      <c r="G998" t="s">
        <v>2748</v>
      </c>
      <c r="H998" t="s">
        <v>2745</v>
      </c>
      <c r="I998" t="s">
        <v>2742</v>
      </c>
      <c r="J998">
        <v>152.81045751632399</v>
      </c>
      <c r="K998">
        <v>1</v>
      </c>
      <c r="L998">
        <v>1</v>
      </c>
      <c r="M998">
        <v>4</v>
      </c>
      <c r="N998" s="6">
        <v>1675485.25</v>
      </c>
      <c r="O998" s="6">
        <v>276989.05</v>
      </c>
      <c r="P998" s="6">
        <v>809063.17</v>
      </c>
      <c r="Q998" s="6">
        <v>169803.87</v>
      </c>
      <c r="R998" s="6">
        <v>39827.21</v>
      </c>
      <c r="S998" s="6">
        <v>400969.77</v>
      </c>
      <c r="T998" s="6">
        <v>1504024.46</v>
      </c>
      <c r="U998" s="6">
        <v>1467144.09</v>
      </c>
      <c r="V998" s="6">
        <v>2489561.96</v>
      </c>
      <c r="W998" s="6">
        <v>476419.65</v>
      </c>
      <c r="X998" s="6">
        <v>0</v>
      </c>
      <c r="Y998" s="6">
        <v>0</v>
      </c>
      <c r="Z998" s="6">
        <v>0</v>
      </c>
      <c r="AA998" s="6">
        <v>0</v>
      </c>
      <c r="AB998" s="6">
        <v>5186.9399999999996</v>
      </c>
      <c r="AC998" s="6">
        <v>352240.35</v>
      </c>
      <c r="AD998" s="6">
        <v>48729.42</v>
      </c>
      <c r="AE998" s="6">
        <v>0</v>
      </c>
      <c r="AF998" s="6">
        <v>0</v>
      </c>
      <c r="AG998" s="6">
        <v>0</v>
      </c>
      <c r="AH998" s="6">
        <v>0</v>
      </c>
      <c r="AI998" s="6">
        <v>0</v>
      </c>
      <c r="AJ998" s="6">
        <v>3372138.32</v>
      </c>
      <c r="AK998" s="6">
        <v>22067.4577827225</v>
      </c>
      <c r="AL998" s="6">
        <v>330.98244656580999</v>
      </c>
      <c r="AM998" s="6">
        <v>93035.839999999997</v>
      </c>
      <c r="AN998" s="6">
        <v>22067.4577827225</v>
      </c>
      <c r="AO998" s="6">
        <v>22067.4577827225</v>
      </c>
      <c r="AP998" s="6">
        <v>330.98244656580999</v>
      </c>
      <c r="AQ998" s="6">
        <v>56162.493707719797</v>
      </c>
      <c r="AR998" s="6">
        <v>22067.4577827225</v>
      </c>
      <c r="AS998" s="6">
        <v>22067.4577827225</v>
      </c>
      <c r="AT998" s="6">
        <v>0</v>
      </c>
      <c r="AU998" t="s">
        <v>2973</v>
      </c>
      <c r="AV998" t="s">
        <v>2973</v>
      </c>
    </row>
    <row r="999" spans="1:48" x14ac:dyDescent="0.45">
      <c r="A999" s="5" t="s">
        <v>2021</v>
      </c>
      <c r="B999">
        <v>2045</v>
      </c>
      <c r="C999" t="s">
        <v>2022</v>
      </c>
      <c r="D999">
        <v>3356</v>
      </c>
      <c r="E999" t="s">
        <v>2023</v>
      </c>
      <c r="F999" t="s">
        <v>3</v>
      </c>
      <c r="G999" t="s">
        <v>2748</v>
      </c>
      <c r="H999" t="s">
        <v>2741</v>
      </c>
      <c r="I999" t="s">
        <v>2742</v>
      </c>
      <c r="J999">
        <v>221.684951182124</v>
      </c>
      <c r="K999">
        <v>1</v>
      </c>
      <c r="L999">
        <v>1</v>
      </c>
      <c r="M999">
        <v>2</v>
      </c>
      <c r="N999" s="6">
        <v>1823213.21</v>
      </c>
      <c r="O999" s="6">
        <v>390434.04</v>
      </c>
      <c r="P999" s="6">
        <v>859006.86</v>
      </c>
      <c r="Q999" s="6">
        <v>390549.6</v>
      </c>
      <c r="R999" s="6">
        <v>313950.07</v>
      </c>
      <c r="S999" s="6">
        <v>180689.42</v>
      </c>
      <c r="T999" s="6">
        <v>2586387.96</v>
      </c>
      <c r="U999" s="6">
        <v>1190765.82</v>
      </c>
      <c r="V999" s="6">
        <v>3049354.65</v>
      </c>
      <c r="W999" s="6">
        <v>718965.79</v>
      </c>
      <c r="X999" s="6">
        <v>0</v>
      </c>
      <c r="Y999" s="6">
        <v>0</v>
      </c>
      <c r="Z999" s="6">
        <v>0</v>
      </c>
      <c r="AA999" s="6">
        <v>0</v>
      </c>
      <c r="AB999" s="6">
        <v>8833.34</v>
      </c>
      <c r="AC999" s="6">
        <v>130849.39</v>
      </c>
      <c r="AD999" s="6">
        <v>49840.03</v>
      </c>
      <c r="AE999" s="6">
        <v>0</v>
      </c>
      <c r="AF999" s="6">
        <v>0</v>
      </c>
      <c r="AG999" s="6">
        <v>0</v>
      </c>
      <c r="AH999" s="6">
        <v>0</v>
      </c>
      <c r="AI999" s="6">
        <v>0</v>
      </c>
      <c r="AJ999" s="6">
        <v>3957843.2</v>
      </c>
      <c r="AK999" s="6">
        <v>17853.459059331701</v>
      </c>
      <c r="AL999" s="6">
        <v>330.98244656580999</v>
      </c>
      <c r="AM999" s="6">
        <v>93035.839999999997</v>
      </c>
      <c r="AN999" s="6">
        <v>17853.459059331701</v>
      </c>
      <c r="AO999" s="6">
        <v>17853.459059331701</v>
      </c>
      <c r="AP999" s="6">
        <v>330.98244656580999</v>
      </c>
      <c r="AQ999" s="6">
        <v>56162.493707719797</v>
      </c>
      <c r="AR999" s="6">
        <v>17853.459059331701</v>
      </c>
      <c r="AS999" s="6">
        <v>17853.459059331701</v>
      </c>
      <c r="AT999" s="6">
        <v>0</v>
      </c>
      <c r="AU999" t="s">
        <v>2973</v>
      </c>
      <c r="AV999" t="s">
        <v>2973</v>
      </c>
    </row>
    <row r="1000" spans="1:48" x14ac:dyDescent="0.45">
      <c r="A1000" s="5" t="s">
        <v>2024</v>
      </c>
      <c r="B1000">
        <v>1946</v>
      </c>
      <c r="C1000" t="s">
        <v>2025</v>
      </c>
      <c r="D1000">
        <v>171</v>
      </c>
      <c r="E1000" t="s">
        <v>2026</v>
      </c>
      <c r="F1000" t="s">
        <v>2739</v>
      </c>
      <c r="G1000" t="s">
        <v>2740</v>
      </c>
      <c r="H1000" t="s">
        <v>2741</v>
      </c>
      <c r="I1000" t="s">
        <v>2742</v>
      </c>
      <c r="J1000">
        <v>435.04040245397698</v>
      </c>
      <c r="K1000">
        <v>1</v>
      </c>
      <c r="L1000">
        <v>1</v>
      </c>
      <c r="M1000">
        <v>2</v>
      </c>
      <c r="N1000" s="6">
        <v>3028314.5702176401</v>
      </c>
      <c r="O1000" s="6">
        <v>799841.92513714603</v>
      </c>
      <c r="P1000" s="6">
        <v>2607562.3722470901</v>
      </c>
      <c r="Q1000" s="6">
        <v>266335.51300969999</v>
      </c>
      <c r="R1000" s="6">
        <v>210031.564133929</v>
      </c>
      <c r="S1000" s="6">
        <v>160354.42693125299</v>
      </c>
      <c r="T1000" s="6">
        <v>2667927.09</v>
      </c>
      <c r="U1000" s="6">
        <v>4244158.8547454895</v>
      </c>
      <c r="V1000" s="6">
        <v>4747412.1083640596</v>
      </c>
      <c r="W1000" s="6">
        <v>2157359.2648009099</v>
      </c>
      <c r="X1000" s="6">
        <v>0</v>
      </c>
      <c r="Y1000" s="6">
        <v>0</v>
      </c>
      <c r="Z1000" s="6">
        <v>0</v>
      </c>
      <c r="AA1000" s="6">
        <v>0</v>
      </c>
      <c r="AB1000" s="6">
        <v>7314.57158052664</v>
      </c>
      <c r="AC1000" s="6">
        <v>160354.42693125299</v>
      </c>
      <c r="AD1000" s="6">
        <v>0</v>
      </c>
      <c r="AE1000" s="6">
        <v>0</v>
      </c>
      <c r="AF1000" s="6">
        <v>0</v>
      </c>
      <c r="AG1000" s="6">
        <v>0</v>
      </c>
      <c r="AH1000" s="6">
        <v>0</v>
      </c>
      <c r="AI1000" s="6">
        <v>0</v>
      </c>
      <c r="AJ1000" s="6">
        <v>7072440.3716767402</v>
      </c>
      <c r="AK1000" s="6">
        <v>16256.9736782665</v>
      </c>
      <c r="AL1000" s="6">
        <v>330.98244656580999</v>
      </c>
      <c r="AM1000" s="6">
        <v>93035.839999999997</v>
      </c>
      <c r="AN1000" s="6">
        <v>16077.502636908201</v>
      </c>
      <c r="AO1000" s="6">
        <v>17379.776706226701</v>
      </c>
      <c r="AP1000" s="6">
        <v>330.98244656580999</v>
      </c>
      <c r="AQ1000" s="6">
        <v>93035.839999999997</v>
      </c>
      <c r="AR1000" s="6">
        <v>16256.9736782665</v>
      </c>
      <c r="AS1000" s="6">
        <v>16256.9736782665</v>
      </c>
      <c r="AT1000" s="6">
        <v>0</v>
      </c>
      <c r="AU1000" t="s">
        <v>2973</v>
      </c>
      <c r="AV1000" t="s">
        <v>2973</v>
      </c>
    </row>
    <row r="1001" spans="1:48" x14ac:dyDescent="0.45">
      <c r="A1001" s="5" t="s">
        <v>2027</v>
      </c>
      <c r="B1001">
        <v>1946</v>
      </c>
      <c r="C1001" t="s">
        <v>2025</v>
      </c>
      <c r="D1001">
        <v>4234</v>
      </c>
      <c r="E1001" t="s">
        <v>2028</v>
      </c>
      <c r="F1001" t="s">
        <v>3</v>
      </c>
      <c r="G1001" t="s">
        <v>2744</v>
      </c>
      <c r="H1001" t="s">
        <v>2745</v>
      </c>
      <c r="I1001" t="s">
        <v>2742</v>
      </c>
      <c r="J1001">
        <v>43.676698536669299</v>
      </c>
      <c r="K1001">
        <v>1</v>
      </c>
      <c r="L1001">
        <v>1</v>
      </c>
      <c r="M1001">
        <v>2</v>
      </c>
      <c r="N1001" s="6">
        <v>102015.276540686</v>
      </c>
      <c r="O1001" s="6">
        <v>35563.464391292902</v>
      </c>
      <c r="P1001" s="6">
        <v>261791.123320429</v>
      </c>
      <c r="Q1001" s="6">
        <v>26739.254206543399</v>
      </c>
      <c r="R1001" s="6">
        <v>260004.033478097</v>
      </c>
      <c r="S1001" s="6">
        <v>16099.083957696699</v>
      </c>
      <c r="T1001" s="6">
        <v>260012.85</v>
      </c>
      <c r="U1001" s="6">
        <v>426100.30193704902</v>
      </c>
      <c r="V1001" s="6">
        <v>227728.22795169399</v>
      </c>
      <c r="W1001" s="6">
        <v>218733.04382927399</v>
      </c>
      <c r="X1001" s="6">
        <v>0</v>
      </c>
      <c r="Y1001" s="6">
        <v>0</v>
      </c>
      <c r="Z1001" s="6">
        <v>0</v>
      </c>
      <c r="AA1001" s="6">
        <v>0</v>
      </c>
      <c r="AB1001" s="6">
        <v>239651.880156081</v>
      </c>
      <c r="AC1001" s="6">
        <v>16099.083957696699</v>
      </c>
      <c r="AD1001" s="6">
        <v>0</v>
      </c>
      <c r="AE1001" s="6">
        <v>0</v>
      </c>
      <c r="AF1001" s="6">
        <v>0</v>
      </c>
      <c r="AG1001" s="6">
        <v>0</v>
      </c>
      <c r="AH1001" s="6">
        <v>0</v>
      </c>
      <c r="AI1001" s="6">
        <v>0</v>
      </c>
      <c r="AJ1001" s="6">
        <v>702212.23589474498</v>
      </c>
      <c r="AK1001" s="6">
        <v>16077.502636908201</v>
      </c>
      <c r="AL1001" s="6">
        <v>330.98244656580999</v>
      </c>
      <c r="AM1001" s="6">
        <v>93035.839999999997</v>
      </c>
      <c r="AN1001" s="6">
        <v>16077.502636908201</v>
      </c>
      <c r="AO1001" s="6">
        <v>17379.776706226701</v>
      </c>
      <c r="AP1001" s="6">
        <v>330.98244656580999</v>
      </c>
      <c r="AQ1001" s="6">
        <v>40734.411818744898</v>
      </c>
      <c r="AR1001" s="6">
        <v>16077.502636908201</v>
      </c>
      <c r="AS1001" s="6">
        <v>17379.776706226701</v>
      </c>
      <c r="AT1001" s="6">
        <v>0</v>
      </c>
      <c r="AU1001" t="s">
        <v>2973</v>
      </c>
      <c r="AV1001" t="s">
        <v>2973</v>
      </c>
    </row>
    <row r="1002" spans="1:48" x14ac:dyDescent="0.45">
      <c r="A1002" s="5" t="s">
        <v>2029</v>
      </c>
      <c r="B1002">
        <v>1946</v>
      </c>
      <c r="C1002" t="s">
        <v>2025</v>
      </c>
      <c r="D1002">
        <v>174</v>
      </c>
      <c r="E1002" t="s">
        <v>2030</v>
      </c>
      <c r="F1002" t="s">
        <v>2739</v>
      </c>
      <c r="G1002" t="s">
        <v>2744</v>
      </c>
      <c r="H1002" t="s">
        <v>2745</v>
      </c>
      <c r="I1002" t="s">
        <v>2742</v>
      </c>
      <c r="J1002">
        <v>413.42073168605498</v>
      </c>
      <c r="K1002">
        <v>1</v>
      </c>
      <c r="L1002">
        <v>1</v>
      </c>
      <c r="M1002">
        <v>2</v>
      </c>
      <c r="N1002" s="6">
        <v>2713371.7932416801</v>
      </c>
      <c r="O1002" s="6">
        <v>1314570.67047156</v>
      </c>
      <c r="P1002" s="6">
        <v>2546010.1844324698</v>
      </c>
      <c r="Q1002" s="6">
        <v>253099.762783755</v>
      </c>
      <c r="R1002" s="6">
        <v>205722.10238797299</v>
      </c>
      <c r="S1002" s="6">
        <v>152385.48911104901</v>
      </c>
      <c r="T1002" s="6">
        <v>2999532.43</v>
      </c>
      <c r="U1002" s="6">
        <v>4033242.0833174302</v>
      </c>
      <c r="V1002" s="6">
        <v>4767200.0136842299</v>
      </c>
      <c r="W1002" s="6">
        <v>2258623.4313698099</v>
      </c>
      <c r="X1002" s="6">
        <v>0</v>
      </c>
      <c r="Y1002" s="6">
        <v>0</v>
      </c>
      <c r="Z1002" s="6">
        <v>0</v>
      </c>
      <c r="AA1002" s="6">
        <v>0</v>
      </c>
      <c r="AB1002" s="6">
        <v>6951.0682633925198</v>
      </c>
      <c r="AC1002" s="6">
        <v>152385.48911104901</v>
      </c>
      <c r="AD1002" s="6">
        <v>0</v>
      </c>
      <c r="AE1002" s="6">
        <v>0</v>
      </c>
      <c r="AF1002" s="6">
        <v>0</v>
      </c>
      <c r="AG1002" s="6">
        <v>0</v>
      </c>
      <c r="AH1002" s="6">
        <v>0</v>
      </c>
      <c r="AI1002" s="6">
        <v>0</v>
      </c>
      <c r="AJ1002" s="6">
        <v>7185160.0024284804</v>
      </c>
      <c r="AK1002" s="6">
        <v>17379.776706226701</v>
      </c>
      <c r="AL1002" s="6">
        <v>330.98244656580999</v>
      </c>
      <c r="AM1002" s="6">
        <v>93035.839999999997</v>
      </c>
      <c r="AN1002" s="6">
        <v>16077.502636908201</v>
      </c>
      <c r="AO1002" s="6">
        <v>17379.776706226701</v>
      </c>
      <c r="AP1002" s="6">
        <v>330.98244656580999</v>
      </c>
      <c r="AQ1002" s="6">
        <v>40734.411818744898</v>
      </c>
      <c r="AR1002" s="6">
        <v>16077.502636908201</v>
      </c>
      <c r="AS1002" s="6">
        <v>17379.776706226701</v>
      </c>
      <c r="AT1002" s="6">
        <v>0</v>
      </c>
      <c r="AU1002" t="s">
        <v>2973</v>
      </c>
      <c r="AV1002" t="s">
        <v>2973</v>
      </c>
    </row>
    <row r="1003" spans="1:48" x14ac:dyDescent="0.45">
      <c r="A1003" s="5" t="s">
        <v>2031</v>
      </c>
      <c r="B1003">
        <v>1977</v>
      </c>
      <c r="C1003" t="s">
        <v>2032</v>
      </c>
      <c r="D1003">
        <v>1326</v>
      </c>
      <c r="E1003" t="s">
        <v>2033</v>
      </c>
      <c r="F1003" t="s">
        <v>2739</v>
      </c>
      <c r="G1003" t="s">
        <v>2747</v>
      </c>
      <c r="H1003" t="s">
        <v>2745</v>
      </c>
      <c r="I1003" t="s">
        <v>2742</v>
      </c>
      <c r="J1003">
        <v>680.93772876596904</v>
      </c>
      <c r="K1003">
        <v>1</v>
      </c>
      <c r="L1003">
        <v>1</v>
      </c>
      <c r="M1003">
        <v>2</v>
      </c>
      <c r="N1003" s="6">
        <v>4525607.2108447403</v>
      </c>
      <c r="O1003" s="6">
        <v>2090778.264249</v>
      </c>
      <c r="P1003" s="6">
        <v>1459248.6481145299</v>
      </c>
      <c r="Q1003" s="6">
        <v>258754.026902404</v>
      </c>
      <c r="R1003" s="6">
        <v>271255.63273594202</v>
      </c>
      <c r="S1003" s="6">
        <v>268826.98703718698</v>
      </c>
      <c r="T1003" s="6">
        <v>4828005.8899999997</v>
      </c>
      <c r="U1003" s="6">
        <v>3777637.8928466202</v>
      </c>
      <c r="V1003" s="6">
        <v>7473437.22410376</v>
      </c>
      <c r="W1003" s="6">
        <v>1059808.85991724</v>
      </c>
      <c r="X1003" s="6">
        <v>0</v>
      </c>
      <c r="Y1003" s="6">
        <v>0</v>
      </c>
      <c r="Z1003" s="6">
        <v>0</v>
      </c>
      <c r="AA1003" s="6">
        <v>71240.806379626694</v>
      </c>
      <c r="AB1003" s="6">
        <v>1156.8924459914799</v>
      </c>
      <c r="AC1003" s="6">
        <v>268826.98703718698</v>
      </c>
      <c r="AD1003" s="6">
        <v>0</v>
      </c>
      <c r="AE1003" s="6">
        <v>0</v>
      </c>
      <c r="AF1003" s="6">
        <v>0</v>
      </c>
      <c r="AG1003" s="6">
        <v>0</v>
      </c>
      <c r="AH1003" s="6">
        <v>0</v>
      </c>
      <c r="AI1003" s="6">
        <v>0</v>
      </c>
      <c r="AJ1003" s="6">
        <v>8874470.7698838096</v>
      </c>
      <c r="AK1003" s="6">
        <v>13032.720019738999</v>
      </c>
      <c r="AL1003" s="6">
        <v>330.98244656580999</v>
      </c>
      <c r="AM1003" s="6">
        <v>93035.839999999997</v>
      </c>
      <c r="AN1003" s="6">
        <v>5942.4888781196296</v>
      </c>
      <c r="AO1003" s="6">
        <v>16232.6637644107</v>
      </c>
      <c r="AP1003" s="6">
        <v>3753.1860850462999</v>
      </c>
      <c r="AQ1003" s="6">
        <v>20687.885194392002</v>
      </c>
      <c r="AR1003" s="6">
        <v>13032.720019738999</v>
      </c>
      <c r="AS1003" s="6">
        <v>13919.5903314757</v>
      </c>
      <c r="AT1003" s="6">
        <v>0</v>
      </c>
      <c r="AU1003" t="s">
        <v>2973</v>
      </c>
      <c r="AV1003" t="s">
        <v>2973</v>
      </c>
    </row>
    <row r="1004" spans="1:48" x14ac:dyDescent="0.45">
      <c r="A1004" s="5" t="s">
        <v>2034</v>
      </c>
      <c r="B1004">
        <v>1977</v>
      </c>
      <c r="C1004" t="s">
        <v>2032</v>
      </c>
      <c r="D1004">
        <v>258</v>
      </c>
      <c r="E1004" t="s">
        <v>2035</v>
      </c>
      <c r="F1004" t="s">
        <v>2739</v>
      </c>
      <c r="G1004" t="s">
        <v>2740</v>
      </c>
      <c r="H1004" t="s">
        <v>2745</v>
      </c>
      <c r="I1004" t="s">
        <v>2742</v>
      </c>
      <c r="J1004">
        <v>391.38731427612203</v>
      </c>
      <c r="K1004">
        <v>1</v>
      </c>
      <c r="L1004">
        <v>1</v>
      </c>
      <c r="M1004">
        <v>2</v>
      </c>
      <c r="N1004" s="6">
        <v>3382004.3224595501</v>
      </c>
      <c r="O1004" s="6">
        <v>1251223.5403017199</v>
      </c>
      <c r="P1004" s="6">
        <v>787929.35405320395</v>
      </c>
      <c r="Q1004" s="6">
        <v>149778.371673685</v>
      </c>
      <c r="R1004" s="6">
        <v>156815.89660713801</v>
      </c>
      <c r="S1004" s="6">
        <v>154515.557027665</v>
      </c>
      <c r="T1004" s="6">
        <v>3556452.28</v>
      </c>
      <c r="U1004" s="6">
        <v>2171299.2050953</v>
      </c>
      <c r="V1004" s="6">
        <v>5018110.93424608</v>
      </c>
      <c r="W1004" s="6">
        <v>668028.02197014506</v>
      </c>
      <c r="X1004" s="6">
        <v>0</v>
      </c>
      <c r="Y1004" s="6">
        <v>0</v>
      </c>
      <c r="Z1004" s="6">
        <v>0</v>
      </c>
      <c r="AA1004" s="6">
        <v>40947.573761726897</v>
      </c>
      <c r="AB1004" s="6">
        <v>664.95511735487798</v>
      </c>
      <c r="AC1004" s="6">
        <v>154515.557027665</v>
      </c>
      <c r="AD1004" s="6">
        <v>0</v>
      </c>
      <c r="AE1004" s="6">
        <v>0</v>
      </c>
      <c r="AF1004" s="6">
        <v>0</v>
      </c>
      <c r="AG1004" s="6">
        <v>0</v>
      </c>
      <c r="AH1004" s="6">
        <v>0</v>
      </c>
      <c r="AI1004" s="6">
        <v>0</v>
      </c>
      <c r="AJ1004" s="6">
        <v>5882267.0421229703</v>
      </c>
      <c r="AK1004" s="6">
        <v>15029.2736314215</v>
      </c>
      <c r="AL1004" s="6">
        <v>330.98244656580999</v>
      </c>
      <c r="AM1004" s="6">
        <v>93035.839999999997</v>
      </c>
      <c r="AN1004" s="6">
        <v>5942.4888781196296</v>
      </c>
      <c r="AO1004" s="6">
        <v>16232.6637644107</v>
      </c>
      <c r="AP1004" s="6">
        <v>330.98244656580999</v>
      </c>
      <c r="AQ1004" s="6">
        <v>93035.839999999997</v>
      </c>
      <c r="AR1004" s="6">
        <v>5942.4888781196296</v>
      </c>
      <c r="AS1004" s="6">
        <v>16232.6637644107</v>
      </c>
      <c r="AT1004" s="6">
        <v>0</v>
      </c>
      <c r="AU1004" t="s">
        <v>2973</v>
      </c>
      <c r="AV1004" t="s">
        <v>2973</v>
      </c>
    </row>
    <row r="1005" spans="1:48" x14ac:dyDescent="0.45">
      <c r="A1005" s="5" t="s">
        <v>2036</v>
      </c>
      <c r="B1005">
        <v>1977</v>
      </c>
      <c r="C1005" t="s">
        <v>2032</v>
      </c>
      <c r="D1005">
        <v>259</v>
      </c>
      <c r="E1005" t="s">
        <v>2037</v>
      </c>
      <c r="F1005" t="s">
        <v>2739</v>
      </c>
      <c r="G1005" t="s">
        <v>2740</v>
      </c>
      <c r="H1005" t="s">
        <v>2745</v>
      </c>
      <c r="I1005" t="s">
        <v>2742</v>
      </c>
      <c r="J1005">
        <v>333.11811077013402</v>
      </c>
      <c r="K1005">
        <v>2</v>
      </c>
      <c r="L1005">
        <v>1</v>
      </c>
      <c r="M1005">
        <v>2</v>
      </c>
      <c r="N1005" s="6">
        <v>2956755.407807</v>
      </c>
      <c r="O1005" s="6">
        <v>1284399.6087279001</v>
      </c>
      <c r="P1005" s="6">
        <v>729441.26624886296</v>
      </c>
      <c r="Q1005" s="6">
        <v>134290.302015183</v>
      </c>
      <c r="R1005" s="6">
        <v>133018.77953094401</v>
      </c>
      <c r="S1005" s="6">
        <v>131511.49402184601</v>
      </c>
      <c r="T1005" s="6">
        <v>3389866.19</v>
      </c>
      <c r="U1005" s="6">
        <v>1848039.1743298999</v>
      </c>
      <c r="V1005" s="6">
        <v>4240089.8217044696</v>
      </c>
      <c r="W1005" s="6">
        <v>962398.229649393</v>
      </c>
      <c r="X1005" s="6">
        <v>0</v>
      </c>
      <c r="Y1005" s="6">
        <v>0</v>
      </c>
      <c r="Z1005" s="6">
        <v>0</v>
      </c>
      <c r="AA1005" s="6">
        <v>34851.3554593749</v>
      </c>
      <c r="AB1005" s="6">
        <v>565.95751666063597</v>
      </c>
      <c r="AC1005" s="6">
        <v>131511.49402184601</v>
      </c>
      <c r="AD1005" s="6">
        <v>0</v>
      </c>
      <c r="AE1005" s="6">
        <v>0</v>
      </c>
      <c r="AF1005" s="6">
        <v>0</v>
      </c>
      <c r="AG1005" s="6">
        <v>0</v>
      </c>
      <c r="AH1005" s="6">
        <v>0</v>
      </c>
      <c r="AI1005" s="6">
        <v>0</v>
      </c>
      <c r="AJ1005" s="6">
        <v>5369416.8583517503</v>
      </c>
      <c r="AK1005" s="6">
        <v>16118.657871642699</v>
      </c>
      <c r="AL1005" s="6">
        <v>330.98244656580999</v>
      </c>
      <c r="AM1005" s="6">
        <v>93035.839999999997</v>
      </c>
      <c r="AN1005" s="6">
        <v>5942.4888781196296</v>
      </c>
      <c r="AO1005" s="6">
        <v>16232.6637644107</v>
      </c>
      <c r="AP1005" s="6">
        <v>330.98244656580999</v>
      </c>
      <c r="AQ1005" s="6">
        <v>93035.839999999997</v>
      </c>
      <c r="AR1005" s="6">
        <v>5942.4888781196296</v>
      </c>
      <c r="AS1005" s="6">
        <v>16232.6637644107</v>
      </c>
      <c r="AT1005" s="6">
        <v>0</v>
      </c>
      <c r="AU1005" t="s">
        <v>2973</v>
      </c>
      <c r="AV1005" t="s">
        <v>2973</v>
      </c>
    </row>
    <row r="1006" spans="1:48" x14ac:dyDescent="0.45">
      <c r="A1006" s="5" t="s">
        <v>2038</v>
      </c>
      <c r="B1006">
        <v>1977</v>
      </c>
      <c r="C1006" t="s">
        <v>2032</v>
      </c>
      <c r="D1006">
        <v>262</v>
      </c>
      <c r="E1006" t="s">
        <v>2039</v>
      </c>
      <c r="F1006" t="s">
        <v>2739</v>
      </c>
      <c r="G1006" t="s">
        <v>2747</v>
      </c>
      <c r="H1006" t="s">
        <v>2745</v>
      </c>
      <c r="I1006" t="s">
        <v>2742</v>
      </c>
      <c r="J1006">
        <v>599.30279788389498</v>
      </c>
      <c r="K1006">
        <v>1</v>
      </c>
      <c r="L1006">
        <v>1</v>
      </c>
      <c r="M1006">
        <v>2</v>
      </c>
      <c r="N1006" s="6">
        <v>4344074.7640073299</v>
      </c>
      <c r="O1006" s="6">
        <v>1947383.4060532299</v>
      </c>
      <c r="P1006" s="6">
        <v>1347523.9801211101</v>
      </c>
      <c r="Q1006" s="6">
        <v>227733.03010741499</v>
      </c>
      <c r="R1006" s="6">
        <v>238735.86786713</v>
      </c>
      <c r="S1006" s="6">
        <v>236598.38289479699</v>
      </c>
      <c r="T1006" s="6">
        <v>4780699.22</v>
      </c>
      <c r="U1006" s="6">
        <v>3324751.82815623</v>
      </c>
      <c r="V1006" s="6">
        <v>7327671.1956511196</v>
      </c>
      <c r="W1006" s="6">
        <v>714061.62742572802</v>
      </c>
      <c r="X1006" s="6">
        <v>0</v>
      </c>
      <c r="Y1006" s="6">
        <v>0</v>
      </c>
      <c r="Z1006" s="6">
        <v>0</v>
      </c>
      <c r="AA1006" s="6">
        <v>62700.027892695703</v>
      </c>
      <c r="AB1006" s="6">
        <v>1018.1971866795</v>
      </c>
      <c r="AC1006" s="6">
        <v>236598.38289479699</v>
      </c>
      <c r="AD1006" s="6">
        <v>0</v>
      </c>
      <c r="AE1006" s="6">
        <v>0</v>
      </c>
      <c r="AF1006" s="6">
        <v>0</v>
      </c>
      <c r="AG1006" s="6">
        <v>0</v>
      </c>
      <c r="AH1006" s="6">
        <v>0</v>
      </c>
      <c r="AI1006" s="6">
        <v>0</v>
      </c>
      <c r="AJ1006" s="6">
        <v>8342049.4310510196</v>
      </c>
      <c r="AK1006" s="6">
        <v>13919.5903314757</v>
      </c>
      <c r="AL1006" s="6">
        <v>330.98244656580999</v>
      </c>
      <c r="AM1006" s="6">
        <v>93035.839999999997</v>
      </c>
      <c r="AN1006" s="6">
        <v>5942.4888781196296</v>
      </c>
      <c r="AO1006" s="6">
        <v>16232.6637644107</v>
      </c>
      <c r="AP1006" s="6">
        <v>3753.1860850462999</v>
      </c>
      <c r="AQ1006" s="6">
        <v>20687.885194392002</v>
      </c>
      <c r="AR1006" s="6">
        <v>13032.720019738999</v>
      </c>
      <c r="AS1006" s="6">
        <v>13919.5903314757</v>
      </c>
      <c r="AT1006" s="6">
        <v>0</v>
      </c>
      <c r="AU1006" t="s">
        <v>2973</v>
      </c>
      <c r="AV1006" t="s">
        <v>2973</v>
      </c>
    </row>
    <row r="1007" spans="1:48" x14ac:dyDescent="0.45">
      <c r="A1007" s="5" t="s">
        <v>2778</v>
      </c>
      <c r="B1007">
        <v>1977</v>
      </c>
      <c r="C1007" t="s">
        <v>2032</v>
      </c>
      <c r="D1007">
        <v>5340</v>
      </c>
      <c r="E1007" t="s">
        <v>2779</v>
      </c>
      <c r="F1007" t="s">
        <v>2739</v>
      </c>
      <c r="G1007" t="s">
        <v>2740</v>
      </c>
      <c r="H1007" t="s">
        <v>2741</v>
      </c>
      <c r="I1007" t="s">
        <v>2742</v>
      </c>
      <c r="J1007">
        <v>376.31986642840002</v>
      </c>
      <c r="K1007">
        <v>1</v>
      </c>
      <c r="L1007">
        <v>1</v>
      </c>
      <c r="M1007">
        <v>2</v>
      </c>
      <c r="N1007" s="6">
        <v>720628.45436306798</v>
      </c>
      <c r="O1007" s="6">
        <v>496802.56321215699</v>
      </c>
      <c r="P1007" s="6">
        <v>577368.96383405698</v>
      </c>
      <c r="Q1007" s="6">
        <v>143000.27260670401</v>
      </c>
      <c r="R1007" s="6">
        <v>149909.278289123</v>
      </c>
      <c r="S1007" s="6">
        <v>148567.088561123</v>
      </c>
      <c r="T1007" s="6">
        <v>0</v>
      </c>
      <c r="U1007" s="6">
        <v>2087709.53230511</v>
      </c>
      <c r="V1007" s="6">
        <v>1692181.75371037</v>
      </c>
      <c r="W1007" s="6">
        <v>355517.22961083101</v>
      </c>
      <c r="X1007" s="6">
        <v>0</v>
      </c>
      <c r="Y1007" s="6">
        <v>0</v>
      </c>
      <c r="Z1007" s="6">
        <v>0</v>
      </c>
      <c r="AA1007" s="6">
        <v>39371.193001183703</v>
      </c>
      <c r="AB1007" s="6">
        <v>639.35598272183302</v>
      </c>
      <c r="AC1007" s="6">
        <v>148567.088561123</v>
      </c>
      <c r="AD1007" s="6">
        <v>0</v>
      </c>
      <c r="AE1007" s="6">
        <v>0</v>
      </c>
      <c r="AF1007" s="6">
        <v>0</v>
      </c>
      <c r="AG1007" s="6">
        <v>0</v>
      </c>
      <c r="AH1007" s="6">
        <v>0</v>
      </c>
      <c r="AI1007" s="6">
        <v>0</v>
      </c>
      <c r="AJ1007" s="6">
        <v>2236276.6208662302</v>
      </c>
      <c r="AK1007" s="6">
        <v>5942.4888781196296</v>
      </c>
      <c r="AL1007" s="6">
        <v>330.98244656580999</v>
      </c>
      <c r="AM1007" s="6">
        <v>93035.839999999997</v>
      </c>
      <c r="AN1007" s="6">
        <v>5942.4888781196296</v>
      </c>
      <c r="AO1007" s="6">
        <v>16232.6637644107</v>
      </c>
      <c r="AP1007" s="6">
        <v>330.98244656580999</v>
      </c>
      <c r="AQ1007" s="6">
        <v>93035.839999999997</v>
      </c>
      <c r="AR1007" s="6">
        <v>5942.4888781196296</v>
      </c>
      <c r="AS1007" s="6">
        <v>16232.6637644107</v>
      </c>
      <c r="AT1007" s="6">
        <v>0</v>
      </c>
      <c r="AU1007" t="s">
        <v>2973</v>
      </c>
      <c r="AV1007" t="s">
        <v>2976</v>
      </c>
    </row>
    <row r="1008" spans="1:48" x14ac:dyDescent="0.45">
      <c r="A1008" s="5" t="s">
        <v>2040</v>
      </c>
      <c r="B1008">
        <v>1977</v>
      </c>
      <c r="C1008" t="s">
        <v>2032</v>
      </c>
      <c r="D1008">
        <v>263</v>
      </c>
      <c r="E1008" t="s">
        <v>2041</v>
      </c>
      <c r="F1008" t="s">
        <v>2739</v>
      </c>
      <c r="G1008" t="s">
        <v>2744</v>
      </c>
      <c r="H1008" t="s">
        <v>2745</v>
      </c>
      <c r="I1008" t="s">
        <v>2742</v>
      </c>
      <c r="J1008">
        <v>949.89567992461195</v>
      </c>
      <c r="K1008">
        <v>1</v>
      </c>
      <c r="L1008">
        <v>1</v>
      </c>
      <c r="M1008">
        <v>2</v>
      </c>
      <c r="N1008" s="6">
        <v>6751931.2101625102</v>
      </c>
      <c r="O1008" s="6">
        <v>3976421.6647816799</v>
      </c>
      <c r="P1008" s="6">
        <v>2365761.4338861299</v>
      </c>
      <c r="Q1008" s="6">
        <v>360957.13592360797</v>
      </c>
      <c r="R1008" s="6">
        <v>458340.59745562199</v>
      </c>
      <c r="S1008" s="6">
        <v>375008.731116348</v>
      </c>
      <c r="T1008" s="6">
        <v>8643676.2599999998</v>
      </c>
      <c r="U1008" s="6">
        <v>5269735.78220955</v>
      </c>
      <c r="V1008" s="6">
        <v>11432402.5081202</v>
      </c>
      <c r="W1008" s="6">
        <v>2380016.0681000599</v>
      </c>
      <c r="X1008" s="6">
        <v>0</v>
      </c>
      <c r="Y1008" s="6">
        <v>0</v>
      </c>
      <c r="Z1008" s="6">
        <v>0</v>
      </c>
      <c r="AA1008" s="6">
        <v>99379.622182179097</v>
      </c>
      <c r="AB1008" s="6">
        <v>1613.8438070927</v>
      </c>
      <c r="AC1008" s="6">
        <v>375008.731116348</v>
      </c>
      <c r="AD1008" s="6">
        <v>0</v>
      </c>
      <c r="AE1008" s="6">
        <v>0</v>
      </c>
      <c r="AF1008" s="6">
        <v>0</v>
      </c>
      <c r="AG1008" s="6">
        <v>0</v>
      </c>
      <c r="AH1008" s="6">
        <v>0</v>
      </c>
      <c r="AI1008" s="6">
        <v>0</v>
      </c>
      <c r="AJ1008" s="6">
        <v>14288420.7733259</v>
      </c>
      <c r="AK1008" s="6">
        <v>15042.0947008201</v>
      </c>
      <c r="AL1008" s="6">
        <v>330.98244656580999</v>
      </c>
      <c r="AM1008" s="6">
        <v>93035.839999999997</v>
      </c>
      <c r="AN1008" s="6">
        <v>5942.4888781196296</v>
      </c>
      <c r="AO1008" s="6">
        <v>16232.6637644107</v>
      </c>
      <c r="AP1008" s="6">
        <v>330.98244656580999</v>
      </c>
      <c r="AQ1008" s="6">
        <v>40734.411818744898</v>
      </c>
      <c r="AR1008" s="6">
        <v>5942.4888781196296</v>
      </c>
      <c r="AS1008" s="6">
        <v>15042.0947008201</v>
      </c>
      <c r="AT1008" s="6">
        <v>0</v>
      </c>
      <c r="AU1008" t="s">
        <v>2973</v>
      </c>
      <c r="AV1008" t="s">
        <v>2973</v>
      </c>
    </row>
    <row r="1009" spans="1:48" x14ac:dyDescent="0.45">
      <c r="A1009" s="5" t="s">
        <v>2042</v>
      </c>
      <c r="B1009">
        <v>1977</v>
      </c>
      <c r="C1009" t="s">
        <v>2032</v>
      </c>
      <c r="D1009">
        <v>4729</v>
      </c>
      <c r="E1009" t="s">
        <v>2043</v>
      </c>
      <c r="F1009" t="s">
        <v>3</v>
      </c>
      <c r="G1009" t="s">
        <v>2748</v>
      </c>
      <c r="H1009" t="s">
        <v>2745</v>
      </c>
      <c r="I1009" t="s">
        <v>2742</v>
      </c>
      <c r="J1009">
        <v>872.85436810029501</v>
      </c>
      <c r="K1009">
        <v>1</v>
      </c>
      <c r="L1009">
        <v>1</v>
      </c>
      <c r="M1009">
        <v>2</v>
      </c>
      <c r="N1009" s="6">
        <v>2077262.38976346</v>
      </c>
      <c r="O1009" s="6">
        <v>1175650.3602878901</v>
      </c>
      <c r="P1009" s="6">
        <v>1340030.61848042</v>
      </c>
      <c r="Q1009" s="6">
        <v>333091.69878706901</v>
      </c>
      <c r="R1009" s="6">
        <v>347706.77831944701</v>
      </c>
      <c r="S1009" s="6">
        <v>344593.63901584601</v>
      </c>
      <c r="T1009" s="6">
        <v>431408.11</v>
      </c>
      <c r="U1009" s="6">
        <v>4842333.7356382897</v>
      </c>
      <c r="V1009" s="6">
        <v>4145475.5937451599</v>
      </c>
      <c r="W1009" s="6">
        <v>1035463.86337683</v>
      </c>
      <c r="X1009" s="6">
        <v>0</v>
      </c>
      <c r="Y1009" s="6">
        <v>0</v>
      </c>
      <c r="Z1009" s="6">
        <v>0</v>
      </c>
      <c r="AA1009" s="6">
        <v>91319.435549760994</v>
      </c>
      <c r="AB1009" s="6">
        <v>1482.95296654499</v>
      </c>
      <c r="AC1009" s="6">
        <v>344593.63901584601</v>
      </c>
      <c r="AD1009" s="6">
        <v>0</v>
      </c>
      <c r="AE1009" s="6">
        <v>0</v>
      </c>
      <c r="AF1009" s="6">
        <v>0</v>
      </c>
      <c r="AG1009" s="6">
        <v>0</v>
      </c>
      <c r="AH1009" s="6">
        <v>0</v>
      </c>
      <c r="AI1009" s="6">
        <v>0</v>
      </c>
      <c r="AJ1009" s="6">
        <v>5618335.4846541397</v>
      </c>
      <c r="AK1009" s="6">
        <v>6436.7386931705996</v>
      </c>
      <c r="AL1009" s="6">
        <v>330.98244656580999</v>
      </c>
      <c r="AM1009" s="6">
        <v>93035.839999999997</v>
      </c>
      <c r="AN1009" s="6">
        <v>5942.4888781196296</v>
      </c>
      <c r="AO1009" s="6">
        <v>16232.6637644107</v>
      </c>
      <c r="AP1009" s="6">
        <v>330.98244656580999</v>
      </c>
      <c r="AQ1009" s="6">
        <v>56162.493707719797</v>
      </c>
      <c r="AR1009" s="6">
        <v>6436.7386931705996</v>
      </c>
      <c r="AS1009" s="6">
        <v>6436.7386931705996</v>
      </c>
      <c r="AT1009" s="6">
        <v>0</v>
      </c>
      <c r="AU1009" t="s">
        <v>2973</v>
      </c>
      <c r="AV1009" t="s">
        <v>2973</v>
      </c>
    </row>
    <row r="1010" spans="1:48" x14ac:dyDescent="0.45">
      <c r="A1010" s="5" t="s">
        <v>2044</v>
      </c>
      <c r="B1010">
        <v>1977</v>
      </c>
      <c r="C1010" t="s">
        <v>2032</v>
      </c>
      <c r="D1010">
        <v>1977</v>
      </c>
      <c r="E1010" t="s">
        <v>2032</v>
      </c>
      <c r="F1010" t="s">
        <v>1</v>
      </c>
      <c r="G1010" t="s">
        <v>1</v>
      </c>
      <c r="H1010" t="s">
        <v>2743</v>
      </c>
      <c r="I1010" t="s">
        <v>2742</v>
      </c>
      <c r="J1010">
        <v>52.406508378351504</v>
      </c>
      <c r="K1010">
        <v>1</v>
      </c>
      <c r="L1010">
        <v>4</v>
      </c>
      <c r="M1010">
        <v>2</v>
      </c>
      <c r="N1010" s="6">
        <v>100355.10877936101</v>
      </c>
      <c r="O1010" s="6">
        <v>69184.993974582205</v>
      </c>
      <c r="P1010" s="6">
        <v>80404.714552391597</v>
      </c>
      <c r="Q1010" s="6">
        <v>19914.2953987406</v>
      </c>
      <c r="R1010" s="6">
        <v>20876.447271343499</v>
      </c>
      <c r="S1010" s="6">
        <v>20689.5332030182</v>
      </c>
      <c r="T1010" s="6">
        <v>0</v>
      </c>
      <c r="U1010" s="6">
        <v>290735.55997642002</v>
      </c>
      <c r="V1010" s="6">
        <v>235654.14734858001</v>
      </c>
      <c r="W1010" s="6">
        <v>49509.521910380499</v>
      </c>
      <c r="X1010" s="6">
        <v>0</v>
      </c>
      <c r="Y1010" s="6">
        <v>0</v>
      </c>
      <c r="Z1010" s="6">
        <v>0</v>
      </c>
      <c r="AA1010" s="6">
        <v>5482.8536570890801</v>
      </c>
      <c r="AB1010" s="6">
        <v>89.037060369057002</v>
      </c>
      <c r="AC1010" s="6">
        <v>20689.5332030182</v>
      </c>
      <c r="AD1010" s="6">
        <v>0</v>
      </c>
      <c r="AE1010" s="6">
        <v>0</v>
      </c>
      <c r="AF1010" s="6">
        <v>0</v>
      </c>
      <c r="AG1010" s="6">
        <v>0</v>
      </c>
      <c r="AH1010" s="6">
        <v>0</v>
      </c>
      <c r="AI1010" s="6">
        <v>0</v>
      </c>
      <c r="AJ1010" s="6">
        <v>311425.09317943797</v>
      </c>
      <c r="AK1010" s="6">
        <v>5942.4888781196296</v>
      </c>
      <c r="AL1010" s="6">
        <v>330.98244656580999</v>
      </c>
      <c r="AM1010" s="6">
        <v>93035.839999999997</v>
      </c>
      <c r="AN1010" s="6">
        <v>5942.4888781196296</v>
      </c>
      <c r="AO1010" s="6">
        <v>16232.6637644107</v>
      </c>
      <c r="AP1010" s="6">
        <v>634.54287297753501</v>
      </c>
      <c r="AQ1010" s="6">
        <v>40331.279999999999</v>
      </c>
      <c r="AR1010" s="6">
        <v>5942.4888781196296</v>
      </c>
      <c r="AS1010" s="6">
        <v>5942.4888781196296</v>
      </c>
      <c r="AT1010" s="6">
        <v>0</v>
      </c>
      <c r="AU1010" t="s">
        <v>2973</v>
      </c>
      <c r="AV1010" t="s">
        <v>2977</v>
      </c>
    </row>
    <row r="1011" spans="1:48" x14ac:dyDescent="0.45">
      <c r="A1011" s="5" t="s">
        <v>2045</v>
      </c>
      <c r="B1011">
        <v>1977</v>
      </c>
      <c r="C1011" t="s">
        <v>2032</v>
      </c>
      <c r="D1011">
        <v>5058</v>
      </c>
      <c r="E1011" t="s">
        <v>2046</v>
      </c>
      <c r="F1011" t="s">
        <v>2739</v>
      </c>
      <c r="G1011" t="s">
        <v>2744</v>
      </c>
      <c r="H1011" t="s">
        <v>2745</v>
      </c>
      <c r="I1011" t="s">
        <v>2742</v>
      </c>
      <c r="J1011">
        <v>908.51845005728705</v>
      </c>
      <c r="K1011">
        <v>1</v>
      </c>
      <c r="L1011">
        <v>1</v>
      </c>
      <c r="M1011">
        <v>2</v>
      </c>
      <c r="N1011" s="6">
        <v>1739754.6737003799</v>
      </c>
      <c r="O1011" s="6">
        <v>1199390.0268878599</v>
      </c>
      <c r="P1011" s="6">
        <v>1393894.9360078599</v>
      </c>
      <c r="Q1011" s="6">
        <v>345233.928943081</v>
      </c>
      <c r="R1011" s="6">
        <v>361913.77950106998</v>
      </c>
      <c r="S1011" s="6">
        <v>358673.43999165698</v>
      </c>
      <c r="T1011" s="6">
        <v>0</v>
      </c>
      <c r="U1011" s="6">
        <v>5040187.3450402496</v>
      </c>
      <c r="V1011" s="6">
        <v>4085296.7946848399</v>
      </c>
      <c r="W1011" s="6">
        <v>858296.33572147996</v>
      </c>
      <c r="X1011" s="6">
        <v>0</v>
      </c>
      <c r="Y1011" s="6">
        <v>0</v>
      </c>
      <c r="Z1011" s="6">
        <v>0</v>
      </c>
      <c r="AA1011" s="6">
        <v>95050.669479197793</v>
      </c>
      <c r="AB1011" s="6">
        <v>1543.5451547382299</v>
      </c>
      <c r="AC1011" s="6">
        <v>358673.43999165698</v>
      </c>
      <c r="AD1011" s="6">
        <v>0</v>
      </c>
      <c r="AE1011" s="6">
        <v>0</v>
      </c>
      <c r="AF1011" s="6">
        <v>0</v>
      </c>
      <c r="AG1011" s="6">
        <v>0</v>
      </c>
      <c r="AH1011" s="6">
        <v>0</v>
      </c>
      <c r="AI1011" s="6">
        <v>0</v>
      </c>
      <c r="AJ1011" s="6">
        <v>5398860.7850319101</v>
      </c>
      <c r="AK1011" s="6">
        <v>5942.4888781196296</v>
      </c>
      <c r="AL1011" s="6">
        <v>330.98244656580999</v>
      </c>
      <c r="AM1011" s="6">
        <v>93035.839999999997</v>
      </c>
      <c r="AN1011" s="6">
        <v>5942.4888781196296</v>
      </c>
      <c r="AO1011" s="6">
        <v>16232.6637644107</v>
      </c>
      <c r="AP1011" s="6">
        <v>330.98244656580999</v>
      </c>
      <c r="AQ1011" s="6">
        <v>40734.411818744898</v>
      </c>
      <c r="AR1011" s="6">
        <v>5942.4888781196296</v>
      </c>
      <c r="AS1011" s="6">
        <v>15042.0947008201</v>
      </c>
      <c r="AT1011" s="6">
        <v>0</v>
      </c>
      <c r="AU1011" t="s">
        <v>2973</v>
      </c>
      <c r="AV1011" t="s">
        <v>2976</v>
      </c>
    </row>
    <row r="1012" spans="1:48" x14ac:dyDescent="0.45">
      <c r="A1012" s="5" t="s">
        <v>2047</v>
      </c>
      <c r="B1012">
        <v>1977</v>
      </c>
      <c r="C1012" t="s">
        <v>2032</v>
      </c>
      <c r="D1012">
        <v>256</v>
      </c>
      <c r="E1012" t="s">
        <v>2048</v>
      </c>
      <c r="F1012" t="s">
        <v>2739</v>
      </c>
      <c r="G1012" t="s">
        <v>2740</v>
      </c>
      <c r="H1012" t="s">
        <v>2745</v>
      </c>
      <c r="I1012" t="s">
        <v>2742</v>
      </c>
      <c r="J1012">
        <v>548.83767268939698</v>
      </c>
      <c r="K1012">
        <v>1</v>
      </c>
      <c r="L1012">
        <v>1</v>
      </c>
      <c r="M1012">
        <v>2</v>
      </c>
      <c r="N1012" s="6">
        <v>1050989.0097488</v>
      </c>
      <c r="O1012" s="6">
        <v>724553.729164775</v>
      </c>
      <c r="P1012" s="6">
        <v>842054.50379554695</v>
      </c>
      <c r="Q1012" s="6">
        <v>208556.453732547</v>
      </c>
      <c r="R1012" s="6">
        <v>218632.78224351601</v>
      </c>
      <c r="S1012" s="6">
        <v>216675.28716462301</v>
      </c>
      <c r="T1012" s="6">
        <v>0</v>
      </c>
      <c r="U1012" s="6">
        <v>3044786.4786851802</v>
      </c>
      <c r="V1012" s="6">
        <v>2467935.3346086699</v>
      </c>
      <c r="W1012" s="6">
        <v>518498.40071548597</v>
      </c>
      <c r="X1012" s="6">
        <v>0</v>
      </c>
      <c r="Y1012" s="6">
        <v>0</v>
      </c>
      <c r="Z1012" s="6">
        <v>0</v>
      </c>
      <c r="AA1012" s="6">
        <v>57420.284883859596</v>
      </c>
      <c r="AB1012" s="6">
        <v>932.45847716588003</v>
      </c>
      <c r="AC1012" s="6">
        <v>216675.28716462301</v>
      </c>
      <c r="AD1012" s="6">
        <v>0</v>
      </c>
      <c r="AE1012" s="6">
        <v>0</v>
      </c>
      <c r="AF1012" s="6">
        <v>0</v>
      </c>
      <c r="AG1012" s="6">
        <v>0</v>
      </c>
      <c r="AH1012" s="6">
        <v>0</v>
      </c>
      <c r="AI1012" s="6">
        <v>0</v>
      </c>
      <c r="AJ1012" s="6">
        <v>3261461.7658497998</v>
      </c>
      <c r="AK1012" s="6">
        <v>5942.4888781196296</v>
      </c>
      <c r="AL1012" s="6">
        <v>330.98244656580999</v>
      </c>
      <c r="AM1012" s="6">
        <v>93035.839999999997</v>
      </c>
      <c r="AN1012" s="6">
        <v>5942.4888781196296</v>
      </c>
      <c r="AO1012" s="6">
        <v>16232.6637644107</v>
      </c>
      <c r="AP1012" s="6">
        <v>330.98244656580999</v>
      </c>
      <c r="AQ1012" s="6">
        <v>93035.839999999997</v>
      </c>
      <c r="AR1012" s="6">
        <v>5942.4888781196296</v>
      </c>
      <c r="AS1012" s="6">
        <v>16232.6637644107</v>
      </c>
      <c r="AT1012" s="6">
        <v>0</v>
      </c>
      <c r="AU1012" t="s">
        <v>2973</v>
      </c>
      <c r="AV1012" t="s">
        <v>2976</v>
      </c>
    </row>
    <row r="1013" spans="1:48" x14ac:dyDescent="0.45">
      <c r="A1013" s="5" t="s">
        <v>2049</v>
      </c>
      <c r="B1013">
        <v>1977</v>
      </c>
      <c r="C1013" t="s">
        <v>2032</v>
      </c>
      <c r="D1013">
        <v>260</v>
      </c>
      <c r="E1013" t="s">
        <v>2050</v>
      </c>
      <c r="F1013" t="s">
        <v>2739</v>
      </c>
      <c r="G1013" t="s">
        <v>2740</v>
      </c>
      <c r="H1013" t="s">
        <v>2745</v>
      </c>
      <c r="I1013" t="s">
        <v>2742</v>
      </c>
      <c r="J1013">
        <v>438.74238784434101</v>
      </c>
      <c r="K1013">
        <v>1</v>
      </c>
      <c r="L1013">
        <v>1</v>
      </c>
      <c r="M1013">
        <v>2</v>
      </c>
      <c r="N1013" s="6">
        <v>3338324.7169415001</v>
      </c>
      <c r="O1013" s="6">
        <v>1345752.06037451</v>
      </c>
      <c r="P1013" s="6">
        <v>924608.67194582894</v>
      </c>
      <c r="Q1013" s="6">
        <v>169882.208981178</v>
      </c>
      <c r="R1013" s="6">
        <v>176375.85449207199</v>
      </c>
      <c r="S1013" s="6">
        <v>173210.837389555</v>
      </c>
      <c r="T1013" s="6">
        <v>3520932.59</v>
      </c>
      <c r="U1013" s="6">
        <v>2434010.9227350899</v>
      </c>
      <c r="V1013" s="6">
        <v>5266932.8566324301</v>
      </c>
      <c r="W1013" s="6">
        <v>641363.30801879102</v>
      </c>
      <c r="X1013" s="6">
        <v>0</v>
      </c>
      <c r="Y1013" s="6">
        <v>0</v>
      </c>
      <c r="Z1013" s="6">
        <v>0</v>
      </c>
      <c r="AA1013" s="6">
        <v>45901.938139920901</v>
      </c>
      <c r="AB1013" s="6">
        <v>745.40994395073699</v>
      </c>
      <c r="AC1013" s="6">
        <v>173210.837389555</v>
      </c>
      <c r="AD1013" s="6">
        <v>0</v>
      </c>
      <c r="AE1013" s="6">
        <v>0</v>
      </c>
      <c r="AF1013" s="6">
        <v>0</v>
      </c>
      <c r="AG1013" s="6">
        <v>0</v>
      </c>
      <c r="AH1013" s="6">
        <v>0</v>
      </c>
      <c r="AI1013" s="6">
        <v>0</v>
      </c>
      <c r="AJ1013" s="6">
        <v>6128154.3501246599</v>
      </c>
      <c r="AK1013" s="6">
        <v>13967.5456940322</v>
      </c>
      <c r="AL1013" s="6">
        <v>330.98244656580999</v>
      </c>
      <c r="AM1013" s="6">
        <v>93035.839999999997</v>
      </c>
      <c r="AN1013" s="6">
        <v>5942.4888781196296</v>
      </c>
      <c r="AO1013" s="6">
        <v>16232.6637644107</v>
      </c>
      <c r="AP1013" s="6">
        <v>330.98244656580999</v>
      </c>
      <c r="AQ1013" s="6">
        <v>93035.839999999997</v>
      </c>
      <c r="AR1013" s="6">
        <v>5942.4888781196296</v>
      </c>
      <c r="AS1013" s="6">
        <v>16232.6637644107</v>
      </c>
      <c r="AT1013" s="6">
        <v>0</v>
      </c>
      <c r="AU1013" t="s">
        <v>2973</v>
      </c>
      <c r="AV1013" t="s">
        <v>2973</v>
      </c>
    </row>
    <row r="1014" spans="1:48" x14ac:dyDescent="0.45">
      <c r="A1014" s="5" t="s">
        <v>2051</v>
      </c>
      <c r="B1014">
        <v>1977</v>
      </c>
      <c r="C1014" t="s">
        <v>2032</v>
      </c>
      <c r="D1014">
        <v>4429</v>
      </c>
      <c r="E1014" t="s">
        <v>2052</v>
      </c>
      <c r="F1014" t="s">
        <v>2739</v>
      </c>
      <c r="G1014" t="s">
        <v>2740</v>
      </c>
      <c r="H1014" t="s">
        <v>2745</v>
      </c>
      <c r="I1014" t="s">
        <v>2742</v>
      </c>
      <c r="J1014">
        <v>446.07137439234702</v>
      </c>
      <c r="K1014">
        <v>1</v>
      </c>
      <c r="L1014">
        <v>1</v>
      </c>
      <c r="M1014">
        <v>2</v>
      </c>
      <c r="N1014" s="6">
        <v>3697420.3470210899</v>
      </c>
      <c r="O1014" s="6">
        <v>1305584.5377553599</v>
      </c>
      <c r="P1014" s="6">
        <v>930021.82362291799</v>
      </c>
      <c r="Q1014" s="6">
        <v>170559.90900639899</v>
      </c>
      <c r="R1014" s="6">
        <v>177695.210288125</v>
      </c>
      <c r="S1014" s="6">
        <v>176104.243480164</v>
      </c>
      <c r="T1014" s="6">
        <v>3806611.89</v>
      </c>
      <c r="U1014" s="6">
        <v>2474669.9376939</v>
      </c>
      <c r="V1014" s="6">
        <v>5472017.6529326504</v>
      </c>
      <c r="W1014" s="6">
        <v>761837.60452769697</v>
      </c>
      <c r="X1014" s="6">
        <v>0</v>
      </c>
      <c r="Y1014" s="6">
        <v>0</v>
      </c>
      <c r="Z1014" s="6">
        <v>0</v>
      </c>
      <c r="AA1014" s="6">
        <v>46668.708564834298</v>
      </c>
      <c r="AB1014" s="6">
        <v>757.86166870613704</v>
      </c>
      <c r="AC1014" s="6">
        <v>176104.243480164</v>
      </c>
      <c r="AD1014" s="6">
        <v>0</v>
      </c>
      <c r="AE1014" s="6">
        <v>0</v>
      </c>
      <c r="AF1014" s="6">
        <v>0</v>
      </c>
      <c r="AG1014" s="6">
        <v>0</v>
      </c>
      <c r="AH1014" s="6">
        <v>0</v>
      </c>
      <c r="AI1014" s="6">
        <v>0</v>
      </c>
      <c r="AJ1014" s="6">
        <v>6457386.0711740497</v>
      </c>
      <c r="AK1014" s="6">
        <v>14476.1274582358</v>
      </c>
      <c r="AL1014" s="6">
        <v>330.98244656580999</v>
      </c>
      <c r="AM1014" s="6">
        <v>93035.839999999997</v>
      </c>
      <c r="AN1014" s="6">
        <v>5942.4888781196296</v>
      </c>
      <c r="AO1014" s="6">
        <v>16232.6637644107</v>
      </c>
      <c r="AP1014" s="6">
        <v>330.98244656580999</v>
      </c>
      <c r="AQ1014" s="6">
        <v>93035.839999999997</v>
      </c>
      <c r="AR1014" s="6">
        <v>5942.4888781196296</v>
      </c>
      <c r="AS1014" s="6">
        <v>16232.6637644107</v>
      </c>
      <c r="AT1014" s="6">
        <v>0</v>
      </c>
      <c r="AU1014" t="s">
        <v>2973</v>
      </c>
      <c r="AV1014" t="s">
        <v>2973</v>
      </c>
    </row>
    <row r="1015" spans="1:48" x14ac:dyDescent="0.45">
      <c r="A1015" s="5" t="s">
        <v>2053</v>
      </c>
      <c r="B1015">
        <v>1977</v>
      </c>
      <c r="C1015" t="s">
        <v>2032</v>
      </c>
      <c r="D1015">
        <v>261</v>
      </c>
      <c r="E1015" t="s">
        <v>2054</v>
      </c>
      <c r="F1015" t="s">
        <v>2739</v>
      </c>
      <c r="G1015" t="s">
        <v>2740</v>
      </c>
      <c r="H1015" t="s">
        <v>2745</v>
      </c>
      <c r="I1015" t="s">
        <v>2742</v>
      </c>
      <c r="J1015">
        <v>389.99540886734502</v>
      </c>
      <c r="K1015">
        <v>1</v>
      </c>
      <c r="L1015">
        <v>1</v>
      </c>
      <c r="M1015">
        <v>2</v>
      </c>
      <c r="N1015" s="6">
        <v>2932683.6727035702</v>
      </c>
      <c r="O1015" s="6">
        <v>1251941.7319825499</v>
      </c>
      <c r="P1015" s="6">
        <v>798548.15240761905</v>
      </c>
      <c r="Q1015" s="6">
        <v>150308.23234028101</v>
      </c>
      <c r="R1015" s="6">
        <v>155357.012730282</v>
      </c>
      <c r="S1015" s="6">
        <v>153966.04754761199</v>
      </c>
      <c r="T1015" s="6">
        <v>3125261.47</v>
      </c>
      <c r="U1015" s="6">
        <v>2163577.3321643001</v>
      </c>
      <c r="V1015" s="6">
        <v>4677439.5015961099</v>
      </c>
      <c r="W1015" s="6">
        <v>569934.75988880498</v>
      </c>
      <c r="X1015" s="6">
        <v>0</v>
      </c>
      <c r="Y1015" s="6">
        <v>0</v>
      </c>
      <c r="Z1015" s="6">
        <v>0</v>
      </c>
      <c r="AA1015" s="6">
        <v>40801.950366904697</v>
      </c>
      <c r="AB1015" s="6">
        <v>662.59031249105306</v>
      </c>
      <c r="AC1015" s="6">
        <v>153966.04754761199</v>
      </c>
      <c r="AD1015" s="6">
        <v>0</v>
      </c>
      <c r="AE1015" s="6">
        <v>0</v>
      </c>
      <c r="AF1015" s="6">
        <v>0</v>
      </c>
      <c r="AG1015" s="6">
        <v>0</v>
      </c>
      <c r="AH1015" s="6">
        <v>0</v>
      </c>
      <c r="AI1015" s="6">
        <v>0</v>
      </c>
      <c r="AJ1015" s="6">
        <v>5442804.8497119201</v>
      </c>
      <c r="AK1015" s="6">
        <v>13956.0741638455</v>
      </c>
      <c r="AL1015" s="6">
        <v>330.98244656580999</v>
      </c>
      <c r="AM1015" s="6">
        <v>93035.839999999997</v>
      </c>
      <c r="AN1015" s="6">
        <v>5942.4888781196296</v>
      </c>
      <c r="AO1015" s="6">
        <v>16232.6637644107</v>
      </c>
      <c r="AP1015" s="6">
        <v>330.98244656580999</v>
      </c>
      <c r="AQ1015" s="6">
        <v>93035.839999999997</v>
      </c>
      <c r="AR1015" s="6">
        <v>5942.4888781196296</v>
      </c>
      <c r="AS1015" s="6">
        <v>16232.6637644107</v>
      </c>
      <c r="AT1015" s="6">
        <v>0</v>
      </c>
      <c r="AU1015" t="s">
        <v>2973</v>
      </c>
      <c r="AV1015" t="s">
        <v>2973</v>
      </c>
    </row>
    <row r="1016" spans="1:48" x14ac:dyDescent="0.45">
      <c r="A1016" s="5" t="s">
        <v>2055</v>
      </c>
      <c r="B1016">
        <v>1977</v>
      </c>
      <c r="C1016" t="s">
        <v>2032</v>
      </c>
      <c r="D1016">
        <v>1325</v>
      </c>
      <c r="E1016" t="s">
        <v>2056</v>
      </c>
      <c r="F1016" t="s">
        <v>2739</v>
      </c>
      <c r="G1016" t="s">
        <v>2740</v>
      </c>
      <c r="H1016" t="s">
        <v>2745</v>
      </c>
      <c r="I1016" t="s">
        <v>2742</v>
      </c>
      <c r="J1016">
        <v>346.72921008886698</v>
      </c>
      <c r="K1016">
        <v>1</v>
      </c>
      <c r="L1016">
        <v>1</v>
      </c>
      <c r="M1016">
        <v>2</v>
      </c>
      <c r="N1016" s="6">
        <v>3209266.6816975898</v>
      </c>
      <c r="O1016" s="6">
        <v>1224189.71224674</v>
      </c>
      <c r="P1016" s="6">
        <v>787152.47292948898</v>
      </c>
      <c r="Q1016" s="6">
        <v>132364.56358169799</v>
      </c>
      <c r="R1016" s="6">
        <v>138480.24266823701</v>
      </c>
      <c r="S1016" s="6">
        <v>136885.011548551</v>
      </c>
      <c r="T1016" s="6">
        <v>3567904.21</v>
      </c>
      <c r="U1016" s="6">
        <v>1923549.4631237399</v>
      </c>
      <c r="V1016" s="6">
        <v>4848780.9309154497</v>
      </c>
      <c r="W1016" s="6">
        <v>605808.289167115</v>
      </c>
      <c r="X1016" s="6">
        <v>0</v>
      </c>
      <c r="Y1016" s="6">
        <v>0</v>
      </c>
      <c r="Z1016" s="6">
        <v>0</v>
      </c>
      <c r="AA1016" s="6">
        <v>36275.370681643399</v>
      </c>
      <c r="AB1016" s="6">
        <v>589.08235953285998</v>
      </c>
      <c r="AC1016" s="6">
        <v>136885.011548551</v>
      </c>
      <c r="AD1016" s="6">
        <v>0</v>
      </c>
      <c r="AE1016" s="6">
        <v>0</v>
      </c>
      <c r="AF1016" s="6">
        <v>0</v>
      </c>
      <c r="AG1016" s="6">
        <v>0</v>
      </c>
      <c r="AH1016" s="6">
        <v>0</v>
      </c>
      <c r="AI1016" s="6">
        <v>0</v>
      </c>
      <c r="AJ1016" s="6">
        <v>5628338.6846722905</v>
      </c>
      <c r="AK1016" s="6">
        <v>16232.6637644107</v>
      </c>
      <c r="AL1016" s="6">
        <v>330.98244656580999</v>
      </c>
      <c r="AM1016" s="6">
        <v>93035.839999999997</v>
      </c>
      <c r="AN1016" s="6">
        <v>5942.4888781196296</v>
      </c>
      <c r="AO1016" s="6">
        <v>16232.6637644107</v>
      </c>
      <c r="AP1016" s="6">
        <v>330.98244656580999</v>
      </c>
      <c r="AQ1016" s="6">
        <v>93035.839999999997</v>
      </c>
      <c r="AR1016" s="6">
        <v>5942.4888781196296</v>
      </c>
      <c r="AS1016" s="6">
        <v>16232.6637644107</v>
      </c>
      <c r="AT1016" s="6">
        <v>0</v>
      </c>
      <c r="AU1016" t="s">
        <v>2973</v>
      </c>
      <c r="AV1016" t="s">
        <v>2973</v>
      </c>
    </row>
    <row r="1017" spans="1:48" x14ac:dyDescent="0.45">
      <c r="A1017" s="5" t="s">
        <v>2057</v>
      </c>
      <c r="B1017">
        <v>2001</v>
      </c>
      <c r="C1017" t="s">
        <v>2058</v>
      </c>
      <c r="D1017">
        <v>309</v>
      </c>
      <c r="E1017" t="s">
        <v>869</v>
      </c>
      <c r="F1017" t="s">
        <v>2739</v>
      </c>
      <c r="G1017" t="s">
        <v>2740</v>
      </c>
      <c r="H1017" t="s">
        <v>2745</v>
      </c>
      <c r="I1017" t="s">
        <v>2742</v>
      </c>
      <c r="J1017">
        <v>358.040905292893</v>
      </c>
      <c r="K1017">
        <v>1</v>
      </c>
      <c r="L1017">
        <v>1</v>
      </c>
      <c r="M1017">
        <v>3</v>
      </c>
      <c r="N1017" s="6">
        <v>2713156.3711308199</v>
      </c>
      <c r="O1017" s="6">
        <v>650770.403811845</v>
      </c>
      <c r="P1017" s="6">
        <v>1036545.96307857</v>
      </c>
      <c r="Q1017" s="6">
        <v>279120.12825337501</v>
      </c>
      <c r="R1017" s="6">
        <v>89214.415544688396</v>
      </c>
      <c r="S1017" s="6">
        <v>203451.50272930099</v>
      </c>
      <c r="T1017" s="6">
        <v>3264454.55</v>
      </c>
      <c r="U1017" s="6">
        <v>1504352.7318193</v>
      </c>
      <c r="V1017" s="6">
        <v>3831143.6452451302</v>
      </c>
      <c r="W1017" s="6">
        <v>934278.76657417498</v>
      </c>
      <c r="X1017" s="6">
        <v>0</v>
      </c>
      <c r="Y1017" s="6">
        <v>0</v>
      </c>
      <c r="Z1017" s="6">
        <v>0</v>
      </c>
      <c r="AA1017" s="6">
        <v>0</v>
      </c>
      <c r="AB1017" s="6">
        <v>3384.87</v>
      </c>
      <c r="AC1017" s="6">
        <v>186446.105599225</v>
      </c>
      <c r="AD1017" s="6">
        <v>17005.3971300759</v>
      </c>
      <c r="AE1017" s="6">
        <v>0</v>
      </c>
      <c r="AF1017" s="6">
        <v>0</v>
      </c>
      <c r="AG1017" s="6">
        <v>0</v>
      </c>
      <c r="AH1017" s="6">
        <v>0</v>
      </c>
      <c r="AI1017" s="6">
        <v>0</v>
      </c>
      <c r="AJ1017" s="6">
        <v>4972258.7845486002</v>
      </c>
      <c r="AK1017" s="6">
        <v>13887.4042352258</v>
      </c>
      <c r="AL1017" s="6">
        <v>330.98244656580999</v>
      </c>
      <c r="AM1017" s="6">
        <v>93035.839999999997</v>
      </c>
      <c r="AN1017" s="6">
        <v>13887.4042352258</v>
      </c>
      <c r="AO1017" s="6">
        <v>18385.840768640799</v>
      </c>
      <c r="AP1017" s="6">
        <v>330.98244656580999</v>
      </c>
      <c r="AQ1017" s="6">
        <v>93035.839999999997</v>
      </c>
      <c r="AR1017" s="6">
        <v>13887.4042352258</v>
      </c>
      <c r="AS1017" s="6">
        <v>13887.4042352258</v>
      </c>
      <c r="AT1017" s="6">
        <v>0</v>
      </c>
      <c r="AU1017" t="s">
        <v>2973</v>
      </c>
      <c r="AV1017" t="s">
        <v>2973</v>
      </c>
    </row>
    <row r="1018" spans="1:48" x14ac:dyDescent="0.45">
      <c r="A1018" s="5" t="s">
        <v>2059</v>
      </c>
      <c r="B1018">
        <v>2001</v>
      </c>
      <c r="C1018" t="s">
        <v>2058</v>
      </c>
      <c r="D1018">
        <v>310</v>
      </c>
      <c r="E1018" t="s">
        <v>2060</v>
      </c>
      <c r="F1018" t="s">
        <v>3</v>
      </c>
      <c r="G1018" t="s">
        <v>2744</v>
      </c>
      <c r="H1018" t="s">
        <v>2745</v>
      </c>
      <c r="I1018" t="s">
        <v>2742</v>
      </c>
      <c r="J1018">
        <v>309.40460526309403</v>
      </c>
      <c r="K1018">
        <v>1</v>
      </c>
      <c r="L1018">
        <v>1</v>
      </c>
      <c r="M1018">
        <v>3</v>
      </c>
      <c r="N1018" s="6">
        <v>905305.62886917999</v>
      </c>
      <c r="O1018" s="6">
        <v>194194.246188155</v>
      </c>
      <c r="P1018" s="6">
        <v>768271.05692142702</v>
      </c>
      <c r="Q1018" s="6">
        <v>241204.43174662499</v>
      </c>
      <c r="R1018" s="6">
        <v>3403873.8044553101</v>
      </c>
      <c r="S1018" s="6">
        <v>175814.63727069899</v>
      </c>
      <c r="T1018" s="6">
        <v>4212847.8099999996</v>
      </c>
      <c r="U1018" s="6">
        <v>1300001.3581807001</v>
      </c>
      <c r="V1018" s="6">
        <v>1459975.3647548701</v>
      </c>
      <c r="W1018" s="6">
        <v>733385.45342582499</v>
      </c>
      <c r="X1018" s="6">
        <v>0</v>
      </c>
      <c r="Y1018" s="6">
        <v>0</v>
      </c>
      <c r="Z1018" s="6">
        <v>0</v>
      </c>
      <c r="AA1018" s="6">
        <v>0</v>
      </c>
      <c r="AB1018" s="6">
        <v>3319488.35</v>
      </c>
      <c r="AC1018" s="6">
        <v>161119.25440077501</v>
      </c>
      <c r="AD1018" s="6">
        <v>14695.3828699241</v>
      </c>
      <c r="AE1018" s="6">
        <v>0</v>
      </c>
      <c r="AF1018" s="6">
        <v>0</v>
      </c>
      <c r="AG1018" s="6">
        <v>0</v>
      </c>
      <c r="AH1018" s="6">
        <v>0</v>
      </c>
      <c r="AI1018" s="6">
        <v>0</v>
      </c>
      <c r="AJ1018" s="6">
        <v>5688663.8054513996</v>
      </c>
      <c r="AK1018" s="6">
        <v>18385.840768640799</v>
      </c>
      <c r="AL1018" s="6">
        <v>330.98244656580999</v>
      </c>
      <c r="AM1018" s="6">
        <v>93035.839999999997</v>
      </c>
      <c r="AN1018" s="6">
        <v>13887.4042352258</v>
      </c>
      <c r="AO1018" s="6">
        <v>18385.840768640799</v>
      </c>
      <c r="AP1018" s="6">
        <v>330.98244656580999</v>
      </c>
      <c r="AQ1018" s="6">
        <v>40734.411818744898</v>
      </c>
      <c r="AR1018" s="6">
        <v>18385.840768640799</v>
      </c>
      <c r="AS1018" s="6">
        <v>18385.840768640799</v>
      </c>
      <c r="AT1018" s="6">
        <v>0</v>
      </c>
      <c r="AU1018" t="s">
        <v>2973</v>
      </c>
      <c r="AV1018" t="s">
        <v>2973</v>
      </c>
    </row>
    <row r="1019" spans="1:48" x14ac:dyDescent="0.45">
      <c r="A1019" s="5" t="s">
        <v>2063</v>
      </c>
      <c r="B1019">
        <v>2182</v>
      </c>
      <c r="C1019" t="s">
        <v>2064</v>
      </c>
      <c r="D1019">
        <v>943</v>
      </c>
      <c r="E1019" t="s">
        <v>2065</v>
      </c>
      <c r="F1019" t="s">
        <v>2739</v>
      </c>
      <c r="G1019" t="s">
        <v>2740</v>
      </c>
      <c r="H1019" t="s">
        <v>2741</v>
      </c>
      <c r="I1019" t="s">
        <v>2742</v>
      </c>
      <c r="J1019">
        <v>484.575816038727</v>
      </c>
      <c r="K1019">
        <v>6</v>
      </c>
      <c r="L1019">
        <v>1</v>
      </c>
      <c r="M1019">
        <v>3</v>
      </c>
      <c r="N1019" s="6">
        <v>3980101.4663156201</v>
      </c>
      <c r="O1019" s="6">
        <v>1218312.1093401499</v>
      </c>
      <c r="P1019" s="6">
        <v>1370197.6879310601</v>
      </c>
      <c r="Q1019" s="6">
        <v>182020.06327716901</v>
      </c>
      <c r="R1019" s="6">
        <v>117544.876546774</v>
      </c>
      <c r="S1019" s="6">
        <v>198714.09014972899</v>
      </c>
      <c r="T1019" s="6">
        <v>4942647.5199999996</v>
      </c>
      <c r="U1019" s="6">
        <v>1925528.68341077</v>
      </c>
      <c r="V1019" s="6">
        <v>5880879.0635052798</v>
      </c>
      <c r="W1019" s="6">
        <v>987297.139905483</v>
      </c>
      <c r="X1019" s="6">
        <v>0</v>
      </c>
      <c r="Y1019" s="6">
        <v>0</v>
      </c>
      <c r="Z1019" s="6">
        <v>0</v>
      </c>
      <c r="AA1019" s="6">
        <v>0</v>
      </c>
      <c r="AB1019" s="6">
        <v>0</v>
      </c>
      <c r="AC1019" s="6">
        <v>198714.09014972899</v>
      </c>
      <c r="AD1019" s="6">
        <v>0</v>
      </c>
      <c r="AE1019" s="6">
        <v>0</v>
      </c>
      <c r="AF1019" s="6">
        <v>0</v>
      </c>
      <c r="AG1019" s="6">
        <v>0</v>
      </c>
      <c r="AH1019" s="6">
        <v>0</v>
      </c>
      <c r="AI1019" s="6">
        <v>0</v>
      </c>
      <c r="AJ1019" s="6">
        <v>7066890.2935605003</v>
      </c>
      <c r="AK1019" s="6">
        <v>14583.6627822873</v>
      </c>
      <c r="AL1019" s="6">
        <v>330.98244656580999</v>
      </c>
      <c r="AM1019" s="6">
        <v>93035.839999999997</v>
      </c>
      <c r="AN1019" s="6">
        <v>4383.7160321486899</v>
      </c>
      <c r="AO1019" s="6">
        <v>25719.079092825301</v>
      </c>
      <c r="AP1019" s="6">
        <v>330.98244656580999</v>
      </c>
      <c r="AQ1019" s="6">
        <v>93035.839999999997</v>
      </c>
      <c r="AR1019" s="6">
        <v>4383.7160321486899</v>
      </c>
      <c r="AS1019" s="6">
        <v>15798.1474995591</v>
      </c>
      <c r="AT1019" s="6">
        <v>0</v>
      </c>
      <c r="AU1019" t="s">
        <v>2973</v>
      </c>
      <c r="AV1019" t="s">
        <v>2973</v>
      </c>
    </row>
    <row r="1020" spans="1:48" x14ac:dyDescent="0.45">
      <c r="A1020" s="5" t="s">
        <v>2066</v>
      </c>
      <c r="B1020">
        <v>2182</v>
      </c>
      <c r="C1020" t="s">
        <v>2064</v>
      </c>
      <c r="D1020">
        <v>949</v>
      </c>
      <c r="E1020" t="s">
        <v>2067</v>
      </c>
      <c r="F1020" t="s">
        <v>2739</v>
      </c>
      <c r="G1020" t="s">
        <v>2740</v>
      </c>
      <c r="H1020" t="s">
        <v>2741</v>
      </c>
      <c r="I1020" t="s">
        <v>2742</v>
      </c>
      <c r="J1020">
        <v>442.80691137316501</v>
      </c>
      <c r="K1020">
        <v>5</v>
      </c>
      <c r="L1020">
        <v>1</v>
      </c>
      <c r="M1020">
        <v>3</v>
      </c>
      <c r="N1020" s="6">
        <v>3652056.9522876702</v>
      </c>
      <c r="O1020" s="6">
        <v>980072.98341740901</v>
      </c>
      <c r="P1020" s="6">
        <v>1242677.3047775801</v>
      </c>
      <c r="Q1020" s="6">
        <v>166456.928787235</v>
      </c>
      <c r="R1020" s="6">
        <v>107781.823986455</v>
      </c>
      <c r="S1020" s="6">
        <v>181585.563276434</v>
      </c>
      <c r="T1020" s="6">
        <v>4389491.8</v>
      </c>
      <c r="U1020" s="6">
        <v>1759554.19325635</v>
      </c>
      <c r="V1020" s="6">
        <v>5138165.8709398797</v>
      </c>
      <c r="W1020" s="6">
        <v>1010880.12231647</v>
      </c>
      <c r="X1020" s="6">
        <v>0</v>
      </c>
      <c r="Y1020" s="6">
        <v>0</v>
      </c>
      <c r="Z1020" s="6">
        <v>0</v>
      </c>
      <c r="AA1020" s="6">
        <v>0</v>
      </c>
      <c r="AB1020" s="6">
        <v>0</v>
      </c>
      <c r="AC1020" s="6">
        <v>181585.563276434</v>
      </c>
      <c r="AD1020" s="6">
        <v>0</v>
      </c>
      <c r="AE1020" s="6">
        <v>0</v>
      </c>
      <c r="AF1020" s="6">
        <v>0</v>
      </c>
      <c r="AG1020" s="6">
        <v>0</v>
      </c>
      <c r="AH1020" s="6">
        <v>0</v>
      </c>
      <c r="AI1020" s="6">
        <v>0</v>
      </c>
      <c r="AJ1020" s="6">
        <v>6330631.5565327797</v>
      </c>
      <c r="AK1020" s="6">
        <v>14296.596087222801</v>
      </c>
      <c r="AL1020" s="6">
        <v>330.98244656580999</v>
      </c>
      <c r="AM1020" s="6">
        <v>93035.839999999997</v>
      </c>
      <c r="AN1020" s="6">
        <v>4383.7160321486899</v>
      </c>
      <c r="AO1020" s="6">
        <v>25719.079092825301</v>
      </c>
      <c r="AP1020" s="6">
        <v>330.98244656580999</v>
      </c>
      <c r="AQ1020" s="6">
        <v>93035.839999999997</v>
      </c>
      <c r="AR1020" s="6">
        <v>4383.7160321486899</v>
      </c>
      <c r="AS1020" s="6">
        <v>15798.1474995591</v>
      </c>
      <c r="AT1020" s="6">
        <v>0</v>
      </c>
      <c r="AU1020" t="s">
        <v>2973</v>
      </c>
      <c r="AV1020" t="s">
        <v>2973</v>
      </c>
    </row>
    <row r="1021" spans="1:48" x14ac:dyDescent="0.45">
      <c r="A1021" s="5" t="s">
        <v>2068</v>
      </c>
      <c r="B1021">
        <v>2182</v>
      </c>
      <c r="C1021" t="s">
        <v>2064</v>
      </c>
      <c r="D1021">
        <v>945</v>
      </c>
      <c r="E1021" t="s">
        <v>2069</v>
      </c>
      <c r="F1021" t="s">
        <v>2739</v>
      </c>
      <c r="G1021" t="s">
        <v>2740</v>
      </c>
      <c r="H1021" t="s">
        <v>2741</v>
      </c>
      <c r="I1021" t="s">
        <v>2742</v>
      </c>
      <c r="J1021">
        <v>343.63255333380903</v>
      </c>
      <c r="K1021">
        <v>3</v>
      </c>
      <c r="L1021">
        <v>1</v>
      </c>
      <c r="M1021">
        <v>3</v>
      </c>
      <c r="N1021" s="6">
        <v>2717662.4896911499</v>
      </c>
      <c r="O1021" s="6">
        <v>859457.80105598702</v>
      </c>
      <c r="P1021" s="6">
        <v>1499696.3525226701</v>
      </c>
      <c r="Q1021" s="6">
        <v>129077.880141084</v>
      </c>
      <c r="R1021" s="6">
        <v>81946.941631201596</v>
      </c>
      <c r="S1021" s="6">
        <v>140916.29817551299</v>
      </c>
      <c r="T1021" s="6">
        <v>3922370.23</v>
      </c>
      <c r="U1021" s="6">
        <v>1365471.2350420901</v>
      </c>
      <c r="V1021" s="6">
        <v>4260061.8116960004</v>
      </c>
      <c r="W1021" s="6">
        <v>1027779.65334609</v>
      </c>
      <c r="X1021" s="6">
        <v>0</v>
      </c>
      <c r="Y1021" s="6">
        <v>0</v>
      </c>
      <c r="Z1021" s="6">
        <v>0</v>
      </c>
      <c r="AA1021" s="6">
        <v>0</v>
      </c>
      <c r="AB1021" s="6">
        <v>0</v>
      </c>
      <c r="AC1021" s="6">
        <v>140916.29817551299</v>
      </c>
      <c r="AD1021" s="6">
        <v>0</v>
      </c>
      <c r="AE1021" s="6">
        <v>0</v>
      </c>
      <c r="AF1021" s="6">
        <v>0</v>
      </c>
      <c r="AG1021" s="6">
        <v>0</v>
      </c>
      <c r="AH1021" s="6">
        <v>0</v>
      </c>
      <c r="AI1021" s="6">
        <v>0</v>
      </c>
      <c r="AJ1021" s="6">
        <v>5428757.7632176001</v>
      </c>
      <c r="AK1021" s="6">
        <v>15798.1474995591</v>
      </c>
      <c r="AL1021" s="6">
        <v>330.98244656580999</v>
      </c>
      <c r="AM1021" s="6">
        <v>93035.839999999997</v>
      </c>
      <c r="AN1021" s="6">
        <v>4383.7160321486899</v>
      </c>
      <c r="AO1021" s="6">
        <v>25719.079092825301</v>
      </c>
      <c r="AP1021" s="6">
        <v>330.98244656580999</v>
      </c>
      <c r="AQ1021" s="6">
        <v>93035.839999999997</v>
      </c>
      <c r="AR1021" s="6">
        <v>4383.7160321486899</v>
      </c>
      <c r="AS1021" s="6">
        <v>15798.1474995591</v>
      </c>
      <c r="AT1021" s="6">
        <v>0</v>
      </c>
      <c r="AU1021" t="s">
        <v>2973</v>
      </c>
      <c r="AV1021" t="s">
        <v>2973</v>
      </c>
    </row>
    <row r="1022" spans="1:48" x14ac:dyDescent="0.45">
      <c r="A1022" s="5" t="s">
        <v>2070</v>
      </c>
      <c r="B1022">
        <v>2182</v>
      </c>
      <c r="C1022" t="s">
        <v>2064</v>
      </c>
      <c r="D1022">
        <v>946</v>
      </c>
      <c r="E1022" t="s">
        <v>2071</v>
      </c>
      <c r="F1022" t="s">
        <v>2739</v>
      </c>
      <c r="G1022" t="s">
        <v>2740</v>
      </c>
      <c r="H1022" t="s">
        <v>2741</v>
      </c>
      <c r="I1022" t="s">
        <v>2742</v>
      </c>
      <c r="J1022">
        <v>479.34969874898599</v>
      </c>
      <c r="K1022">
        <v>4</v>
      </c>
      <c r="L1022">
        <v>1</v>
      </c>
      <c r="M1022">
        <v>3</v>
      </c>
      <c r="N1022" s="6">
        <v>3806996.7016094401</v>
      </c>
      <c r="O1022" s="6">
        <v>1522493.8555124099</v>
      </c>
      <c r="P1022" s="6">
        <v>1377752.37841031</v>
      </c>
      <c r="Q1022" s="6">
        <v>180056.98924770299</v>
      </c>
      <c r="R1022" s="6">
        <v>117481.122458306</v>
      </c>
      <c r="S1022" s="6">
        <v>196570.97217339999</v>
      </c>
      <c r="T1022" s="6">
        <v>5100019.0599999996</v>
      </c>
      <c r="U1022" s="6">
        <v>1904761.9872381701</v>
      </c>
      <c r="V1022" s="6">
        <v>5664768.2325086202</v>
      </c>
      <c r="W1022" s="6">
        <v>1340012.8147295499</v>
      </c>
      <c r="X1022" s="6">
        <v>0</v>
      </c>
      <c r="Y1022" s="6">
        <v>0</v>
      </c>
      <c r="Z1022" s="6">
        <v>0</v>
      </c>
      <c r="AA1022" s="6">
        <v>0</v>
      </c>
      <c r="AB1022" s="6">
        <v>0</v>
      </c>
      <c r="AC1022" s="6">
        <v>196570.97217339999</v>
      </c>
      <c r="AD1022" s="6">
        <v>0</v>
      </c>
      <c r="AE1022" s="6">
        <v>0</v>
      </c>
      <c r="AF1022" s="6">
        <v>0</v>
      </c>
      <c r="AG1022" s="6">
        <v>0</v>
      </c>
      <c r="AH1022" s="6">
        <v>0</v>
      </c>
      <c r="AI1022" s="6">
        <v>0</v>
      </c>
      <c r="AJ1022" s="6">
        <v>7201352.0194115704</v>
      </c>
      <c r="AK1022" s="6">
        <v>15023.170011800899</v>
      </c>
      <c r="AL1022" s="6">
        <v>330.98244656580999</v>
      </c>
      <c r="AM1022" s="6">
        <v>93035.839999999997</v>
      </c>
      <c r="AN1022" s="6">
        <v>4383.7160321486899</v>
      </c>
      <c r="AO1022" s="6">
        <v>25719.079092825301</v>
      </c>
      <c r="AP1022" s="6">
        <v>330.98244656580999</v>
      </c>
      <c r="AQ1022" s="6">
        <v>93035.839999999997</v>
      </c>
      <c r="AR1022" s="6">
        <v>4383.7160321486899</v>
      </c>
      <c r="AS1022" s="6">
        <v>15798.1474995591</v>
      </c>
      <c r="AT1022" s="6">
        <v>0</v>
      </c>
      <c r="AU1022" t="s">
        <v>2973</v>
      </c>
      <c r="AV1022" t="s">
        <v>2973</v>
      </c>
    </row>
    <row r="1023" spans="1:48" x14ac:dyDescent="0.45">
      <c r="A1023" s="5" t="s">
        <v>2072</v>
      </c>
      <c r="B1023">
        <v>2182</v>
      </c>
      <c r="C1023" t="s">
        <v>2064</v>
      </c>
      <c r="D1023">
        <v>947</v>
      </c>
      <c r="E1023" t="s">
        <v>2073</v>
      </c>
      <c r="F1023" t="s">
        <v>2739</v>
      </c>
      <c r="G1023" t="s">
        <v>2740</v>
      </c>
      <c r="H1023" t="s">
        <v>2741</v>
      </c>
      <c r="I1023" t="s">
        <v>2742</v>
      </c>
      <c r="J1023">
        <v>460.16204645803998</v>
      </c>
      <c r="K1023">
        <v>4</v>
      </c>
      <c r="L1023">
        <v>1</v>
      </c>
      <c r="M1023">
        <v>3</v>
      </c>
      <c r="N1023" s="6">
        <v>3651112.1842787098</v>
      </c>
      <c r="O1023" s="6">
        <v>859963.57071512903</v>
      </c>
      <c r="P1023" s="6">
        <v>1333965.4656358999</v>
      </c>
      <c r="Q1023" s="6">
        <v>172849.576973833</v>
      </c>
      <c r="R1023" s="6">
        <v>110463.823005924</v>
      </c>
      <c r="S1023" s="6">
        <v>188702.52983495701</v>
      </c>
      <c r="T1023" s="6">
        <v>4299837.41</v>
      </c>
      <c r="U1023" s="6">
        <v>1828517.2106095001</v>
      </c>
      <c r="V1023" s="6">
        <v>5240308.66390952</v>
      </c>
      <c r="W1023" s="6">
        <v>888045.956699976</v>
      </c>
      <c r="X1023" s="6">
        <v>0</v>
      </c>
      <c r="Y1023" s="6">
        <v>0</v>
      </c>
      <c r="Z1023" s="6">
        <v>0</v>
      </c>
      <c r="AA1023" s="6">
        <v>0</v>
      </c>
      <c r="AB1023" s="6">
        <v>0</v>
      </c>
      <c r="AC1023" s="6">
        <v>188702.52983495701</v>
      </c>
      <c r="AD1023" s="6">
        <v>0</v>
      </c>
      <c r="AE1023" s="6">
        <v>0</v>
      </c>
      <c r="AF1023" s="6">
        <v>0</v>
      </c>
      <c r="AG1023" s="6">
        <v>0</v>
      </c>
      <c r="AH1023" s="6">
        <v>0</v>
      </c>
      <c r="AI1023" s="6">
        <v>0</v>
      </c>
      <c r="AJ1023" s="6">
        <v>6317057.1504444601</v>
      </c>
      <c r="AK1023" s="6">
        <v>13727.896942105799</v>
      </c>
      <c r="AL1023" s="6">
        <v>330.98244656580999</v>
      </c>
      <c r="AM1023" s="6">
        <v>93035.839999999997</v>
      </c>
      <c r="AN1023" s="6">
        <v>4383.7160321486899</v>
      </c>
      <c r="AO1023" s="6">
        <v>25719.079092825301</v>
      </c>
      <c r="AP1023" s="6">
        <v>330.98244656580999</v>
      </c>
      <c r="AQ1023" s="6">
        <v>93035.839999999997</v>
      </c>
      <c r="AR1023" s="6">
        <v>4383.7160321486899</v>
      </c>
      <c r="AS1023" s="6">
        <v>15798.1474995591</v>
      </c>
      <c r="AT1023" s="6">
        <v>0</v>
      </c>
      <c r="AU1023" t="s">
        <v>2973</v>
      </c>
      <c r="AV1023" t="s">
        <v>2973</v>
      </c>
    </row>
    <row r="1024" spans="1:48" x14ac:dyDescent="0.45">
      <c r="A1024" s="5" t="s">
        <v>2074</v>
      </c>
      <c r="B1024">
        <v>2182</v>
      </c>
      <c r="C1024" t="s">
        <v>2064</v>
      </c>
      <c r="D1024">
        <v>954</v>
      </c>
      <c r="E1024" t="s">
        <v>2075</v>
      </c>
      <c r="F1024" t="s">
        <v>2739</v>
      </c>
      <c r="G1024" t="s">
        <v>2747</v>
      </c>
      <c r="H1024" t="s">
        <v>2741</v>
      </c>
      <c r="I1024" t="s">
        <v>2742</v>
      </c>
      <c r="J1024">
        <v>732.847019287585</v>
      </c>
      <c r="K1024">
        <v>3</v>
      </c>
      <c r="L1024">
        <v>1</v>
      </c>
      <c r="M1024">
        <v>3</v>
      </c>
      <c r="N1024" s="6">
        <v>4860050.1409479501</v>
      </c>
      <c r="O1024" s="6">
        <v>2184441.1000080998</v>
      </c>
      <c r="P1024" s="6">
        <v>2112126.2504781098</v>
      </c>
      <c r="Q1024" s="6">
        <v>275277.58589700202</v>
      </c>
      <c r="R1024" s="6">
        <v>176162.32469005699</v>
      </c>
      <c r="S1024" s="6">
        <v>300524.75554214302</v>
      </c>
      <c r="T1024" s="6">
        <v>6695988.9299999997</v>
      </c>
      <c r="U1024" s="6">
        <v>2912068.4720212198</v>
      </c>
      <c r="V1024" s="6">
        <v>8201322.1238341201</v>
      </c>
      <c r="W1024" s="6">
        <v>1406735.2781871101</v>
      </c>
      <c r="X1024" s="6">
        <v>0</v>
      </c>
      <c r="Y1024" s="6">
        <v>0</v>
      </c>
      <c r="Z1024" s="6">
        <v>0</v>
      </c>
      <c r="AA1024" s="6">
        <v>0</v>
      </c>
      <c r="AB1024" s="6">
        <v>0</v>
      </c>
      <c r="AC1024" s="6">
        <v>300524.75554214302</v>
      </c>
      <c r="AD1024" s="6">
        <v>0</v>
      </c>
      <c r="AE1024" s="6">
        <v>0</v>
      </c>
      <c r="AF1024" s="6">
        <v>0</v>
      </c>
      <c r="AG1024" s="6">
        <v>0</v>
      </c>
      <c r="AH1024" s="6">
        <v>0</v>
      </c>
      <c r="AI1024" s="6">
        <v>0</v>
      </c>
      <c r="AJ1024" s="6">
        <v>9908582.1575633809</v>
      </c>
      <c r="AK1024" s="6">
        <v>13520.6692485366</v>
      </c>
      <c r="AL1024" s="6">
        <v>330.98244656580999</v>
      </c>
      <c r="AM1024" s="6">
        <v>93035.839999999997</v>
      </c>
      <c r="AN1024" s="6">
        <v>4383.7160321486899</v>
      </c>
      <c r="AO1024" s="6">
        <v>25719.079092825301</v>
      </c>
      <c r="AP1024" s="6">
        <v>3753.1860850462999</v>
      </c>
      <c r="AQ1024" s="6">
        <v>20687.885194392002</v>
      </c>
      <c r="AR1024" s="6">
        <v>13413.000928491199</v>
      </c>
      <c r="AS1024" s="6">
        <v>13520.6692485366</v>
      </c>
      <c r="AT1024" s="6">
        <v>0</v>
      </c>
      <c r="AU1024" t="s">
        <v>2973</v>
      </c>
      <c r="AV1024" t="s">
        <v>2973</v>
      </c>
    </row>
    <row r="1025" spans="1:48" x14ac:dyDescent="0.45">
      <c r="A1025" s="5" t="s">
        <v>2076</v>
      </c>
      <c r="B1025">
        <v>2182</v>
      </c>
      <c r="C1025" t="s">
        <v>2064</v>
      </c>
      <c r="D1025">
        <v>948</v>
      </c>
      <c r="E1025" t="s">
        <v>2077</v>
      </c>
      <c r="F1025" t="s">
        <v>2739</v>
      </c>
      <c r="G1025" t="s">
        <v>2740</v>
      </c>
      <c r="H1025" t="s">
        <v>2741</v>
      </c>
      <c r="I1025" t="s">
        <v>2742</v>
      </c>
      <c r="J1025">
        <v>407.33959315631301</v>
      </c>
      <c r="K1025">
        <v>3</v>
      </c>
      <c r="L1025">
        <v>1</v>
      </c>
      <c r="M1025">
        <v>3</v>
      </c>
      <c r="N1025" s="6">
        <v>3011605.2918067202</v>
      </c>
      <c r="O1025" s="6">
        <v>940758.03272019001</v>
      </c>
      <c r="P1025" s="6">
        <v>1207815.3202965001</v>
      </c>
      <c r="Q1025" s="6">
        <v>153008.00425352401</v>
      </c>
      <c r="R1025" s="6">
        <v>97355.994886979795</v>
      </c>
      <c r="S1025" s="6">
        <v>167041.18108434099</v>
      </c>
      <c r="T1025" s="6">
        <v>3791922.72</v>
      </c>
      <c r="U1025" s="6">
        <v>1618619.92396391</v>
      </c>
      <c r="V1025" s="6">
        <v>4362656.9521850497</v>
      </c>
      <c r="W1025" s="6">
        <v>1047885.6917788601</v>
      </c>
      <c r="X1025" s="6">
        <v>0</v>
      </c>
      <c r="Y1025" s="6">
        <v>0</v>
      </c>
      <c r="Z1025" s="6">
        <v>0</v>
      </c>
      <c r="AA1025" s="6">
        <v>0</v>
      </c>
      <c r="AB1025" s="6">
        <v>0</v>
      </c>
      <c r="AC1025" s="6">
        <v>167041.18108434099</v>
      </c>
      <c r="AD1025" s="6">
        <v>0</v>
      </c>
      <c r="AE1025" s="6">
        <v>0</v>
      </c>
      <c r="AF1025" s="6">
        <v>0</v>
      </c>
      <c r="AG1025" s="6">
        <v>0</v>
      </c>
      <c r="AH1025" s="6">
        <v>0</v>
      </c>
      <c r="AI1025" s="6">
        <v>0</v>
      </c>
      <c r="AJ1025" s="6">
        <v>5577583.8250482501</v>
      </c>
      <c r="AK1025" s="6">
        <v>13692.7122203608</v>
      </c>
      <c r="AL1025" s="6">
        <v>330.98244656580999</v>
      </c>
      <c r="AM1025" s="6">
        <v>93035.839999999997</v>
      </c>
      <c r="AN1025" s="6">
        <v>4383.7160321486899</v>
      </c>
      <c r="AO1025" s="6">
        <v>25719.079092825301</v>
      </c>
      <c r="AP1025" s="6">
        <v>330.98244656580999</v>
      </c>
      <c r="AQ1025" s="6">
        <v>93035.839999999997</v>
      </c>
      <c r="AR1025" s="6">
        <v>4383.7160321486899</v>
      </c>
      <c r="AS1025" s="6">
        <v>15798.1474995591</v>
      </c>
      <c r="AT1025" s="6">
        <v>0</v>
      </c>
      <c r="AU1025" t="s">
        <v>2973</v>
      </c>
      <c r="AV1025" t="s">
        <v>2973</v>
      </c>
    </row>
    <row r="1026" spans="1:48" x14ac:dyDescent="0.45">
      <c r="A1026" s="5" t="s">
        <v>2078</v>
      </c>
      <c r="B1026">
        <v>2182</v>
      </c>
      <c r="C1026" t="s">
        <v>2064</v>
      </c>
      <c r="D1026">
        <v>3490</v>
      </c>
      <c r="E1026" t="s">
        <v>2079</v>
      </c>
      <c r="F1026" t="s">
        <v>3</v>
      </c>
      <c r="G1026" t="s">
        <v>2740</v>
      </c>
      <c r="H1026" t="s">
        <v>2741</v>
      </c>
      <c r="I1026" t="s">
        <v>2742</v>
      </c>
      <c r="J1026">
        <v>537.80486746873999</v>
      </c>
      <c r="K1026">
        <v>1</v>
      </c>
      <c r="L1026">
        <v>1</v>
      </c>
      <c r="M1026">
        <v>3</v>
      </c>
      <c r="N1026" s="6">
        <v>427736.24859220698</v>
      </c>
      <c r="O1026" s="6">
        <v>342883.59127760399</v>
      </c>
      <c r="P1026" s="6">
        <v>1081865.96944563</v>
      </c>
      <c r="Q1026" s="6">
        <v>202014.36548704299</v>
      </c>
      <c r="R1026" s="6">
        <v>123055.768865151</v>
      </c>
      <c r="S1026" s="6">
        <v>220542.17602267899</v>
      </c>
      <c r="T1026" s="6">
        <v>40514.300000000003</v>
      </c>
      <c r="U1026" s="6">
        <v>2137041.6436676402</v>
      </c>
      <c r="V1026" s="6">
        <v>1612881.2062092801</v>
      </c>
      <c r="W1026" s="6">
        <v>564674.73745835398</v>
      </c>
      <c r="X1026" s="6">
        <v>0</v>
      </c>
      <c r="Y1026" s="6">
        <v>0</v>
      </c>
      <c r="Z1026" s="6">
        <v>0</v>
      </c>
      <c r="AA1026" s="6">
        <v>0</v>
      </c>
      <c r="AB1026" s="6">
        <v>0</v>
      </c>
      <c r="AC1026" s="6">
        <v>220542.17602267899</v>
      </c>
      <c r="AD1026" s="6">
        <v>0</v>
      </c>
      <c r="AE1026" s="6">
        <v>0</v>
      </c>
      <c r="AF1026" s="6">
        <v>0</v>
      </c>
      <c r="AG1026" s="6">
        <v>0</v>
      </c>
      <c r="AH1026" s="6">
        <v>0</v>
      </c>
      <c r="AI1026" s="6">
        <v>0</v>
      </c>
      <c r="AJ1026" s="6">
        <v>2398098.11969032</v>
      </c>
      <c r="AK1026" s="6">
        <v>4459.0487456488199</v>
      </c>
      <c r="AL1026" s="6">
        <v>330.98244656580999</v>
      </c>
      <c r="AM1026" s="6">
        <v>93035.839999999997</v>
      </c>
      <c r="AN1026" s="6">
        <v>4383.7160321486899</v>
      </c>
      <c r="AO1026" s="6">
        <v>25719.079092825301</v>
      </c>
      <c r="AP1026" s="6">
        <v>330.98244656580999</v>
      </c>
      <c r="AQ1026" s="6">
        <v>93035.839999999997</v>
      </c>
      <c r="AR1026" s="6">
        <v>4383.7160321486899</v>
      </c>
      <c r="AS1026" s="6">
        <v>15798.1474995591</v>
      </c>
      <c r="AT1026" s="6">
        <v>0</v>
      </c>
      <c r="AU1026" t="s">
        <v>2973</v>
      </c>
      <c r="AV1026" t="s">
        <v>2973</v>
      </c>
    </row>
    <row r="1027" spans="1:48" x14ac:dyDescent="0.45">
      <c r="A1027" s="5" t="s">
        <v>2080</v>
      </c>
      <c r="B1027">
        <v>2182</v>
      </c>
      <c r="C1027" t="s">
        <v>2064</v>
      </c>
      <c r="D1027">
        <v>4216</v>
      </c>
      <c r="E1027" t="s">
        <v>2081</v>
      </c>
      <c r="F1027" t="s">
        <v>3</v>
      </c>
      <c r="G1027" t="s">
        <v>2740</v>
      </c>
      <c r="H1027" t="s">
        <v>2741</v>
      </c>
      <c r="I1027" t="s">
        <v>2742</v>
      </c>
      <c r="J1027">
        <v>197.93796968914</v>
      </c>
      <c r="K1027">
        <v>1</v>
      </c>
      <c r="L1027">
        <v>1</v>
      </c>
      <c r="M1027">
        <v>3</v>
      </c>
      <c r="N1027" s="6">
        <v>427984.45317508298</v>
      </c>
      <c r="O1027" s="6">
        <v>279322.15145569702</v>
      </c>
      <c r="P1027" s="6">
        <v>398178.53355573898</v>
      </c>
      <c r="Q1027" s="6">
        <v>74350.969601198798</v>
      </c>
      <c r="R1027" s="6">
        <v>45290.421342495101</v>
      </c>
      <c r="S1027" s="6">
        <v>81170.091967029803</v>
      </c>
      <c r="T1027" s="6">
        <v>438592.77</v>
      </c>
      <c r="U1027" s="6">
        <v>786533.75913021294</v>
      </c>
      <c r="V1027" s="6">
        <v>1017299.15933842</v>
      </c>
      <c r="W1027" s="6">
        <v>207827.369791798</v>
      </c>
      <c r="X1027" s="6">
        <v>0</v>
      </c>
      <c r="Y1027" s="6">
        <v>0</v>
      </c>
      <c r="Z1027" s="6">
        <v>0</v>
      </c>
      <c r="AA1027" s="6">
        <v>0</v>
      </c>
      <c r="AB1027" s="6">
        <v>0</v>
      </c>
      <c r="AC1027" s="6">
        <v>81170.091967029803</v>
      </c>
      <c r="AD1027" s="6">
        <v>0</v>
      </c>
      <c r="AE1027" s="6">
        <v>0</v>
      </c>
      <c r="AF1027" s="6">
        <v>0</v>
      </c>
      <c r="AG1027" s="6">
        <v>0</v>
      </c>
      <c r="AH1027" s="6">
        <v>0</v>
      </c>
      <c r="AI1027" s="6">
        <v>0</v>
      </c>
      <c r="AJ1027" s="6">
        <v>1306296.6210972399</v>
      </c>
      <c r="AK1027" s="6">
        <v>6599.5252105938698</v>
      </c>
      <c r="AL1027" s="6">
        <v>330.98244656580999</v>
      </c>
      <c r="AM1027" s="6">
        <v>93035.839999999997</v>
      </c>
      <c r="AN1027" s="6">
        <v>4383.7160321486899</v>
      </c>
      <c r="AO1027" s="6">
        <v>25719.079092825301</v>
      </c>
      <c r="AP1027" s="6">
        <v>330.98244656580999</v>
      </c>
      <c r="AQ1027" s="6">
        <v>93035.839999999997</v>
      </c>
      <c r="AR1027" s="6">
        <v>4383.7160321486899</v>
      </c>
      <c r="AS1027" s="6">
        <v>15798.1474995591</v>
      </c>
      <c r="AT1027" s="6">
        <v>0</v>
      </c>
      <c r="AU1027" t="s">
        <v>2973</v>
      </c>
      <c r="AV1027" t="s">
        <v>2973</v>
      </c>
    </row>
    <row r="1028" spans="1:48" x14ac:dyDescent="0.45">
      <c r="A1028" s="5" t="s">
        <v>2082</v>
      </c>
      <c r="B1028">
        <v>2182</v>
      </c>
      <c r="C1028" t="s">
        <v>2064</v>
      </c>
      <c r="D1028">
        <v>957</v>
      </c>
      <c r="E1028" t="s">
        <v>2083</v>
      </c>
      <c r="F1028" t="s">
        <v>2739</v>
      </c>
      <c r="G1028" t="s">
        <v>2744</v>
      </c>
      <c r="H1028" t="s">
        <v>2745</v>
      </c>
      <c r="I1028" t="s">
        <v>2742</v>
      </c>
      <c r="J1028">
        <v>2421.4187457589301</v>
      </c>
      <c r="K1028">
        <v>2</v>
      </c>
      <c r="L1028">
        <v>1</v>
      </c>
      <c r="M1028">
        <v>3</v>
      </c>
      <c r="N1028" s="6">
        <v>15779288.679414701</v>
      </c>
      <c r="O1028" s="6">
        <v>6719232.9786576098</v>
      </c>
      <c r="P1028" s="6">
        <v>6737082.7928498704</v>
      </c>
      <c r="Q1028" s="6">
        <v>909551.77442932501</v>
      </c>
      <c r="R1028" s="6">
        <v>653293.17188180203</v>
      </c>
      <c r="S1028" s="6">
        <v>992971.59909550101</v>
      </c>
      <c r="T1028" s="6">
        <v>21176608.82</v>
      </c>
      <c r="U1028" s="6">
        <v>9621840.5772332791</v>
      </c>
      <c r="V1028" s="6">
        <v>25181101.463541199</v>
      </c>
      <c r="W1028" s="6">
        <v>5617347.9336920697</v>
      </c>
      <c r="X1028" s="6">
        <v>0</v>
      </c>
      <c r="Y1028" s="6">
        <v>0</v>
      </c>
      <c r="Z1028" s="6">
        <v>0</v>
      </c>
      <c r="AA1028" s="6">
        <v>0</v>
      </c>
      <c r="AB1028" s="6">
        <v>0</v>
      </c>
      <c r="AC1028" s="6">
        <v>992971.59909550101</v>
      </c>
      <c r="AD1028" s="6">
        <v>0</v>
      </c>
      <c r="AE1028" s="6">
        <v>0</v>
      </c>
      <c r="AF1028" s="6">
        <v>0</v>
      </c>
      <c r="AG1028" s="6">
        <v>0</v>
      </c>
      <c r="AH1028" s="6">
        <v>0</v>
      </c>
      <c r="AI1028" s="6">
        <v>0</v>
      </c>
      <c r="AJ1028" s="6">
        <v>31791420.996328801</v>
      </c>
      <c r="AK1028" s="6">
        <v>13129.2536873314</v>
      </c>
      <c r="AL1028" s="6">
        <v>330.98244656580999</v>
      </c>
      <c r="AM1028" s="6">
        <v>93035.839999999997</v>
      </c>
      <c r="AN1028" s="6">
        <v>4383.7160321486899</v>
      </c>
      <c r="AO1028" s="6">
        <v>25719.079092825301</v>
      </c>
      <c r="AP1028" s="6">
        <v>330.98244656580999</v>
      </c>
      <c r="AQ1028" s="6">
        <v>40734.411818744898</v>
      </c>
      <c r="AR1028" s="6">
        <v>13129.2536873314</v>
      </c>
      <c r="AS1028" s="6">
        <v>25719.079092825301</v>
      </c>
      <c r="AT1028" s="6">
        <v>0</v>
      </c>
      <c r="AU1028" t="s">
        <v>2973</v>
      </c>
      <c r="AV1028" t="s">
        <v>2973</v>
      </c>
    </row>
    <row r="1029" spans="1:48" x14ac:dyDescent="0.45">
      <c r="A1029" s="5" t="s">
        <v>2084</v>
      </c>
      <c r="B1029">
        <v>2182</v>
      </c>
      <c r="C1029" t="s">
        <v>2064</v>
      </c>
      <c r="D1029">
        <v>1343</v>
      </c>
      <c r="E1029" t="s">
        <v>2085</v>
      </c>
      <c r="F1029" t="s">
        <v>2750</v>
      </c>
      <c r="G1029" t="s">
        <v>2744</v>
      </c>
      <c r="H1029" t="s">
        <v>2745</v>
      </c>
      <c r="I1029" t="s">
        <v>2742</v>
      </c>
      <c r="J1029">
        <v>188.65854818372901</v>
      </c>
      <c r="K1029">
        <v>2</v>
      </c>
      <c r="L1029">
        <v>2</v>
      </c>
      <c r="M1029">
        <v>3</v>
      </c>
      <c r="N1029" s="6">
        <v>3056048.2263720199</v>
      </c>
      <c r="O1029" s="6">
        <v>1058760.65220761</v>
      </c>
      <c r="P1029" s="6">
        <v>544188.22388889105</v>
      </c>
      <c r="Q1029" s="6">
        <v>70865.362532736704</v>
      </c>
      <c r="R1029" s="6">
        <v>44896.855914473497</v>
      </c>
      <c r="S1029" s="6">
        <v>77364.801359179502</v>
      </c>
      <c r="T1029" s="6">
        <v>4025098.62</v>
      </c>
      <c r="U1029" s="6">
        <v>749660.70091572904</v>
      </c>
      <c r="V1029" s="6">
        <v>3794189.6121770898</v>
      </c>
      <c r="W1029" s="6">
        <v>980569.70873864403</v>
      </c>
      <c r="X1029" s="6">
        <v>0</v>
      </c>
      <c r="Y1029" s="6">
        <v>0</v>
      </c>
      <c r="Z1029" s="6">
        <v>0</v>
      </c>
      <c r="AA1029" s="6">
        <v>0</v>
      </c>
      <c r="AB1029" s="6">
        <v>0</v>
      </c>
      <c r="AC1029" s="6">
        <v>77364.801359179502</v>
      </c>
      <c r="AD1029" s="6">
        <v>0</v>
      </c>
      <c r="AE1029" s="6">
        <v>0</v>
      </c>
      <c r="AF1029" s="6">
        <v>0</v>
      </c>
      <c r="AG1029" s="6">
        <v>0</v>
      </c>
      <c r="AH1029" s="6">
        <v>0</v>
      </c>
      <c r="AI1029" s="6">
        <v>0</v>
      </c>
      <c r="AJ1029" s="6">
        <v>4852124.1222749203</v>
      </c>
      <c r="AK1029" s="6">
        <v>25719.079092825301</v>
      </c>
      <c r="AL1029" s="6">
        <v>330.98244656580999</v>
      </c>
      <c r="AM1029" s="6">
        <v>93035.839999999997</v>
      </c>
      <c r="AN1029" s="6">
        <v>4383.7160321486899</v>
      </c>
      <c r="AO1029" s="6">
        <v>25719.079092825301</v>
      </c>
      <c r="AP1029" s="6">
        <v>330.98244656580999</v>
      </c>
      <c r="AQ1029" s="6">
        <v>40734.411818744898</v>
      </c>
      <c r="AR1029" s="6">
        <v>13129.2536873314</v>
      </c>
      <c r="AS1029" s="6">
        <v>25719.079092825301</v>
      </c>
      <c r="AT1029" s="6">
        <v>0</v>
      </c>
      <c r="AU1029" t="s">
        <v>2973</v>
      </c>
      <c r="AV1029" t="s">
        <v>2973</v>
      </c>
    </row>
    <row r="1030" spans="1:48" x14ac:dyDescent="0.45">
      <c r="A1030" s="5" t="s">
        <v>2086</v>
      </c>
      <c r="B1030">
        <v>2182</v>
      </c>
      <c r="C1030" t="s">
        <v>2064</v>
      </c>
      <c r="D1030">
        <v>1254</v>
      </c>
      <c r="E1030" t="s">
        <v>2087</v>
      </c>
      <c r="F1030" t="s">
        <v>2739</v>
      </c>
      <c r="G1030" t="s">
        <v>2747</v>
      </c>
      <c r="H1030" t="s">
        <v>2741</v>
      </c>
      <c r="I1030" t="s">
        <v>2742</v>
      </c>
      <c r="J1030">
        <v>957.35808197851304</v>
      </c>
      <c r="K1030">
        <v>3</v>
      </c>
      <c r="L1030">
        <v>1</v>
      </c>
      <c r="M1030">
        <v>3</v>
      </c>
      <c r="N1030" s="6">
        <v>6603336.1966472901</v>
      </c>
      <c r="O1030" s="6">
        <v>2474695.4334086501</v>
      </c>
      <c r="P1030" s="6">
        <v>2740631.7123817601</v>
      </c>
      <c r="Q1030" s="6">
        <v>359610.14333144302</v>
      </c>
      <c r="R1030" s="6">
        <v>270179.45692354301</v>
      </c>
      <c r="S1030" s="6">
        <v>392591.89978363598</v>
      </c>
      <c r="T1030" s="6">
        <v>8644258.8699999992</v>
      </c>
      <c r="U1030" s="6">
        <v>3804194.07269269</v>
      </c>
      <c r="V1030" s="6">
        <v>10707698.993716599</v>
      </c>
      <c r="W1030" s="6">
        <v>1740753.9489760399</v>
      </c>
      <c r="X1030" s="6">
        <v>0</v>
      </c>
      <c r="Y1030" s="6">
        <v>0</v>
      </c>
      <c r="Z1030" s="6">
        <v>0</v>
      </c>
      <c r="AA1030" s="6">
        <v>0</v>
      </c>
      <c r="AB1030" s="6">
        <v>0</v>
      </c>
      <c r="AC1030" s="6">
        <v>392591.89978363598</v>
      </c>
      <c r="AD1030" s="6">
        <v>0</v>
      </c>
      <c r="AE1030" s="6">
        <v>0</v>
      </c>
      <c r="AF1030" s="6">
        <v>0</v>
      </c>
      <c r="AG1030" s="6">
        <v>0</v>
      </c>
      <c r="AH1030" s="6">
        <v>0</v>
      </c>
      <c r="AI1030" s="6">
        <v>0</v>
      </c>
      <c r="AJ1030" s="6">
        <v>12841044.842476301</v>
      </c>
      <c r="AK1030" s="6">
        <v>13413.000928491199</v>
      </c>
      <c r="AL1030" s="6">
        <v>330.98244656580999</v>
      </c>
      <c r="AM1030" s="6">
        <v>93035.839999999997</v>
      </c>
      <c r="AN1030" s="6">
        <v>4383.7160321486899</v>
      </c>
      <c r="AO1030" s="6">
        <v>25719.079092825301</v>
      </c>
      <c r="AP1030" s="6">
        <v>3753.1860850462999</v>
      </c>
      <c r="AQ1030" s="6">
        <v>20687.885194392002</v>
      </c>
      <c r="AR1030" s="6">
        <v>13413.000928491199</v>
      </c>
      <c r="AS1030" s="6">
        <v>13520.6692485366</v>
      </c>
      <c r="AT1030" s="6">
        <v>0</v>
      </c>
      <c r="AU1030" t="s">
        <v>2973</v>
      </c>
      <c r="AV1030" t="s">
        <v>2973</v>
      </c>
    </row>
    <row r="1031" spans="1:48" x14ac:dyDescent="0.45">
      <c r="A1031" s="5" t="s">
        <v>2088</v>
      </c>
      <c r="B1031">
        <v>2182</v>
      </c>
      <c r="C1031" t="s">
        <v>2064</v>
      </c>
      <c r="D1031">
        <v>2182</v>
      </c>
      <c r="E1031" t="s">
        <v>2064</v>
      </c>
      <c r="F1031" t="s">
        <v>1</v>
      </c>
      <c r="G1031" t="s">
        <v>1</v>
      </c>
      <c r="H1031" t="s">
        <v>2743</v>
      </c>
      <c r="I1031" t="s">
        <v>2742</v>
      </c>
      <c r="J1031">
        <v>168.44031483723299</v>
      </c>
      <c r="K1031">
        <v>1</v>
      </c>
      <c r="L1031">
        <v>5</v>
      </c>
      <c r="M1031">
        <v>3</v>
      </c>
      <c r="N1031" s="6">
        <v>130026.001172202</v>
      </c>
      <c r="O1031" s="6">
        <v>98642.823598571398</v>
      </c>
      <c r="P1031" s="6">
        <v>338840.08034885</v>
      </c>
      <c r="Q1031" s="6">
        <v>63270.835543821297</v>
      </c>
      <c r="R1031" s="6">
        <v>38541.027989837799</v>
      </c>
      <c r="S1031" s="6">
        <v>69073.739958866398</v>
      </c>
      <c r="T1031" s="6">
        <v>0</v>
      </c>
      <c r="U1031" s="6">
        <v>669320.76865328499</v>
      </c>
      <c r="V1031" s="6">
        <v>492464.81901157601</v>
      </c>
      <c r="W1031" s="6">
        <v>176855.94964170799</v>
      </c>
      <c r="X1031" s="6">
        <v>0</v>
      </c>
      <c r="Y1031" s="6">
        <v>0</v>
      </c>
      <c r="Z1031" s="6">
        <v>0</v>
      </c>
      <c r="AA1031" s="6">
        <v>0</v>
      </c>
      <c r="AB1031" s="6">
        <v>0</v>
      </c>
      <c r="AC1031" s="6">
        <v>69073.739958866398</v>
      </c>
      <c r="AD1031" s="6">
        <v>0</v>
      </c>
      <c r="AE1031" s="6">
        <v>0</v>
      </c>
      <c r="AF1031" s="6">
        <v>0</v>
      </c>
      <c r="AG1031" s="6">
        <v>0</v>
      </c>
      <c r="AH1031" s="6">
        <v>0</v>
      </c>
      <c r="AI1031" s="6">
        <v>0</v>
      </c>
      <c r="AJ1031" s="6">
        <v>738394.50861215102</v>
      </c>
      <c r="AK1031" s="6">
        <v>4383.7160321486899</v>
      </c>
      <c r="AL1031" s="6">
        <v>330.98244656580999</v>
      </c>
      <c r="AM1031" s="6">
        <v>93035.839999999997</v>
      </c>
      <c r="AN1031" s="6">
        <v>4383.7160321486899</v>
      </c>
      <c r="AO1031" s="6">
        <v>25719.079092825301</v>
      </c>
      <c r="AP1031" s="6">
        <v>634.54287297753501</v>
      </c>
      <c r="AQ1031" s="6">
        <v>40331.279999999999</v>
      </c>
      <c r="AR1031" s="6">
        <v>4383.7160321486899</v>
      </c>
      <c r="AS1031" s="6">
        <v>4383.7160321486899</v>
      </c>
      <c r="AT1031" s="6">
        <v>0</v>
      </c>
      <c r="AU1031" t="s">
        <v>2973</v>
      </c>
      <c r="AV1031" t="s">
        <v>2977</v>
      </c>
    </row>
    <row r="1032" spans="1:48" x14ac:dyDescent="0.45">
      <c r="A1032" s="5" t="s">
        <v>2089</v>
      </c>
      <c r="B1032">
        <v>2182</v>
      </c>
      <c r="C1032" t="s">
        <v>2064</v>
      </c>
      <c r="D1032">
        <v>4822</v>
      </c>
      <c r="E1032" t="s">
        <v>2090</v>
      </c>
      <c r="F1032" t="s">
        <v>3</v>
      </c>
      <c r="G1032" t="s">
        <v>2740</v>
      </c>
      <c r="H1032" t="s">
        <v>2741</v>
      </c>
      <c r="I1032" t="s">
        <v>2742</v>
      </c>
      <c r="J1032">
        <v>334.91318045708402</v>
      </c>
      <c r="K1032">
        <v>3</v>
      </c>
      <c r="L1032">
        <v>1</v>
      </c>
      <c r="M1032">
        <v>3</v>
      </c>
      <c r="N1032" s="6">
        <v>258533.24744007699</v>
      </c>
      <c r="O1032" s="6">
        <v>196133.460167115</v>
      </c>
      <c r="P1032" s="6">
        <v>673722.37510733202</v>
      </c>
      <c r="Q1032" s="6">
        <v>125802.64280932301</v>
      </c>
      <c r="R1032" s="6">
        <v>76631.8815934015</v>
      </c>
      <c r="S1032" s="6">
        <v>137340.67143037601</v>
      </c>
      <c r="T1032" s="6">
        <v>0</v>
      </c>
      <c r="U1032" s="6">
        <v>1330823.6071172501</v>
      </c>
      <c r="V1032" s="6">
        <v>979177.45498022297</v>
      </c>
      <c r="W1032" s="6">
        <v>351646.15213702602</v>
      </c>
      <c r="X1032" s="6">
        <v>0</v>
      </c>
      <c r="Y1032" s="6">
        <v>0</v>
      </c>
      <c r="Z1032" s="6">
        <v>0</v>
      </c>
      <c r="AA1032" s="6">
        <v>0</v>
      </c>
      <c r="AB1032" s="6">
        <v>0</v>
      </c>
      <c r="AC1032" s="6">
        <v>137340.67143037601</v>
      </c>
      <c r="AD1032" s="6">
        <v>0</v>
      </c>
      <c r="AE1032" s="6">
        <v>0</v>
      </c>
      <c r="AF1032" s="6">
        <v>0</v>
      </c>
      <c r="AG1032" s="6">
        <v>0</v>
      </c>
      <c r="AH1032" s="6">
        <v>0</v>
      </c>
      <c r="AI1032" s="6">
        <v>0</v>
      </c>
      <c r="AJ1032" s="6">
        <v>1468164.2785476299</v>
      </c>
      <c r="AK1032" s="6">
        <v>4383.7160321486899</v>
      </c>
      <c r="AL1032" s="6">
        <v>330.98244656580999</v>
      </c>
      <c r="AM1032" s="6">
        <v>93035.839999999997</v>
      </c>
      <c r="AN1032" s="6">
        <v>4383.7160321486899</v>
      </c>
      <c r="AO1032" s="6">
        <v>25719.079092825301</v>
      </c>
      <c r="AP1032" s="6">
        <v>330.98244656580999</v>
      </c>
      <c r="AQ1032" s="6">
        <v>93035.839999999997</v>
      </c>
      <c r="AR1032" s="6">
        <v>4383.7160321486899</v>
      </c>
      <c r="AS1032" s="6">
        <v>15798.1474995591</v>
      </c>
      <c r="AT1032" s="6">
        <v>0</v>
      </c>
      <c r="AU1032" t="s">
        <v>2973</v>
      </c>
      <c r="AV1032" t="s">
        <v>2976</v>
      </c>
    </row>
    <row r="1033" spans="1:48" x14ac:dyDescent="0.45">
      <c r="A1033" s="5" t="s">
        <v>2091</v>
      </c>
      <c r="B1033">
        <v>2182</v>
      </c>
      <c r="C1033" t="s">
        <v>2064</v>
      </c>
      <c r="D1033">
        <v>3989</v>
      </c>
      <c r="E1033" t="s">
        <v>2092</v>
      </c>
      <c r="F1033" t="s">
        <v>2739</v>
      </c>
      <c r="G1033" t="s">
        <v>2740</v>
      </c>
      <c r="H1033" t="s">
        <v>2741</v>
      </c>
      <c r="I1033" t="s">
        <v>2742</v>
      </c>
      <c r="J1033">
        <v>437.64633961921697</v>
      </c>
      <c r="K1033">
        <v>4</v>
      </c>
      <c r="L1033">
        <v>1</v>
      </c>
      <c r="M1033">
        <v>3</v>
      </c>
      <c r="N1033" s="6">
        <v>3710647.2548742001</v>
      </c>
      <c r="O1033" s="6">
        <v>1050985.27468015</v>
      </c>
      <c r="P1033" s="6">
        <v>1246497.0588136001</v>
      </c>
      <c r="Q1033" s="6">
        <v>164392.055471759</v>
      </c>
      <c r="R1033" s="6">
        <v>104638.89744968301</v>
      </c>
      <c r="S1033" s="6">
        <v>179469.32411055701</v>
      </c>
      <c r="T1033" s="6">
        <v>4538112.59</v>
      </c>
      <c r="U1033" s="6">
        <v>1739047.95128939</v>
      </c>
      <c r="V1033" s="6">
        <v>5310565.8938193005</v>
      </c>
      <c r="W1033" s="6">
        <v>966594.64747009706</v>
      </c>
      <c r="X1033" s="6">
        <v>0</v>
      </c>
      <c r="Y1033" s="6">
        <v>0</v>
      </c>
      <c r="Z1033" s="6">
        <v>0</v>
      </c>
      <c r="AA1033" s="6">
        <v>0</v>
      </c>
      <c r="AB1033" s="6">
        <v>0</v>
      </c>
      <c r="AC1033" s="6">
        <v>179469.32411055701</v>
      </c>
      <c r="AD1033" s="6">
        <v>0</v>
      </c>
      <c r="AE1033" s="6">
        <v>0</v>
      </c>
      <c r="AF1033" s="6">
        <v>0</v>
      </c>
      <c r="AG1033" s="6">
        <v>0</v>
      </c>
      <c r="AH1033" s="6">
        <v>0</v>
      </c>
      <c r="AI1033" s="6">
        <v>0</v>
      </c>
      <c r="AJ1033" s="6">
        <v>6456629.8653999502</v>
      </c>
      <c r="AK1033" s="6">
        <v>14753.0763561685</v>
      </c>
      <c r="AL1033" s="6">
        <v>330.98244656580999</v>
      </c>
      <c r="AM1033" s="6">
        <v>93035.839999999997</v>
      </c>
      <c r="AN1033" s="6">
        <v>4383.7160321486899</v>
      </c>
      <c r="AO1033" s="6">
        <v>25719.079092825301</v>
      </c>
      <c r="AP1033" s="6">
        <v>330.98244656580999</v>
      </c>
      <c r="AQ1033" s="6">
        <v>93035.839999999997</v>
      </c>
      <c r="AR1033" s="6">
        <v>4383.7160321486899</v>
      </c>
      <c r="AS1033" s="6">
        <v>15798.1474995591</v>
      </c>
      <c r="AT1033" s="6">
        <v>0</v>
      </c>
      <c r="AU1033" t="s">
        <v>2973</v>
      </c>
      <c r="AV1033" t="s">
        <v>2973</v>
      </c>
    </row>
    <row r="1034" spans="1:48" x14ac:dyDescent="0.45">
      <c r="A1034" s="5" t="s">
        <v>2093</v>
      </c>
      <c r="B1034">
        <v>2182</v>
      </c>
      <c r="C1034" t="s">
        <v>2064</v>
      </c>
      <c r="D1034">
        <v>950</v>
      </c>
      <c r="E1034" t="s">
        <v>2094</v>
      </c>
      <c r="F1034" t="s">
        <v>2739</v>
      </c>
      <c r="G1034" t="s">
        <v>2740</v>
      </c>
      <c r="H1034" t="s">
        <v>2741</v>
      </c>
      <c r="I1034" t="s">
        <v>2742</v>
      </c>
      <c r="J1034">
        <v>340.54815239548901</v>
      </c>
      <c r="K1034">
        <v>1</v>
      </c>
      <c r="L1034">
        <v>1</v>
      </c>
      <c r="M1034">
        <v>3</v>
      </c>
      <c r="N1034" s="6">
        <v>2341327.62385167</v>
      </c>
      <c r="O1034" s="6">
        <v>877640.47941163299</v>
      </c>
      <c r="P1034" s="6">
        <v>1069472.0600939</v>
      </c>
      <c r="Q1034" s="6">
        <v>127919.293939745</v>
      </c>
      <c r="R1034" s="6">
        <v>79325.196198402293</v>
      </c>
      <c r="S1034" s="6">
        <v>139651.45187937401</v>
      </c>
      <c r="T1034" s="6">
        <v>3142469.71</v>
      </c>
      <c r="U1034" s="6">
        <v>1353214.94349535</v>
      </c>
      <c r="V1034" s="6">
        <v>3940976.31428973</v>
      </c>
      <c r="W1034" s="6">
        <v>554708.33920562302</v>
      </c>
      <c r="X1034" s="6">
        <v>0</v>
      </c>
      <c r="Y1034" s="6">
        <v>0</v>
      </c>
      <c r="Z1034" s="6">
        <v>0</v>
      </c>
      <c r="AA1034" s="6">
        <v>0</v>
      </c>
      <c r="AB1034" s="6">
        <v>0</v>
      </c>
      <c r="AC1034" s="6">
        <v>139651.45187937401</v>
      </c>
      <c r="AD1034" s="6">
        <v>0</v>
      </c>
      <c r="AE1034" s="6">
        <v>0</v>
      </c>
      <c r="AF1034" s="6">
        <v>0</v>
      </c>
      <c r="AG1034" s="6">
        <v>0</v>
      </c>
      <c r="AH1034" s="6">
        <v>0</v>
      </c>
      <c r="AI1034" s="6">
        <v>0</v>
      </c>
      <c r="AJ1034" s="6">
        <v>4635336.1053747199</v>
      </c>
      <c r="AK1034" s="6">
        <v>13611.397016159901</v>
      </c>
      <c r="AL1034" s="6">
        <v>330.98244656580999</v>
      </c>
      <c r="AM1034" s="6">
        <v>93035.839999999997</v>
      </c>
      <c r="AN1034" s="6">
        <v>4383.7160321486899</v>
      </c>
      <c r="AO1034" s="6">
        <v>25719.079092825301</v>
      </c>
      <c r="AP1034" s="6">
        <v>330.98244656580999</v>
      </c>
      <c r="AQ1034" s="6">
        <v>93035.839999999997</v>
      </c>
      <c r="AR1034" s="6">
        <v>4383.7160321486899</v>
      </c>
      <c r="AS1034" s="6">
        <v>15798.1474995591</v>
      </c>
      <c r="AT1034" s="6">
        <v>0</v>
      </c>
      <c r="AU1034" t="s">
        <v>2973</v>
      </c>
      <c r="AV1034" t="s">
        <v>2973</v>
      </c>
    </row>
    <row r="1035" spans="1:48" x14ac:dyDescent="0.45">
      <c r="A1035" s="5" t="s">
        <v>2095</v>
      </c>
      <c r="B1035">
        <v>2182</v>
      </c>
      <c r="C1035" t="s">
        <v>2064</v>
      </c>
      <c r="D1035">
        <v>951</v>
      </c>
      <c r="E1035" t="s">
        <v>2096</v>
      </c>
      <c r="F1035" t="s">
        <v>2739</v>
      </c>
      <c r="G1035" t="s">
        <v>2740</v>
      </c>
      <c r="H1035" t="s">
        <v>2741</v>
      </c>
      <c r="I1035" t="s">
        <v>2742</v>
      </c>
      <c r="J1035">
        <v>438.72599890562202</v>
      </c>
      <c r="K1035">
        <v>2</v>
      </c>
      <c r="L1035">
        <v>1</v>
      </c>
      <c r="M1035">
        <v>3</v>
      </c>
      <c r="N1035" s="6">
        <v>3043124.4482465899</v>
      </c>
      <c r="O1035" s="6">
        <v>868226.36992042104</v>
      </c>
      <c r="P1035" s="6">
        <v>1651469.0569634901</v>
      </c>
      <c r="Q1035" s="6">
        <v>164797.60532613599</v>
      </c>
      <c r="R1035" s="6">
        <v>103116.145570083</v>
      </c>
      <c r="S1035" s="6">
        <v>179912.069096313</v>
      </c>
      <c r="T1035" s="6">
        <v>4087395.5</v>
      </c>
      <c r="U1035" s="6">
        <v>1743338.12602671</v>
      </c>
      <c r="V1035" s="6">
        <v>4793992.1572060604</v>
      </c>
      <c r="W1035" s="6">
        <v>1036741.46882065</v>
      </c>
      <c r="X1035" s="6">
        <v>0</v>
      </c>
      <c r="Y1035" s="6">
        <v>0</v>
      </c>
      <c r="Z1035" s="6">
        <v>0</v>
      </c>
      <c r="AA1035" s="6">
        <v>0</v>
      </c>
      <c r="AB1035" s="6">
        <v>0</v>
      </c>
      <c r="AC1035" s="6">
        <v>179912.069096313</v>
      </c>
      <c r="AD1035" s="6">
        <v>0</v>
      </c>
      <c r="AE1035" s="6">
        <v>0</v>
      </c>
      <c r="AF1035" s="6">
        <v>0</v>
      </c>
      <c r="AG1035" s="6">
        <v>0</v>
      </c>
      <c r="AH1035" s="6">
        <v>0</v>
      </c>
      <c r="AI1035" s="6">
        <v>0</v>
      </c>
      <c r="AJ1035" s="6">
        <v>6010645.6951230196</v>
      </c>
      <c r="AK1035" s="6">
        <v>13700.226816090801</v>
      </c>
      <c r="AL1035" s="6">
        <v>330.98244656580999</v>
      </c>
      <c r="AM1035" s="6">
        <v>93035.839999999997</v>
      </c>
      <c r="AN1035" s="6">
        <v>4383.7160321486899</v>
      </c>
      <c r="AO1035" s="6">
        <v>25719.079092825301</v>
      </c>
      <c r="AP1035" s="6">
        <v>330.98244656580999</v>
      </c>
      <c r="AQ1035" s="6">
        <v>93035.839999999997</v>
      </c>
      <c r="AR1035" s="6">
        <v>4383.7160321486899</v>
      </c>
      <c r="AS1035" s="6">
        <v>15798.1474995591</v>
      </c>
      <c r="AT1035" s="6">
        <v>0</v>
      </c>
      <c r="AU1035" t="s">
        <v>2973</v>
      </c>
      <c r="AV1035" t="s">
        <v>2973</v>
      </c>
    </row>
    <row r="1036" spans="1:48" x14ac:dyDescent="0.45">
      <c r="A1036" s="5" t="s">
        <v>2097</v>
      </c>
      <c r="B1036">
        <v>2182</v>
      </c>
      <c r="C1036" t="s">
        <v>2064</v>
      </c>
      <c r="D1036">
        <v>2263</v>
      </c>
      <c r="E1036" t="s">
        <v>2098</v>
      </c>
      <c r="F1036" t="s">
        <v>2739</v>
      </c>
      <c r="G1036" t="s">
        <v>2747</v>
      </c>
      <c r="H1036" t="s">
        <v>2741</v>
      </c>
      <c r="I1036" t="s">
        <v>2742</v>
      </c>
      <c r="J1036">
        <v>601.05213224598504</v>
      </c>
      <c r="K1036">
        <v>2</v>
      </c>
      <c r="L1036">
        <v>1</v>
      </c>
      <c r="M1036">
        <v>3</v>
      </c>
      <c r="N1036" s="6">
        <v>3967260.6014556298</v>
      </c>
      <c r="O1036" s="6">
        <v>1744805.51727859</v>
      </c>
      <c r="P1036" s="6">
        <v>1794512.88860817</v>
      </c>
      <c r="Q1036" s="6">
        <v>225771.78539085001</v>
      </c>
      <c r="R1036" s="6">
        <v>141556.440448126</v>
      </c>
      <c r="S1036" s="6">
        <v>246478.51510251599</v>
      </c>
      <c r="T1036" s="6">
        <v>5485543.8799999999</v>
      </c>
      <c r="U1036" s="6">
        <v>2388363.3531813701</v>
      </c>
      <c r="V1036" s="6">
        <v>6905039.9436703501</v>
      </c>
      <c r="W1036" s="6">
        <v>968867.28951101901</v>
      </c>
      <c r="X1036" s="6">
        <v>0</v>
      </c>
      <c r="Y1036" s="6">
        <v>0</v>
      </c>
      <c r="Z1036" s="6">
        <v>0</v>
      </c>
      <c r="AA1036" s="6">
        <v>0</v>
      </c>
      <c r="AB1036" s="6">
        <v>0</v>
      </c>
      <c r="AC1036" s="6">
        <v>246478.51510251599</v>
      </c>
      <c r="AD1036" s="6">
        <v>0</v>
      </c>
      <c r="AE1036" s="6">
        <v>0</v>
      </c>
      <c r="AF1036" s="6">
        <v>0</v>
      </c>
      <c r="AG1036" s="6">
        <v>0</v>
      </c>
      <c r="AH1036" s="6">
        <v>0</v>
      </c>
      <c r="AI1036" s="6">
        <v>0</v>
      </c>
      <c r="AJ1036" s="6">
        <v>8120385.7482838798</v>
      </c>
      <c r="AK1036" s="6">
        <v>13510.285235891201</v>
      </c>
      <c r="AL1036" s="6">
        <v>330.98244656580999</v>
      </c>
      <c r="AM1036" s="6">
        <v>93035.839999999997</v>
      </c>
      <c r="AN1036" s="6">
        <v>4383.7160321486899</v>
      </c>
      <c r="AO1036" s="6">
        <v>25719.079092825301</v>
      </c>
      <c r="AP1036" s="6">
        <v>3753.1860850462999</v>
      </c>
      <c r="AQ1036" s="6">
        <v>20687.885194392002</v>
      </c>
      <c r="AR1036" s="6">
        <v>13413.000928491199</v>
      </c>
      <c r="AS1036" s="6">
        <v>13520.6692485366</v>
      </c>
      <c r="AT1036" s="6">
        <v>0</v>
      </c>
      <c r="AU1036" t="s">
        <v>2973</v>
      </c>
      <c r="AV1036" t="s">
        <v>2973</v>
      </c>
    </row>
    <row r="1037" spans="1:48" x14ac:dyDescent="0.45">
      <c r="A1037" s="5" t="s">
        <v>2099</v>
      </c>
      <c r="B1037">
        <v>2182</v>
      </c>
      <c r="C1037" t="s">
        <v>2064</v>
      </c>
      <c r="D1037">
        <v>952</v>
      </c>
      <c r="E1037" t="s">
        <v>2100</v>
      </c>
      <c r="F1037" t="s">
        <v>2739</v>
      </c>
      <c r="G1037" t="s">
        <v>2740</v>
      </c>
      <c r="H1037" t="s">
        <v>2741</v>
      </c>
      <c r="I1037" t="s">
        <v>2742</v>
      </c>
      <c r="J1037">
        <v>491.05471208479997</v>
      </c>
      <c r="K1037">
        <v>5</v>
      </c>
      <c r="L1037">
        <v>1</v>
      </c>
      <c r="M1037">
        <v>3</v>
      </c>
      <c r="N1037" s="6">
        <v>3944268.1524274498</v>
      </c>
      <c r="O1037" s="6">
        <v>829985.87146096805</v>
      </c>
      <c r="P1037" s="6">
        <v>1823873.9484244101</v>
      </c>
      <c r="Q1037" s="6">
        <v>184453.71561647201</v>
      </c>
      <c r="R1037" s="6">
        <v>117614.42042665101</v>
      </c>
      <c r="S1037" s="6">
        <v>201370.945672348</v>
      </c>
      <c r="T1037" s="6">
        <v>4948922.6399999997</v>
      </c>
      <c r="U1037" s="6">
        <v>1951273.46835595</v>
      </c>
      <c r="V1037" s="6">
        <v>5545153.2130387602</v>
      </c>
      <c r="W1037" s="6">
        <v>1355042.8953171901</v>
      </c>
      <c r="X1037" s="6">
        <v>0</v>
      </c>
      <c r="Y1037" s="6">
        <v>0</v>
      </c>
      <c r="Z1037" s="6">
        <v>0</v>
      </c>
      <c r="AA1037" s="6">
        <v>0</v>
      </c>
      <c r="AB1037" s="6">
        <v>0</v>
      </c>
      <c r="AC1037" s="6">
        <v>201370.945672348</v>
      </c>
      <c r="AD1037" s="6">
        <v>0</v>
      </c>
      <c r="AE1037" s="6">
        <v>0</v>
      </c>
      <c r="AF1037" s="6">
        <v>0</v>
      </c>
      <c r="AG1037" s="6">
        <v>0</v>
      </c>
      <c r="AH1037" s="6">
        <v>0</v>
      </c>
      <c r="AI1037" s="6">
        <v>0</v>
      </c>
      <c r="AJ1037" s="6">
        <v>7101567.0540282903</v>
      </c>
      <c r="AK1037" s="6">
        <v>14461.8652041402</v>
      </c>
      <c r="AL1037" s="6">
        <v>330.98244656580999</v>
      </c>
      <c r="AM1037" s="6">
        <v>93035.839999999997</v>
      </c>
      <c r="AN1037" s="6">
        <v>4383.7160321486899</v>
      </c>
      <c r="AO1037" s="6">
        <v>25719.079092825301</v>
      </c>
      <c r="AP1037" s="6">
        <v>330.98244656580999</v>
      </c>
      <c r="AQ1037" s="6">
        <v>93035.839999999997</v>
      </c>
      <c r="AR1037" s="6">
        <v>4383.7160321486899</v>
      </c>
      <c r="AS1037" s="6">
        <v>15798.1474995591</v>
      </c>
      <c r="AT1037" s="6">
        <v>0</v>
      </c>
      <c r="AU1037" t="s">
        <v>2973</v>
      </c>
      <c r="AV1037" t="s">
        <v>2973</v>
      </c>
    </row>
    <row r="1038" spans="1:48" x14ac:dyDescent="0.45">
      <c r="A1038" s="5" t="s">
        <v>2101</v>
      </c>
      <c r="B1038">
        <v>2182</v>
      </c>
      <c r="C1038" t="s">
        <v>2064</v>
      </c>
      <c r="D1038">
        <v>1365</v>
      </c>
      <c r="E1038" t="s">
        <v>2102</v>
      </c>
      <c r="F1038" t="s">
        <v>2739</v>
      </c>
      <c r="G1038" t="s">
        <v>2740</v>
      </c>
      <c r="H1038" t="s">
        <v>2741</v>
      </c>
      <c r="I1038" t="s">
        <v>2742</v>
      </c>
      <c r="J1038">
        <v>459.08716536956098</v>
      </c>
      <c r="K1038">
        <v>4</v>
      </c>
      <c r="L1038">
        <v>1</v>
      </c>
      <c r="M1038">
        <v>3</v>
      </c>
      <c r="N1038" s="6">
        <v>4053037.1293936698</v>
      </c>
      <c r="O1038" s="6">
        <v>940453.26370600099</v>
      </c>
      <c r="P1038" s="6">
        <v>1437747.59946621</v>
      </c>
      <c r="Q1038" s="6">
        <v>172445.82194259801</v>
      </c>
      <c r="R1038" s="6">
        <v>111905.808190654</v>
      </c>
      <c r="S1038" s="6">
        <v>188261.744285108</v>
      </c>
      <c r="T1038" s="6">
        <v>4891343.5999999996</v>
      </c>
      <c r="U1038" s="6">
        <v>1824246.02269913</v>
      </c>
      <c r="V1038" s="6">
        <v>5949088.1504229</v>
      </c>
      <c r="W1038" s="6">
        <v>766501.47227623698</v>
      </c>
      <c r="X1038" s="6">
        <v>0</v>
      </c>
      <c r="Y1038" s="6">
        <v>0</v>
      </c>
      <c r="Z1038" s="6">
        <v>0</v>
      </c>
      <c r="AA1038" s="6">
        <v>0</v>
      </c>
      <c r="AB1038" s="6">
        <v>0</v>
      </c>
      <c r="AC1038" s="6">
        <v>188261.744285108</v>
      </c>
      <c r="AD1038" s="6">
        <v>0</v>
      </c>
      <c r="AE1038" s="6">
        <v>0</v>
      </c>
      <c r="AF1038" s="6">
        <v>0</v>
      </c>
      <c r="AG1038" s="6">
        <v>0</v>
      </c>
      <c r="AH1038" s="6">
        <v>0</v>
      </c>
      <c r="AI1038" s="6">
        <v>0</v>
      </c>
      <c r="AJ1038" s="6">
        <v>6903851.3669842398</v>
      </c>
      <c r="AK1038" s="6">
        <v>15038.214717736</v>
      </c>
      <c r="AL1038" s="6">
        <v>330.98244656580999</v>
      </c>
      <c r="AM1038" s="6">
        <v>93035.839999999997</v>
      </c>
      <c r="AN1038" s="6">
        <v>4383.7160321486899</v>
      </c>
      <c r="AO1038" s="6">
        <v>25719.079092825301</v>
      </c>
      <c r="AP1038" s="6">
        <v>330.98244656580999</v>
      </c>
      <c r="AQ1038" s="6">
        <v>93035.839999999997</v>
      </c>
      <c r="AR1038" s="6">
        <v>4383.7160321486899</v>
      </c>
      <c r="AS1038" s="6">
        <v>15798.1474995591</v>
      </c>
      <c r="AT1038" s="6">
        <v>0</v>
      </c>
      <c r="AU1038" t="s">
        <v>2973</v>
      </c>
      <c r="AV1038" t="s">
        <v>2973</v>
      </c>
    </row>
    <row r="1039" spans="1:48" x14ac:dyDescent="0.45">
      <c r="A1039" s="5" t="s">
        <v>2103</v>
      </c>
      <c r="B1039">
        <v>1999</v>
      </c>
      <c r="C1039" t="s">
        <v>2104</v>
      </c>
      <c r="D1039">
        <v>304</v>
      </c>
      <c r="E1039" t="s">
        <v>2105</v>
      </c>
      <c r="F1039" t="s">
        <v>2739</v>
      </c>
      <c r="G1039" t="s">
        <v>2740</v>
      </c>
      <c r="H1039" t="s">
        <v>2745</v>
      </c>
      <c r="I1039" t="s">
        <v>2742</v>
      </c>
      <c r="J1039">
        <v>230.98809891619899</v>
      </c>
      <c r="K1039">
        <v>1</v>
      </c>
      <c r="L1039">
        <v>1</v>
      </c>
      <c r="M1039">
        <v>3</v>
      </c>
      <c r="N1039" s="6">
        <v>1497735.3329503301</v>
      </c>
      <c r="O1039" s="6">
        <v>321261.36987526802</v>
      </c>
      <c r="P1039" s="6">
        <v>675218.23373578</v>
      </c>
      <c r="Q1039" s="6">
        <v>135946.24030119201</v>
      </c>
      <c r="R1039" s="6">
        <v>85246.259727014505</v>
      </c>
      <c r="S1039" s="6">
        <v>128826.311543855</v>
      </c>
      <c r="T1039" s="6">
        <v>1601380.25</v>
      </c>
      <c r="U1039" s="6">
        <v>1114027.18658958</v>
      </c>
      <c r="V1039" s="6">
        <v>2261600.7807344799</v>
      </c>
      <c r="W1039" s="6">
        <v>434885.85748990701</v>
      </c>
      <c r="X1039" s="6">
        <v>0</v>
      </c>
      <c r="Y1039" s="6">
        <v>0</v>
      </c>
      <c r="Z1039" s="6">
        <v>16389.001643695901</v>
      </c>
      <c r="AA1039" s="6">
        <v>2531.7967214980799</v>
      </c>
      <c r="AB1039" s="6">
        <v>0</v>
      </c>
      <c r="AC1039" s="6">
        <v>109148.323429793</v>
      </c>
      <c r="AD1039" s="6">
        <v>19677.9881140617</v>
      </c>
      <c r="AE1039" s="6">
        <v>0</v>
      </c>
      <c r="AF1039" s="6">
        <v>0</v>
      </c>
      <c r="AG1039" s="6">
        <v>0</v>
      </c>
      <c r="AH1039" s="6">
        <v>0</v>
      </c>
      <c r="AI1039" s="6">
        <v>0</v>
      </c>
      <c r="AJ1039" s="6">
        <v>2844233.74813344</v>
      </c>
      <c r="AK1039" s="6">
        <v>12313.3345894384</v>
      </c>
      <c r="AL1039" s="6">
        <v>330.98244656580999</v>
      </c>
      <c r="AM1039" s="6">
        <v>93035.839999999997</v>
      </c>
      <c r="AN1039" s="6">
        <v>12313.3345894384</v>
      </c>
      <c r="AO1039" s="6">
        <v>17546.420273316799</v>
      </c>
      <c r="AP1039" s="6">
        <v>330.98244656580999</v>
      </c>
      <c r="AQ1039" s="6">
        <v>93035.839999999997</v>
      </c>
      <c r="AR1039" s="6">
        <v>12313.3345894384</v>
      </c>
      <c r="AS1039" s="6">
        <v>12313.3345894384</v>
      </c>
      <c r="AT1039" s="6">
        <v>0</v>
      </c>
      <c r="AU1039" t="s">
        <v>2973</v>
      </c>
      <c r="AV1039" t="s">
        <v>2973</v>
      </c>
    </row>
    <row r="1040" spans="1:48" x14ac:dyDescent="0.45">
      <c r="A1040" s="5" t="s">
        <v>2106</v>
      </c>
      <c r="B1040">
        <v>1999</v>
      </c>
      <c r="C1040" t="s">
        <v>2104</v>
      </c>
      <c r="D1040">
        <v>305</v>
      </c>
      <c r="E1040" t="s">
        <v>2107</v>
      </c>
      <c r="F1040" t="s">
        <v>2739</v>
      </c>
      <c r="G1040" t="s">
        <v>2744</v>
      </c>
      <c r="H1040" t="s">
        <v>2745</v>
      </c>
      <c r="I1040" t="s">
        <v>2742</v>
      </c>
      <c r="J1040">
        <v>158.66774239417501</v>
      </c>
      <c r="K1040">
        <v>1</v>
      </c>
      <c r="L1040">
        <v>2</v>
      </c>
      <c r="M1040">
        <v>3</v>
      </c>
      <c r="N1040" s="6">
        <v>1457365.7270496699</v>
      </c>
      <c r="O1040" s="6">
        <v>540119.42012473196</v>
      </c>
      <c r="P1040" s="6">
        <v>525813.62626421999</v>
      </c>
      <c r="Q1040" s="6">
        <v>93382.659698808493</v>
      </c>
      <c r="R1040" s="6">
        <v>78877.540272985498</v>
      </c>
      <c r="S1040" s="6">
        <v>88491.918456144806</v>
      </c>
      <c r="T1040" s="6">
        <v>1930323.97</v>
      </c>
      <c r="U1040" s="6">
        <v>765235.00341041898</v>
      </c>
      <c r="V1040" s="6">
        <v>2379877.2092655199</v>
      </c>
      <c r="W1040" s="6">
        <v>302684.902510093</v>
      </c>
      <c r="X1040" s="6">
        <v>0</v>
      </c>
      <c r="Y1040" s="6">
        <v>0</v>
      </c>
      <c r="Z1040" s="6">
        <v>11257.748356304101</v>
      </c>
      <c r="AA1040" s="6">
        <v>1739.1132785019199</v>
      </c>
      <c r="AB1040" s="6">
        <v>0</v>
      </c>
      <c r="AC1040" s="6">
        <v>74974.936570206497</v>
      </c>
      <c r="AD1040" s="6">
        <v>13516.981885938299</v>
      </c>
      <c r="AE1040" s="6">
        <v>0</v>
      </c>
      <c r="AF1040" s="6">
        <v>0</v>
      </c>
      <c r="AG1040" s="6">
        <v>0</v>
      </c>
      <c r="AH1040" s="6">
        <v>0</v>
      </c>
      <c r="AI1040" s="6">
        <v>0</v>
      </c>
      <c r="AJ1040" s="6">
        <v>2784050.8918665601</v>
      </c>
      <c r="AK1040" s="6">
        <v>17546.420273316799</v>
      </c>
      <c r="AL1040" s="6">
        <v>330.98244656580999</v>
      </c>
      <c r="AM1040" s="6">
        <v>93035.839999999997</v>
      </c>
      <c r="AN1040" s="6">
        <v>12313.3345894384</v>
      </c>
      <c r="AO1040" s="6">
        <v>17546.420273316799</v>
      </c>
      <c r="AP1040" s="6">
        <v>330.98244656580999</v>
      </c>
      <c r="AQ1040" s="6">
        <v>40734.411818744898</v>
      </c>
      <c r="AR1040" s="6">
        <v>17546.420273316799</v>
      </c>
      <c r="AS1040" s="6">
        <v>17546.420273316799</v>
      </c>
      <c r="AT1040" s="6">
        <v>0</v>
      </c>
      <c r="AU1040" t="s">
        <v>2973</v>
      </c>
      <c r="AV1040" t="s">
        <v>2973</v>
      </c>
    </row>
    <row r="1041" spans="1:48" x14ac:dyDescent="0.45">
      <c r="A1041" s="5" t="s">
        <v>2108</v>
      </c>
      <c r="B1041">
        <v>2188</v>
      </c>
      <c r="C1041" t="s">
        <v>2109</v>
      </c>
      <c r="D1041">
        <v>985</v>
      </c>
      <c r="E1041" t="s">
        <v>2110</v>
      </c>
      <c r="F1041" t="s">
        <v>2739</v>
      </c>
      <c r="G1041" t="s">
        <v>2740</v>
      </c>
      <c r="H1041" t="s">
        <v>2741</v>
      </c>
      <c r="I1041" t="s">
        <v>2742</v>
      </c>
      <c r="J1041">
        <v>398.03012048191698</v>
      </c>
      <c r="K1041">
        <v>1</v>
      </c>
      <c r="L1041">
        <v>1</v>
      </c>
      <c r="M1041">
        <v>1</v>
      </c>
      <c r="N1041" s="6">
        <v>4039367.3713825401</v>
      </c>
      <c r="O1041" s="6">
        <v>1063236.6784747599</v>
      </c>
      <c r="P1041" s="6">
        <v>960727.825135138</v>
      </c>
      <c r="Q1041" s="6">
        <v>540807.70930349396</v>
      </c>
      <c r="R1041" s="6">
        <v>4871.7963871895199</v>
      </c>
      <c r="S1041" s="6">
        <v>239601.063203945</v>
      </c>
      <c r="T1041" s="6">
        <v>1708435</v>
      </c>
      <c r="U1041" s="6">
        <v>4900576.3806831203</v>
      </c>
      <c r="V1041" s="6">
        <v>6337843.6490259804</v>
      </c>
      <c r="W1041" s="6">
        <v>271167.731657141</v>
      </c>
      <c r="X1041" s="6">
        <v>0</v>
      </c>
      <c r="Y1041" s="6">
        <v>0</v>
      </c>
      <c r="Z1041" s="6">
        <v>0</v>
      </c>
      <c r="AA1041" s="6">
        <v>0</v>
      </c>
      <c r="AB1041" s="6">
        <v>0</v>
      </c>
      <c r="AC1041" s="6">
        <v>239601.063203945</v>
      </c>
      <c r="AD1041" s="6">
        <v>0</v>
      </c>
      <c r="AE1041" s="6">
        <v>0</v>
      </c>
      <c r="AF1041" s="6">
        <v>0</v>
      </c>
      <c r="AG1041" s="6">
        <v>0</v>
      </c>
      <c r="AH1041" s="6">
        <v>0</v>
      </c>
      <c r="AI1041" s="6">
        <v>0</v>
      </c>
      <c r="AJ1041" s="6">
        <v>6848612.4438870698</v>
      </c>
      <c r="AK1041" s="6">
        <v>17206.2667910536</v>
      </c>
      <c r="AL1041" s="6">
        <v>330.98244656580999</v>
      </c>
      <c r="AM1041" s="6">
        <v>93035.839999999997</v>
      </c>
      <c r="AN1041" s="6">
        <v>14665.8941682451</v>
      </c>
      <c r="AO1041" s="6">
        <v>17206.2667910536</v>
      </c>
      <c r="AP1041" s="6">
        <v>330.98244656580999</v>
      </c>
      <c r="AQ1041" s="6">
        <v>93035.839999999997</v>
      </c>
      <c r="AR1041" s="6">
        <v>17206.2667910536</v>
      </c>
      <c r="AS1041" s="6">
        <v>17206.2667910536</v>
      </c>
      <c r="AT1041" s="6">
        <v>0</v>
      </c>
      <c r="AU1041" t="s">
        <v>2973</v>
      </c>
      <c r="AV1041" t="s">
        <v>2973</v>
      </c>
    </row>
    <row r="1042" spans="1:48" x14ac:dyDescent="0.45">
      <c r="A1042" s="5" t="s">
        <v>2111</v>
      </c>
      <c r="B1042">
        <v>2188</v>
      </c>
      <c r="C1042" t="s">
        <v>2109</v>
      </c>
      <c r="D1042">
        <v>1345</v>
      </c>
      <c r="E1042" t="s">
        <v>2112</v>
      </c>
      <c r="F1042" t="s">
        <v>2739</v>
      </c>
      <c r="G1042" t="s">
        <v>2744</v>
      </c>
      <c r="H1042" t="s">
        <v>2745</v>
      </c>
      <c r="I1042" t="s">
        <v>2742</v>
      </c>
      <c r="J1042">
        <v>225.34770114929799</v>
      </c>
      <c r="K1042">
        <v>1</v>
      </c>
      <c r="L1042">
        <v>1</v>
      </c>
      <c r="M1042">
        <v>1</v>
      </c>
      <c r="N1042" s="6">
        <v>1616823.6286174599</v>
      </c>
      <c r="O1042" s="6">
        <v>697586.32152523706</v>
      </c>
      <c r="P1042" s="6">
        <v>545923.17486486305</v>
      </c>
      <c r="Q1042" s="6">
        <v>306182.29069650703</v>
      </c>
      <c r="R1042" s="6">
        <v>2758.2036128104801</v>
      </c>
      <c r="S1042" s="6">
        <v>135651.91679605501</v>
      </c>
      <c r="T1042" s="6">
        <v>394776</v>
      </c>
      <c r="U1042" s="6">
        <v>2774497.6193168801</v>
      </c>
      <c r="V1042" s="6">
        <v>2654861.3509740201</v>
      </c>
      <c r="W1042" s="6">
        <v>514412.268342859</v>
      </c>
      <c r="X1042" s="6">
        <v>0</v>
      </c>
      <c r="Y1042" s="6">
        <v>0</v>
      </c>
      <c r="Z1042" s="6">
        <v>0</v>
      </c>
      <c r="AA1042" s="6">
        <v>0</v>
      </c>
      <c r="AB1042" s="6">
        <v>0</v>
      </c>
      <c r="AC1042" s="6">
        <v>135651.91679605501</v>
      </c>
      <c r="AD1042" s="6">
        <v>0</v>
      </c>
      <c r="AE1042" s="6">
        <v>0</v>
      </c>
      <c r="AF1042" s="6">
        <v>0</v>
      </c>
      <c r="AG1042" s="6">
        <v>0</v>
      </c>
      <c r="AH1042" s="6">
        <v>0</v>
      </c>
      <c r="AI1042" s="6">
        <v>0</v>
      </c>
      <c r="AJ1042" s="6">
        <v>3304925.5361129302</v>
      </c>
      <c r="AK1042" s="6">
        <v>14665.8941682451</v>
      </c>
      <c r="AL1042" s="6">
        <v>330.98244656580999</v>
      </c>
      <c r="AM1042" s="6">
        <v>93035.839999999997</v>
      </c>
      <c r="AN1042" s="6">
        <v>14665.8941682451</v>
      </c>
      <c r="AO1042" s="6">
        <v>17206.2667910536</v>
      </c>
      <c r="AP1042" s="6">
        <v>330.98244656580999</v>
      </c>
      <c r="AQ1042" s="6">
        <v>40734.411818744898</v>
      </c>
      <c r="AR1042" s="6">
        <v>14665.8941682451</v>
      </c>
      <c r="AS1042" s="6">
        <v>14665.8941682451</v>
      </c>
      <c r="AT1042" s="6">
        <v>0</v>
      </c>
      <c r="AU1042" t="s">
        <v>2973</v>
      </c>
      <c r="AV1042" t="s">
        <v>2973</v>
      </c>
    </row>
    <row r="1043" spans="1:48" x14ac:dyDescent="0.45">
      <c r="A1043" s="5" t="s">
        <v>2113</v>
      </c>
      <c r="B1043">
        <v>2044</v>
      </c>
      <c r="C1043" t="s">
        <v>2114</v>
      </c>
      <c r="D1043">
        <v>4856</v>
      </c>
      <c r="E1043" t="s">
        <v>2115</v>
      </c>
      <c r="F1043" t="s">
        <v>3</v>
      </c>
      <c r="G1043" t="s">
        <v>2748</v>
      </c>
      <c r="H1043" t="s">
        <v>2745</v>
      </c>
      <c r="I1043" t="s">
        <v>2742</v>
      </c>
      <c r="J1043">
        <v>182.82657421223499</v>
      </c>
      <c r="K1043">
        <v>1</v>
      </c>
      <c r="L1043">
        <v>1</v>
      </c>
      <c r="M1043">
        <v>2</v>
      </c>
      <c r="N1043" s="6">
        <v>189251.35548477501</v>
      </c>
      <c r="O1043" s="6">
        <v>68368.526983436896</v>
      </c>
      <c r="P1043" s="6">
        <v>354102.46819037199</v>
      </c>
      <c r="Q1043" s="6">
        <v>193159.797061783</v>
      </c>
      <c r="R1043" s="6">
        <v>77056.968236817498</v>
      </c>
      <c r="S1043" s="6">
        <v>117040.582586328</v>
      </c>
      <c r="T1043" s="6">
        <v>0</v>
      </c>
      <c r="U1043" s="6">
        <v>881939.115957184</v>
      </c>
      <c r="V1043" s="6">
        <v>718023.89839514904</v>
      </c>
      <c r="W1043" s="6">
        <v>163915.21756203499</v>
      </c>
      <c r="X1043" s="6">
        <v>0</v>
      </c>
      <c r="Y1043" s="6">
        <v>0</v>
      </c>
      <c r="Z1043" s="6">
        <v>0</v>
      </c>
      <c r="AA1043" s="6">
        <v>0</v>
      </c>
      <c r="AB1043" s="6">
        <v>0</v>
      </c>
      <c r="AC1043" s="6">
        <v>98631.261947877501</v>
      </c>
      <c r="AD1043" s="6">
        <v>18409.320638450201</v>
      </c>
      <c r="AE1043" s="6">
        <v>0</v>
      </c>
      <c r="AF1043" s="6">
        <v>0</v>
      </c>
      <c r="AG1043" s="6">
        <v>0</v>
      </c>
      <c r="AH1043" s="6">
        <v>0</v>
      </c>
      <c r="AI1043" s="6">
        <v>0</v>
      </c>
      <c r="AJ1043" s="6">
        <v>998979.69854351098</v>
      </c>
      <c r="AK1043" s="6">
        <v>5464.0836697177301</v>
      </c>
      <c r="AL1043" s="6">
        <v>330.98244656580999</v>
      </c>
      <c r="AM1043" s="6">
        <v>93035.839999999997</v>
      </c>
      <c r="AN1043" s="6">
        <v>5464.0836697177301</v>
      </c>
      <c r="AO1043" s="6">
        <v>15353.495412513201</v>
      </c>
      <c r="AP1043" s="6">
        <v>330.98244656580999</v>
      </c>
      <c r="AQ1043" s="6">
        <v>56162.493707719797</v>
      </c>
      <c r="AR1043" s="6">
        <v>5464.0836697177301</v>
      </c>
      <c r="AS1043" s="6">
        <v>15353.495412513201</v>
      </c>
      <c r="AT1043" s="6">
        <v>0</v>
      </c>
      <c r="AU1043" t="s">
        <v>2973</v>
      </c>
      <c r="AV1043" t="s">
        <v>2976</v>
      </c>
    </row>
    <row r="1044" spans="1:48" x14ac:dyDescent="0.45">
      <c r="A1044" s="5" t="s">
        <v>2116</v>
      </c>
      <c r="B1044">
        <v>2044</v>
      </c>
      <c r="C1044" t="s">
        <v>2114</v>
      </c>
      <c r="D1044">
        <v>399</v>
      </c>
      <c r="E1044" t="s">
        <v>2117</v>
      </c>
      <c r="F1044" t="s">
        <v>2739</v>
      </c>
      <c r="G1044" t="s">
        <v>2740</v>
      </c>
      <c r="H1044" t="s">
        <v>2741</v>
      </c>
      <c r="I1044" t="s">
        <v>2742</v>
      </c>
      <c r="J1044">
        <v>461.53868337371699</v>
      </c>
      <c r="K1044">
        <v>1</v>
      </c>
      <c r="L1044">
        <v>1</v>
      </c>
      <c r="M1044">
        <v>2</v>
      </c>
      <c r="N1044" s="6">
        <v>2817483.0475931298</v>
      </c>
      <c r="O1044" s="6">
        <v>624447.49749338604</v>
      </c>
      <c r="P1044" s="6">
        <v>1180740.70694862</v>
      </c>
      <c r="Q1044" s="6">
        <v>487804.50864029501</v>
      </c>
      <c r="R1044" s="6">
        <v>194527.36462427801</v>
      </c>
      <c r="S1044" s="6">
        <v>295464.46746564598</v>
      </c>
      <c r="T1044" s="6">
        <v>3078581.61</v>
      </c>
      <c r="U1044" s="6">
        <v>2226421.51529971</v>
      </c>
      <c r="V1044" s="6">
        <v>4267586.3373844102</v>
      </c>
      <c r="W1044" s="6">
        <v>1037416.7879153</v>
      </c>
      <c r="X1044" s="6">
        <v>0</v>
      </c>
      <c r="Y1044" s="6">
        <v>0</v>
      </c>
      <c r="Z1044" s="6">
        <v>0</v>
      </c>
      <c r="AA1044" s="6">
        <v>0</v>
      </c>
      <c r="AB1044" s="6">
        <v>0</v>
      </c>
      <c r="AC1044" s="6">
        <v>248990.84268825699</v>
      </c>
      <c r="AD1044" s="6">
        <v>46473.624777389101</v>
      </c>
      <c r="AE1044" s="6">
        <v>0</v>
      </c>
      <c r="AF1044" s="6">
        <v>0</v>
      </c>
      <c r="AG1044" s="6">
        <v>0</v>
      </c>
      <c r="AH1044" s="6">
        <v>0</v>
      </c>
      <c r="AI1044" s="6">
        <v>0</v>
      </c>
      <c r="AJ1044" s="6">
        <v>5600467.5927653499</v>
      </c>
      <c r="AK1044" s="6">
        <v>12134.3406187051</v>
      </c>
      <c r="AL1044" s="6">
        <v>330.98244656580999</v>
      </c>
      <c r="AM1044" s="6">
        <v>93035.839999999997</v>
      </c>
      <c r="AN1044" s="6">
        <v>5464.0836697177301</v>
      </c>
      <c r="AO1044" s="6">
        <v>15353.495412513201</v>
      </c>
      <c r="AP1044" s="6">
        <v>330.98244656580999</v>
      </c>
      <c r="AQ1044" s="6">
        <v>93035.839999999997</v>
      </c>
      <c r="AR1044" s="6">
        <v>12134.3406187051</v>
      </c>
      <c r="AS1044" s="6">
        <v>12134.3406187051</v>
      </c>
      <c r="AT1044" s="6">
        <v>0</v>
      </c>
      <c r="AU1044" t="s">
        <v>2973</v>
      </c>
      <c r="AV1044" t="s">
        <v>2973</v>
      </c>
    </row>
    <row r="1045" spans="1:48" x14ac:dyDescent="0.45">
      <c r="A1045" s="5" t="s">
        <v>2118</v>
      </c>
      <c r="B1045">
        <v>2044</v>
      </c>
      <c r="C1045" t="s">
        <v>2114</v>
      </c>
      <c r="D1045">
        <v>401</v>
      </c>
      <c r="E1045" t="s">
        <v>2119</v>
      </c>
      <c r="F1045" t="s">
        <v>2739</v>
      </c>
      <c r="G1045" t="s">
        <v>2744</v>
      </c>
      <c r="H1045" t="s">
        <v>2745</v>
      </c>
      <c r="I1045" t="s">
        <v>2742</v>
      </c>
      <c r="J1045">
        <v>348.86225811165298</v>
      </c>
      <c r="K1045">
        <v>1</v>
      </c>
      <c r="L1045">
        <v>1</v>
      </c>
      <c r="M1045">
        <v>2</v>
      </c>
      <c r="N1045" s="6">
        <v>2011991.1053100401</v>
      </c>
      <c r="O1045" s="6">
        <v>1411340.72189962</v>
      </c>
      <c r="P1045" s="6">
        <v>1014479.14640268</v>
      </c>
      <c r="Q1045" s="6">
        <v>369496.87510021299</v>
      </c>
      <c r="R1045" s="6">
        <v>167058.98331692</v>
      </c>
      <c r="S1045" s="6">
        <v>223332.09549926201</v>
      </c>
      <c r="T1045" s="6">
        <v>3291486.36</v>
      </c>
      <c r="U1045" s="6">
        <v>1682880.4720294799</v>
      </c>
      <c r="V1045" s="6">
        <v>4087770.1981136599</v>
      </c>
      <c r="W1045" s="6">
        <v>886596.63391582004</v>
      </c>
      <c r="X1045" s="6">
        <v>0</v>
      </c>
      <c r="Y1045" s="6">
        <v>0</v>
      </c>
      <c r="Z1045" s="6">
        <v>0</v>
      </c>
      <c r="AA1045" s="6">
        <v>0</v>
      </c>
      <c r="AB1045" s="6">
        <v>0</v>
      </c>
      <c r="AC1045" s="6">
        <v>188204.17607122599</v>
      </c>
      <c r="AD1045" s="6">
        <v>35127.919428035799</v>
      </c>
      <c r="AE1045" s="6">
        <v>0</v>
      </c>
      <c r="AF1045" s="6">
        <v>0</v>
      </c>
      <c r="AG1045" s="6">
        <v>0</v>
      </c>
      <c r="AH1045" s="6">
        <v>0</v>
      </c>
      <c r="AI1045" s="6">
        <v>0</v>
      </c>
      <c r="AJ1045" s="6">
        <v>5197698.9275287399</v>
      </c>
      <c r="AK1045" s="6">
        <v>14899.0004125503</v>
      </c>
      <c r="AL1045" s="6">
        <v>330.98244656580999</v>
      </c>
      <c r="AM1045" s="6">
        <v>93035.839999999997</v>
      </c>
      <c r="AN1045" s="6">
        <v>5464.0836697177301</v>
      </c>
      <c r="AO1045" s="6">
        <v>15353.495412513201</v>
      </c>
      <c r="AP1045" s="6">
        <v>330.98244656580999</v>
      </c>
      <c r="AQ1045" s="6">
        <v>40734.411818744898</v>
      </c>
      <c r="AR1045" s="6">
        <v>14899.0004125503</v>
      </c>
      <c r="AS1045" s="6">
        <v>14899.0004125503</v>
      </c>
      <c r="AT1045" s="6">
        <v>0</v>
      </c>
      <c r="AU1045" t="s">
        <v>2973</v>
      </c>
      <c r="AV1045" t="s">
        <v>2973</v>
      </c>
    </row>
    <row r="1046" spans="1:48" x14ac:dyDescent="0.45">
      <c r="A1046" s="5" t="s">
        <v>2120</v>
      </c>
      <c r="B1046">
        <v>2044</v>
      </c>
      <c r="C1046" t="s">
        <v>2114</v>
      </c>
      <c r="D1046">
        <v>2044</v>
      </c>
      <c r="E1046" t="s">
        <v>2114</v>
      </c>
      <c r="F1046" t="s">
        <v>1</v>
      </c>
      <c r="G1046" t="s">
        <v>1</v>
      </c>
      <c r="H1046" t="s">
        <v>2743</v>
      </c>
      <c r="I1046" t="s">
        <v>2742</v>
      </c>
      <c r="J1046">
        <v>1.3699421965309999</v>
      </c>
      <c r="K1046">
        <v>0</v>
      </c>
      <c r="L1046">
        <v>0</v>
      </c>
      <c r="M1046">
        <v>2</v>
      </c>
      <c r="N1046" s="6">
        <v>1418.0838794710201</v>
      </c>
      <c r="O1046" s="6">
        <v>512.29385242733701</v>
      </c>
      <c r="P1046" s="6">
        <v>2653.3337134383701</v>
      </c>
      <c r="Q1046" s="6">
        <v>1447.37031697109</v>
      </c>
      <c r="R1046" s="6">
        <v>577.39742036527502</v>
      </c>
      <c r="S1046" s="6">
        <v>876.99960184918996</v>
      </c>
      <c r="T1046" s="6">
        <v>0</v>
      </c>
      <c r="U1046" s="6">
        <v>6608.4791826730898</v>
      </c>
      <c r="V1046" s="6">
        <v>5380.2421270954101</v>
      </c>
      <c r="W1046" s="6">
        <v>1228.2370555776799</v>
      </c>
      <c r="X1046" s="6">
        <v>0</v>
      </c>
      <c r="Y1046" s="6">
        <v>0</v>
      </c>
      <c r="Z1046" s="6">
        <v>0</v>
      </c>
      <c r="AA1046" s="6">
        <v>0</v>
      </c>
      <c r="AB1046" s="6">
        <v>0</v>
      </c>
      <c r="AC1046" s="6">
        <v>739.056278999386</v>
      </c>
      <c r="AD1046" s="6">
        <v>137.94332284980399</v>
      </c>
      <c r="AE1046" s="6">
        <v>0</v>
      </c>
      <c r="AF1046" s="6">
        <v>0</v>
      </c>
      <c r="AG1046" s="6">
        <v>0</v>
      </c>
      <c r="AH1046" s="6">
        <v>0</v>
      </c>
      <c r="AI1046" s="6">
        <v>0</v>
      </c>
      <c r="AJ1046" s="6">
        <v>7485.47878452228</v>
      </c>
      <c r="AK1046" s="6">
        <v>5464.0836697177301</v>
      </c>
      <c r="AL1046" s="6">
        <v>330.98244656580999</v>
      </c>
      <c r="AM1046" s="6">
        <v>93035.839999999997</v>
      </c>
      <c r="AN1046" s="6">
        <v>5464.0836697177301</v>
      </c>
      <c r="AO1046" s="6">
        <v>15353.495412513201</v>
      </c>
      <c r="AP1046" s="6">
        <v>634.54287297753501</v>
      </c>
      <c r="AQ1046" s="6">
        <v>40331.279999999999</v>
      </c>
      <c r="AR1046" s="6">
        <v>5464.0836697177301</v>
      </c>
      <c r="AS1046" s="6">
        <v>5464.0836697177301</v>
      </c>
      <c r="AT1046" s="6">
        <v>0</v>
      </c>
      <c r="AU1046" t="s">
        <v>2973</v>
      </c>
      <c r="AV1046" t="s">
        <v>2977</v>
      </c>
    </row>
    <row r="1047" spans="1:48" x14ac:dyDescent="0.45">
      <c r="A1047" s="5" t="s">
        <v>2969</v>
      </c>
      <c r="B1047">
        <v>2044</v>
      </c>
      <c r="C1047" t="s">
        <v>2114</v>
      </c>
      <c r="D1047">
        <v>5443</v>
      </c>
      <c r="E1047" t="s">
        <v>2970</v>
      </c>
      <c r="F1047" t="s">
        <v>2739</v>
      </c>
      <c r="G1047" t="s">
        <v>2748</v>
      </c>
      <c r="H1047" t="s">
        <v>2749</v>
      </c>
      <c r="I1047" t="s">
        <v>2742</v>
      </c>
      <c r="J1047">
        <v>31.369886103286799</v>
      </c>
      <c r="K1047">
        <v>1</v>
      </c>
      <c r="L1047">
        <v>1</v>
      </c>
      <c r="M1047">
        <v>2</v>
      </c>
      <c r="N1047" s="6">
        <v>314706.14773258002</v>
      </c>
      <c r="O1047" s="6">
        <v>11980.859771130399</v>
      </c>
      <c r="P1047" s="6">
        <v>88503.714744892102</v>
      </c>
      <c r="Q1047" s="6">
        <v>33142.888880737999</v>
      </c>
      <c r="R1047" s="6">
        <v>13221.6464016191</v>
      </c>
      <c r="S1047" s="6">
        <v>20082.144846915398</v>
      </c>
      <c r="T1047" s="6">
        <v>310229.71999999997</v>
      </c>
      <c r="U1047" s="6">
        <v>151325.537530959</v>
      </c>
      <c r="V1047" s="6">
        <v>430178.44397969201</v>
      </c>
      <c r="W1047" s="6">
        <v>31376.813551266601</v>
      </c>
      <c r="X1047" s="6">
        <v>0</v>
      </c>
      <c r="Y1047" s="6">
        <v>0</v>
      </c>
      <c r="Z1047" s="6">
        <v>0</v>
      </c>
      <c r="AA1047" s="6">
        <v>0</v>
      </c>
      <c r="AB1047" s="6">
        <v>0</v>
      </c>
      <c r="AC1047" s="6">
        <v>16923.423013640298</v>
      </c>
      <c r="AD1047" s="6">
        <v>3158.7218332750599</v>
      </c>
      <c r="AE1047" s="6">
        <v>0</v>
      </c>
      <c r="AF1047" s="6">
        <v>0</v>
      </c>
      <c r="AG1047" s="6">
        <v>0</v>
      </c>
      <c r="AH1047" s="6">
        <v>0</v>
      </c>
      <c r="AI1047" s="6">
        <v>0</v>
      </c>
      <c r="AJ1047" s="6">
        <v>481637.40237787401</v>
      </c>
      <c r="AK1047" s="6">
        <v>15353.495412513201</v>
      </c>
      <c r="AL1047" s="6">
        <v>330.98244656580999</v>
      </c>
      <c r="AM1047" s="6">
        <v>93035.839999999997</v>
      </c>
      <c r="AN1047" s="6">
        <v>5464.0836697177301</v>
      </c>
      <c r="AO1047" s="6">
        <v>15353.495412513201</v>
      </c>
      <c r="AP1047" s="6">
        <v>330.98244656580999</v>
      </c>
      <c r="AQ1047" s="6">
        <v>56162.493707719797</v>
      </c>
      <c r="AR1047" s="6">
        <v>5464.0836697177301</v>
      </c>
      <c r="AS1047" s="6">
        <v>15353.495412513201</v>
      </c>
      <c r="AT1047" s="6">
        <v>0</v>
      </c>
      <c r="AU1047" t="s">
        <v>2973</v>
      </c>
      <c r="AV1047" t="s">
        <v>2973</v>
      </c>
    </row>
    <row r="1048" spans="1:48" x14ac:dyDescent="0.45">
      <c r="A1048" s="5" t="s">
        <v>2121</v>
      </c>
      <c r="B1048">
        <v>2142</v>
      </c>
      <c r="C1048" t="s">
        <v>2122</v>
      </c>
      <c r="D1048">
        <v>728</v>
      </c>
      <c r="E1048" t="s">
        <v>2123</v>
      </c>
      <c r="F1048" t="s">
        <v>2739</v>
      </c>
      <c r="G1048" t="s">
        <v>2740</v>
      </c>
      <c r="H1048" t="s">
        <v>2741</v>
      </c>
      <c r="I1048" t="s">
        <v>2742</v>
      </c>
      <c r="J1048">
        <v>679.71405337465796</v>
      </c>
      <c r="K1048">
        <v>5</v>
      </c>
      <c r="L1048">
        <v>1</v>
      </c>
      <c r="M1048">
        <v>2</v>
      </c>
      <c r="N1048" s="6">
        <v>4778768.3958452102</v>
      </c>
      <c r="O1048" s="6">
        <v>1493130.78651773</v>
      </c>
      <c r="P1048" s="6">
        <v>1430508.0893915601</v>
      </c>
      <c r="Q1048" s="6">
        <v>210829.68948031301</v>
      </c>
      <c r="R1048" s="6">
        <v>374287.12466302101</v>
      </c>
      <c r="S1048" s="6">
        <v>315920.03757885</v>
      </c>
      <c r="T1048" s="6">
        <v>5057356.5999999996</v>
      </c>
      <c r="U1048" s="6">
        <v>3230167.4858978302</v>
      </c>
      <c r="V1048" s="6">
        <v>7017693.6421662802</v>
      </c>
      <c r="W1048" s="6">
        <v>1085559.1914202101</v>
      </c>
      <c r="X1048" s="6">
        <v>0</v>
      </c>
      <c r="Y1048" s="6">
        <v>0</v>
      </c>
      <c r="Z1048" s="6">
        <v>1654.9069729706</v>
      </c>
      <c r="AA1048" s="6">
        <v>176067.76596143699</v>
      </c>
      <c r="AB1048" s="6">
        <v>6548.5793769209804</v>
      </c>
      <c r="AC1048" s="6">
        <v>262364.12909583998</v>
      </c>
      <c r="AD1048" s="6">
        <v>53555.908483009902</v>
      </c>
      <c r="AE1048" s="6">
        <v>0</v>
      </c>
      <c r="AF1048" s="6">
        <v>0</v>
      </c>
      <c r="AG1048" s="6">
        <v>0</v>
      </c>
      <c r="AH1048" s="6">
        <v>0</v>
      </c>
      <c r="AI1048" s="6">
        <v>0</v>
      </c>
      <c r="AJ1048" s="6">
        <v>8603444.1234766804</v>
      </c>
      <c r="AK1048" s="6">
        <v>12657.4462904837</v>
      </c>
      <c r="AL1048" s="6">
        <v>330.98244656580999</v>
      </c>
      <c r="AM1048" s="6">
        <v>93035.839999999997</v>
      </c>
      <c r="AN1048" s="6">
        <v>5217.0284046224897</v>
      </c>
      <c r="AO1048" s="6">
        <v>25156.486443780901</v>
      </c>
      <c r="AP1048" s="6">
        <v>330.98244656580999</v>
      </c>
      <c r="AQ1048" s="6">
        <v>93035.839999999997</v>
      </c>
      <c r="AR1048" s="6">
        <v>11562.258644801401</v>
      </c>
      <c r="AS1048" s="6">
        <v>17404.903521853601</v>
      </c>
      <c r="AT1048" s="6">
        <v>0</v>
      </c>
      <c r="AU1048" t="s">
        <v>2973</v>
      </c>
      <c r="AV1048" t="s">
        <v>2973</v>
      </c>
    </row>
    <row r="1049" spans="1:48" x14ac:dyDescent="0.45">
      <c r="A1049" s="5" t="s">
        <v>2124</v>
      </c>
      <c r="B1049">
        <v>2142</v>
      </c>
      <c r="C1049" t="s">
        <v>2122</v>
      </c>
      <c r="D1049">
        <v>5066</v>
      </c>
      <c r="E1049" t="s">
        <v>2125</v>
      </c>
      <c r="F1049" t="s">
        <v>2739</v>
      </c>
      <c r="G1049" t="s">
        <v>2740</v>
      </c>
      <c r="H1049" t="s">
        <v>2741</v>
      </c>
      <c r="I1049" t="s">
        <v>2742</v>
      </c>
      <c r="J1049">
        <v>634.52692905792401</v>
      </c>
      <c r="K1049">
        <v>1</v>
      </c>
      <c r="L1049">
        <v>1</v>
      </c>
      <c r="M1049">
        <v>2</v>
      </c>
      <c r="N1049" s="6">
        <v>4676080.7037832001</v>
      </c>
      <c r="O1049" s="6">
        <v>1221475.4834246601</v>
      </c>
      <c r="P1049" s="6">
        <v>1334507.4087088299</v>
      </c>
      <c r="Q1049" s="6">
        <v>196813.814214963</v>
      </c>
      <c r="R1049" s="6">
        <v>346965.425170829</v>
      </c>
      <c r="S1049" s="6">
        <v>294917.79709059303</v>
      </c>
      <c r="T1049" s="6">
        <v>4760415.62</v>
      </c>
      <c r="U1049" s="6">
        <v>3015427.2153024701</v>
      </c>
      <c r="V1049" s="6">
        <v>6622366.4242061703</v>
      </c>
      <c r="W1049" s="6">
        <v>983894.67743071204</v>
      </c>
      <c r="X1049" s="6">
        <v>0</v>
      </c>
      <c r="Y1049" s="6">
        <v>0</v>
      </c>
      <c r="Z1049" s="6">
        <v>1544.8894049227099</v>
      </c>
      <c r="AA1049" s="6">
        <v>164362.84977032899</v>
      </c>
      <c r="AB1049" s="6">
        <v>3673.9944903437899</v>
      </c>
      <c r="AC1049" s="6">
        <v>244922.26444872099</v>
      </c>
      <c r="AD1049" s="6">
        <v>49995.532641871498</v>
      </c>
      <c r="AE1049" s="6">
        <v>0</v>
      </c>
      <c r="AF1049" s="6">
        <v>0</v>
      </c>
      <c r="AG1049" s="6">
        <v>0</v>
      </c>
      <c r="AH1049" s="6">
        <v>0</v>
      </c>
      <c r="AI1049" s="6">
        <v>0</v>
      </c>
      <c r="AJ1049" s="6">
        <v>8070760.6323930696</v>
      </c>
      <c r="AK1049" s="6">
        <v>12719.3350869689</v>
      </c>
      <c r="AL1049" s="6">
        <v>330.98244656580999</v>
      </c>
      <c r="AM1049" s="6">
        <v>93035.839999999997</v>
      </c>
      <c r="AN1049" s="6">
        <v>5217.0284046224897</v>
      </c>
      <c r="AO1049" s="6">
        <v>25156.486443780901</v>
      </c>
      <c r="AP1049" s="6">
        <v>330.98244656580999</v>
      </c>
      <c r="AQ1049" s="6">
        <v>93035.839999999997</v>
      </c>
      <c r="AR1049" s="6">
        <v>11562.258644801401</v>
      </c>
      <c r="AS1049" s="6">
        <v>17404.903521853601</v>
      </c>
      <c r="AT1049" s="6">
        <v>0</v>
      </c>
      <c r="AU1049" t="s">
        <v>2973</v>
      </c>
      <c r="AV1049" t="s">
        <v>2973</v>
      </c>
    </row>
    <row r="1050" spans="1:48" x14ac:dyDescent="0.45">
      <c r="A1050" s="5" t="s">
        <v>2126</v>
      </c>
      <c r="B1050">
        <v>2142</v>
      </c>
      <c r="C1050" t="s">
        <v>2122</v>
      </c>
      <c r="D1050">
        <v>731</v>
      </c>
      <c r="E1050" t="s">
        <v>2127</v>
      </c>
      <c r="F1050" t="s">
        <v>2739</v>
      </c>
      <c r="G1050" t="s">
        <v>2740</v>
      </c>
      <c r="H1050" t="s">
        <v>2741</v>
      </c>
      <c r="I1050" t="s">
        <v>2742</v>
      </c>
      <c r="J1050">
        <v>280.997301644873</v>
      </c>
      <c r="K1050">
        <v>1</v>
      </c>
      <c r="L1050">
        <v>2</v>
      </c>
      <c r="M1050">
        <v>2</v>
      </c>
      <c r="N1050" s="6">
        <v>2783038.1459601498</v>
      </c>
      <c r="O1050" s="6">
        <v>833665.20113698998</v>
      </c>
      <c r="P1050" s="6">
        <v>592872.14521508396</v>
      </c>
      <c r="Q1050" s="6">
        <v>87158.082956304701</v>
      </c>
      <c r="R1050" s="6">
        <v>152264.063188862</v>
      </c>
      <c r="S1050" s="6">
        <v>130602.975846186</v>
      </c>
      <c r="T1050" s="6">
        <v>3113629.71</v>
      </c>
      <c r="U1050" s="6">
        <v>1335367.9284573901</v>
      </c>
      <c r="V1050" s="6">
        <v>3955031.2247466501</v>
      </c>
      <c r="W1050" s="6">
        <v>420255.89393536298</v>
      </c>
      <c r="X1050" s="6">
        <v>0</v>
      </c>
      <c r="Y1050" s="6">
        <v>0</v>
      </c>
      <c r="Z1050" s="6">
        <v>684.14709328027197</v>
      </c>
      <c r="AA1050" s="6">
        <v>72787.324163995901</v>
      </c>
      <c r="AB1050" s="6">
        <v>239.04851810061899</v>
      </c>
      <c r="AC1050" s="6">
        <v>108462.686564024</v>
      </c>
      <c r="AD1050" s="6">
        <v>22140.289282161601</v>
      </c>
      <c r="AE1050" s="6">
        <v>0</v>
      </c>
      <c r="AF1050" s="6">
        <v>0</v>
      </c>
      <c r="AG1050" s="6">
        <v>0</v>
      </c>
      <c r="AH1050" s="6">
        <v>0</v>
      </c>
      <c r="AI1050" s="6">
        <v>0</v>
      </c>
      <c r="AJ1050" s="6">
        <v>4579600.6143035702</v>
      </c>
      <c r="AK1050" s="6">
        <v>16297.667584336201</v>
      </c>
      <c r="AL1050" s="6">
        <v>330.98244656580999</v>
      </c>
      <c r="AM1050" s="6">
        <v>93035.839999999997</v>
      </c>
      <c r="AN1050" s="6">
        <v>5217.0284046224897</v>
      </c>
      <c r="AO1050" s="6">
        <v>25156.486443780901</v>
      </c>
      <c r="AP1050" s="6">
        <v>330.98244656580999</v>
      </c>
      <c r="AQ1050" s="6">
        <v>93035.839999999997</v>
      </c>
      <c r="AR1050" s="6">
        <v>11562.258644801401</v>
      </c>
      <c r="AS1050" s="6">
        <v>17404.903521853601</v>
      </c>
      <c r="AT1050" s="6">
        <v>0</v>
      </c>
      <c r="AU1050" t="s">
        <v>2973</v>
      </c>
      <c r="AV1050" t="s">
        <v>2973</v>
      </c>
    </row>
    <row r="1051" spans="1:48" x14ac:dyDescent="0.45">
      <c r="A1051" s="5" t="s">
        <v>2128</v>
      </c>
      <c r="B1051">
        <v>2142</v>
      </c>
      <c r="C1051" t="s">
        <v>2122</v>
      </c>
      <c r="D1051">
        <v>732</v>
      </c>
      <c r="E1051" t="s">
        <v>2129</v>
      </c>
      <c r="F1051" t="s">
        <v>2739</v>
      </c>
      <c r="G1051" t="s">
        <v>2740</v>
      </c>
      <c r="H1051" t="s">
        <v>2741</v>
      </c>
      <c r="I1051" t="s">
        <v>2742</v>
      </c>
      <c r="J1051">
        <v>310.98077918232701</v>
      </c>
      <c r="K1051">
        <v>4</v>
      </c>
      <c r="L1051">
        <v>2</v>
      </c>
      <c r="M1051">
        <v>2</v>
      </c>
      <c r="N1051" s="6">
        <v>3059517.2906067302</v>
      </c>
      <c r="O1051" s="6">
        <v>851582.17474062601</v>
      </c>
      <c r="P1051" s="6">
        <v>656593.00532204402</v>
      </c>
      <c r="Q1051" s="6">
        <v>96458.180883332607</v>
      </c>
      <c r="R1051" s="6">
        <v>168690.668159391</v>
      </c>
      <c r="S1051" s="6">
        <v>144538.80857371099</v>
      </c>
      <c r="T1051" s="6">
        <v>3354984.57</v>
      </c>
      <c r="U1051" s="6">
        <v>1477856.74971212</v>
      </c>
      <c r="V1051" s="6">
        <v>4268911.0705892202</v>
      </c>
      <c r="W1051" s="6">
        <v>482175.08530913701</v>
      </c>
      <c r="X1051" s="6">
        <v>0</v>
      </c>
      <c r="Y1051" s="6">
        <v>0</v>
      </c>
      <c r="Z1051" s="6">
        <v>757.14818220036398</v>
      </c>
      <c r="AA1051" s="6">
        <v>80554.007638560797</v>
      </c>
      <c r="AB1051" s="6">
        <v>444.00799299870698</v>
      </c>
      <c r="AC1051" s="6">
        <v>120036.066476243</v>
      </c>
      <c r="AD1051" s="6">
        <v>24502.742097467999</v>
      </c>
      <c r="AE1051" s="6">
        <v>0</v>
      </c>
      <c r="AF1051" s="6">
        <v>0</v>
      </c>
      <c r="AG1051" s="6">
        <v>0</v>
      </c>
      <c r="AH1051" s="6">
        <v>0</v>
      </c>
      <c r="AI1051" s="6">
        <v>0</v>
      </c>
      <c r="AJ1051" s="6">
        <v>4977380.1282858402</v>
      </c>
      <c r="AK1051" s="6">
        <v>16005.4268992863</v>
      </c>
      <c r="AL1051" s="6">
        <v>330.98244656580999</v>
      </c>
      <c r="AM1051" s="6">
        <v>93035.839999999997</v>
      </c>
      <c r="AN1051" s="6">
        <v>5217.0284046224897</v>
      </c>
      <c r="AO1051" s="6">
        <v>25156.486443780901</v>
      </c>
      <c r="AP1051" s="6">
        <v>330.98244656580999</v>
      </c>
      <c r="AQ1051" s="6">
        <v>93035.839999999997</v>
      </c>
      <c r="AR1051" s="6">
        <v>11562.258644801401</v>
      </c>
      <c r="AS1051" s="6">
        <v>17404.903521853601</v>
      </c>
      <c r="AT1051" s="6">
        <v>0</v>
      </c>
      <c r="AU1051" t="s">
        <v>2973</v>
      </c>
      <c r="AV1051" t="s">
        <v>2973</v>
      </c>
    </row>
    <row r="1052" spans="1:48" x14ac:dyDescent="0.45">
      <c r="A1052" s="5" t="s">
        <v>2130</v>
      </c>
      <c r="B1052">
        <v>2142</v>
      </c>
      <c r="C1052" t="s">
        <v>2122</v>
      </c>
      <c r="D1052">
        <v>733</v>
      </c>
      <c r="E1052" t="s">
        <v>2131</v>
      </c>
      <c r="F1052" t="s">
        <v>2739</v>
      </c>
      <c r="G1052" t="s">
        <v>2740</v>
      </c>
      <c r="H1052" t="s">
        <v>2741</v>
      </c>
      <c r="I1052" t="s">
        <v>2742</v>
      </c>
      <c r="J1052">
        <v>335.84497671321202</v>
      </c>
      <c r="K1052">
        <v>1</v>
      </c>
      <c r="L1052">
        <v>1</v>
      </c>
      <c r="M1052">
        <v>2</v>
      </c>
      <c r="N1052" s="6">
        <v>2507774.1744491602</v>
      </c>
      <c r="O1052" s="6">
        <v>857687.96269571898</v>
      </c>
      <c r="P1052" s="6">
        <v>707092.825846461</v>
      </c>
      <c r="Q1052" s="6">
        <v>104170.41078146</v>
      </c>
      <c r="R1052" s="6">
        <v>182010.05607895899</v>
      </c>
      <c r="S1052" s="6">
        <v>156095.28321084101</v>
      </c>
      <c r="T1052" s="6">
        <v>2762717.93</v>
      </c>
      <c r="U1052" s="6">
        <v>1596017.49985177</v>
      </c>
      <c r="V1052" s="6">
        <v>3754470.74724901</v>
      </c>
      <c r="W1052" s="6">
        <v>516140.98345323303</v>
      </c>
      <c r="X1052" s="6">
        <v>0</v>
      </c>
      <c r="Y1052" s="6">
        <v>0</v>
      </c>
      <c r="Z1052" s="6">
        <v>817.68530610840696</v>
      </c>
      <c r="AA1052" s="6">
        <v>86994.633207433304</v>
      </c>
      <c r="AB1052" s="6">
        <v>311.38063596962701</v>
      </c>
      <c r="AC1052" s="6">
        <v>129633.445695445</v>
      </c>
      <c r="AD1052" s="6">
        <v>26461.837515396001</v>
      </c>
      <c r="AE1052" s="6">
        <v>0</v>
      </c>
      <c r="AF1052" s="6">
        <v>0</v>
      </c>
      <c r="AG1052" s="6">
        <v>0</v>
      </c>
      <c r="AH1052" s="6">
        <v>0</v>
      </c>
      <c r="AI1052" s="6">
        <v>0</v>
      </c>
      <c r="AJ1052" s="6">
        <v>4514830.7130626002</v>
      </c>
      <c r="AK1052" s="6">
        <v>13443.198577056401</v>
      </c>
      <c r="AL1052" s="6">
        <v>330.98244656580999</v>
      </c>
      <c r="AM1052" s="6">
        <v>93035.839999999997</v>
      </c>
      <c r="AN1052" s="6">
        <v>5217.0284046224897</v>
      </c>
      <c r="AO1052" s="6">
        <v>25156.486443780901</v>
      </c>
      <c r="AP1052" s="6">
        <v>330.98244656580999</v>
      </c>
      <c r="AQ1052" s="6">
        <v>93035.839999999997</v>
      </c>
      <c r="AR1052" s="6">
        <v>11562.258644801401</v>
      </c>
      <c r="AS1052" s="6">
        <v>17404.903521853601</v>
      </c>
      <c r="AT1052" s="6">
        <v>0</v>
      </c>
      <c r="AU1052" t="s">
        <v>2973</v>
      </c>
      <c r="AV1052" t="s">
        <v>2973</v>
      </c>
    </row>
    <row r="1053" spans="1:48" x14ac:dyDescent="0.45">
      <c r="A1053" s="5" t="s">
        <v>2979</v>
      </c>
      <c r="B1053">
        <v>2142</v>
      </c>
      <c r="C1053" t="s">
        <v>2122</v>
      </c>
      <c r="D1053">
        <v>5064</v>
      </c>
      <c r="E1053" t="s">
        <v>2980</v>
      </c>
      <c r="F1053" t="s">
        <v>2739</v>
      </c>
      <c r="G1053" t="s">
        <v>2740</v>
      </c>
      <c r="H1053" t="s">
        <v>2741</v>
      </c>
      <c r="I1053" t="s">
        <v>2742</v>
      </c>
      <c r="J1053">
        <v>581.44126561683504</v>
      </c>
      <c r="K1053">
        <v>5</v>
      </c>
      <c r="L1053">
        <v>1</v>
      </c>
      <c r="M1053">
        <v>2</v>
      </c>
      <c r="N1053" s="6">
        <v>4146452.3589441599</v>
      </c>
      <c r="O1053" s="6">
        <v>1166920.25590838</v>
      </c>
      <c r="P1053" s="6">
        <v>1225019.27121605</v>
      </c>
      <c r="Q1053" s="6">
        <v>180348.016746785</v>
      </c>
      <c r="R1053" s="6">
        <v>316900.37145323399</v>
      </c>
      <c r="S1053" s="6">
        <v>270244.44407406601</v>
      </c>
      <c r="T1053" s="6">
        <v>4272489.12</v>
      </c>
      <c r="U1053" s="6">
        <v>2763151.1542686098</v>
      </c>
      <c r="V1053" s="6">
        <v>5909224.92264234</v>
      </c>
      <c r="W1053" s="6">
        <v>972058.43320144899</v>
      </c>
      <c r="X1053" s="6">
        <v>0</v>
      </c>
      <c r="Y1053" s="6">
        <v>0</v>
      </c>
      <c r="Z1053" s="6">
        <v>1415.6411803829101</v>
      </c>
      <c r="AA1053" s="6">
        <v>150611.958317888</v>
      </c>
      <c r="AB1053" s="6">
        <v>2329.3189265514902</v>
      </c>
      <c r="AC1053" s="6">
        <v>224431.62755950601</v>
      </c>
      <c r="AD1053" s="6">
        <v>45812.816514559403</v>
      </c>
      <c r="AE1053" s="6">
        <v>0</v>
      </c>
      <c r="AF1053" s="6">
        <v>0</v>
      </c>
      <c r="AG1053" s="6">
        <v>0</v>
      </c>
      <c r="AH1053" s="6">
        <v>0</v>
      </c>
      <c r="AI1053" s="6">
        <v>0</v>
      </c>
      <c r="AJ1053" s="6">
        <v>7305884.7183426702</v>
      </c>
      <c r="AK1053" s="6">
        <v>12565.129361075</v>
      </c>
      <c r="AL1053" s="6">
        <v>330.98244656580999</v>
      </c>
      <c r="AM1053" s="6">
        <v>93035.839999999997</v>
      </c>
      <c r="AN1053" s="6">
        <v>5217.0284046224897</v>
      </c>
      <c r="AO1053" s="6">
        <v>25156.486443780901</v>
      </c>
      <c r="AP1053" s="6">
        <v>330.98244656580999</v>
      </c>
      <c r="AQ1053" s="6">
        <v>93035.839999999997</v>
      </c>
      <c r="AR1053" s="6">
        <v>11562.258644801401</v>
      </c>
      <c r="AS1053" s="6">
        <v>17404.903521853601</v>
      </c>
      <c r="AT1053" s="6">
        <v>0</v>
      </c>
      <c r="AU1053" t="s">
        <v>2973</v>
      </c>
      <c r="AV1053" t="s">
        <v>2973</v>
      </c>
    </row>
    <row r="1054" spans="1:48" x14ac:dyDescent="0.45">
      <c r="A1054" s="5" t="s">
        <v>2132</v>
      </c>
      <c r="B1054">
        <v>2142</v>
      </c>
      <c r="C1054" t="s">
        <v>2122</v>
      </c>
      <c r="D1054">
        <v>1244</v>
      </c>
      <c r="E1054" t="s">
        <v>2133</v>
      </c>
      <c r="F1054" t="s">
        <v>2739</v>
      </c>
      <c r="G1054" t="s">
        <v>2740</v>
      </c>
      <c r="H1054" t="s">
        <v>2741</v>
      </c>
      <c r="I1054" t="s">
        <v>2742</v>
      </c>
      <c r="J1054">
        <v>388.53339617058401</v>
      </c>
      <c r="K1054">
        <v>1</v>
      </c>
      <c r="L1054">
        <v>2</v>
      </c>
      <c r="M1054">
        <v>2</v>
      </c>
      <c r="N1054" s="6">
        <v>3340288.9340557102</v>
      </c>
      <c r="O1054" s="6">
        <v>947684.45944887202</v>
      </c>
      <c r="P1054" s="6">
        <v>819483.15522048401</v>
      </c>
      <c r="Q1054" s="6">
        <v>120512.993457595</v>
      </c>
      <c r="R1054" s="6">
        <v>210898.208099457</v>
      </c>
      <c r="S1054" s="6">
        <v>180584.003684255</v>
      </c>
      <c r="T1054" s="6">
        <v>3592461.99</v>
      </c>
      <c r="U1054" s="6">
        <v>1846405.76028212</v>
      </c>
      <c r="V1054" s="6">
        <v>4739905.2392615397</v>
      </c>
      <c r="W1054" s="6">
        <v>596679.84771467105</v>
      </c>
      <c r="X1054" s="6">
        <v>0</v>
      </c>
      <c r="Y1054" s="6">
        <v>0</v>
      </c>
      <c r="Z1054" s="6">
        <v>945.96635653233102</v>
      </c>
      <c r="AA1054" s="6">
        <v>100642.625712283</v>
      </c>
      <c r="AB1054" s="6">
        <v>694.07123709353198</v>
      </c>
      <c r="AC1054" s="6">
        <v>149970.749618673</v>
      </c>
      <c r="AD1054" s="6">
        <v>30613.254065581801</v>
      </c>
      <c r="AE1054" s="6">
        <v>0</v>
      </c>
      <c r="AF1054" s="6">
        <v>0</v>
      </c>
      <c r="AG1054" s="6">
        <v>0</v>
      </c>
      <c r="AH1054" s="6">
        <v>0</v>
      </c>
      <c r="AI1054" s="6">
        <v>0</v>
      </c>
      <c r="AJ1054" s="6">
        <v>5619451.7539663697</v>
      </c>
      <c r="AK1054" s="6">
        <v>14463.2399926291</v>
      </c>
      <c r="AL1054" s="6">
        <v>330.98244656580999</v>
      </c>
      <c r="AM1054" s="6">
        <v>93035.839999999997</v>
      </c>
      <c r="AN1054" s="6">
        <v>5217.0284046224897</v>
      </c>
      <c r="AO1054" s="6">
        <v>25156.486443780901</v>
      </c>
      <c r="AP1054" s="6">
        <v>330.98244656580999</v>
      </c>
      <c r="AQ1054" s="6">
        <v>93035.839999999997</v>
      </c>
      <c r="AR1054" s="6">
        <v>11562.258644801401</v>
      </c>
      <c r="AS1054" s="6">
        <v>17404.903521853601</v>
      </c>
      <c r="AT1054" s="6">
        <v>0</v>
      </c>
      <c r="AU1054" t="s">
        <v>2973</v>
      </c>
      <c r="AV1054" t="s">
        <v>2973</v>
      </c>
    </row>
    <row r="1055" spans="1:48" x14ac:dyDescent="0.45">
      <c r="A1055" s="5" t="s">
        <v>2134</v>
      </c>
      <c r="B1055">
        <v>2142</v>
      </c>
      <c r="C1055" t="s">
        <v>2122</v>
      </c>
      <c r="D1055">
        <v>3373</v>
      </c>
      <c r="E1055" t="s">
        <v>2135</v>
      </c>
      <c r="F1055" t="s">
        <v>2739</v>
      </c>
      <c r="G1055" t="s">
        <v>2747</v>
      </c>
      <c r="H1055" t="s">
        <v>2741</v>
      </c>
      <c r="I1055" t="s">
        <v>2742</v>
      </c>
      <c r="J1055">
        <v>981.20704353317603</v>
      </c>
      <c r="K1055">
        <v>2</v>
      </c>
      <c r="L1055">
        <v>1</v>
      </c>
      <c r="M1055">
        <v>2</v>
      </c>
      <c r="N1055" s="6">
        <v>6387637.6792696305</v>
      </c>
      <c r="O1055" s="6">
        <v>2428094.1596893501</v>
      </c>
      <c r="P1055" s="6">
        <v>2062965.0244162499</v>
      </c>
      <c r="Q1055" s="6">
        <v>304345.00401593198</v>
      </c>
      <c r="R1055" s="6">
        <v>533258.54341950698</v>
      </c>
      <c r="S1055" s="6">
        <v>456049.07611755701</v>
      </c>
      <c r="T1055" s="6">
        <v>7053364.4699999997</v>
      </c>
      <c r="U1055" s="6">
        <v>4662935.9408106804</v>
      </c>
      <c r="V1055" s="6">
        <v>9778999.7222199105</v>
      </c>
      <c r="W1055" s="6">
        <v>1678341.1851997999</v>
      </c>
      <c r="X1055" s="6">
        <v>0</v>
      </c>
      <c r="Y1055" s="6">
        <v>0</v>
      </c>
      <c r="Z1055" s="6">
        <v>2388.95513519106</v>
      </c>
      <c r="AA1055" s="6">
        <v>254164.13158267899</v>
      </c>
      <c r="AB1055" s="6">
        <v>2406.4166730892498</v>
      </c>
      <c r="AC1055" s="6">
        <v>378737.98571792699</v>
      </c>
      <c r="AD1055" s="6">
        <v>77311.090399630499</v>
      </c>
      <c r="AE1055" s="6">
        <v>0</v>
      </c>
      <c r="AF1055" s="6">
        <v>0</v>
      </c>
      <c r="AG1055" s="6">
        <v>0</v>
      </c>
      <c r="AH1055" s="6">
        <v>0</v>
      </c>
      <c r="AI1055" s="6">
        <v>0</v>
      </c>
      <c r="AJ1055" s="6">
        <v>12172349.4869282</v>
      </c>
      <c r="AK1055" s="6">
        <v>12405.485230820899</v>
      </c>
      <c r="AL1055" s="6">
        <v>330.98244656580999</v>
      </c>
      <c r="AM1055" s="6">
        <v>93035.839999999997</v>
      </c>
      <c r="AN1055" s="6">
        <v>5217.0284046224897</v>
      </c>
      <c r="AO1055" s="6">
        <v>25156.486443780901</v>
      </c>
      <c r="AP1055" s="6">
        <v>3753.1860850462999</v>
      </c>
      <c r="AQ1055" s="6">
        <v>20687.885194392002</v>
      </c>
      <c r="AR1055" s="6">
        <v>8191.44180345933</v>
      </c>
      <c r="AS1055" s="6">
        <v>13668.6590114398</v>
      </c>
      <c r="AT1055" s="6">
        <v>0</v>
      </c>
      <c r="AU1055" t="s">
        <v>2973</v>
      </c>
      <c r="AV1055" t="s">
        <v>2973</v>
      </c>
    </row>
    <row r="1056" spans="1:48" x14ac:dyDescent="0.45">
      <c r="A1056" s="5" t="s">
        <v>2136</v>
      </c>
      <c r="B1056">
        <v>2142</v>
      </c>
      <c r="C1056" t="s">
        <v>2122</v>
      </c>
      <c r="D1056">
        <v>734</v>
      </c>
      <c r="E1056" t="s">
        <v>289</v>
      </c>
      <c r="F1056" t="s">
        <v>2739</v>
      </c>
      <c r="G1056" t="s">
        <v>2740</v>
      </c>
      <c r="H1056" t="s">
        <v>2741</v>
      </c>
      <c r="I1056" t="s">
        <v>2742</v>
      </c>
      <c r="J1056">
        <v>401.97685961407501</v>
      </c>
      <c r="K1056">
        <v>1</v>
      </c>
      <c r="L1056">
        <v>1</v>
      </c>
      <c r="M1056">
        <v>2</v>
      </c>
      <c r="N1056" s="6">
        <v>2947816.2259091302</v>
      </c>
      <c r="O1056" s="6">
        <v>903737.58731158695</v>
      </c>
      <c r="P1056" s="6">
        <v>847017.75328492594</v>
      </c>
      <c r="Q1056" s="6">
        <v>124682.807527585</v>
      </c>
      <c r="R1056" s="6">
        <v>218692.88371734499</v>
      </c>
      <c r="S1056" s="6">
        <v>186832.306856996</v>
      </c>
      <c r="T1056" s="6">
        <v>3131654.87</v>
      </c>
      <c r="U1056" s="6">
        <v>1910292.38775058</v>
      </c>
      <c r="V1056" s="6">
        <v>4312270.6909140497</v>
      </c>
      <c r="W1056" s="6">
        <v>623357.38389164</v>
      </c>
      <c r="X1056" s="6">
        <v>0</v>
      </c>
      <c r="Y1056" s="6">
        <v>0</v>
      </c>
      <c r="Z1056" s="6">
        <v>978.69729873229596</v>
      </c>
      <c r="AA1056" s="6">
        <v>104124.914424027</v>
      </c>
      <c r="AB1056" s="6">
        <v>1215.57122212183</v>
      </c>
      <c r="AC1056" s="6">
        <v>155159.81781708999</v>
      </c>
      <c r="AD1056" s="6">
        <v>31672.489039906301</v>
      </c>
      <c r="AE1056" s="6">
        <v>0</v>
      </c>
      <c r="AF1056" s="6">
        <v>0</v>
      </c>
      <c r="AG1056" s="6">
        <v>0</v>
      </c>
      <c r="AH1056" s="6">
        <v>0</v>
      </c>
      <c r="AI1056" s="6">
        <v>0</v>
      </c>
      <c r="AJ1056" s="6">
        <v>5228779.5646075597</v>
      </c>
      <c r="AK1056" s="6">
        <v>13007.663101870001</v>
      </c>
      <c r="AL1056" s="6">
        <v>330.98244656580999</v>
      </c>
      <c r="AM1056" s="6">
        <v>93035.839999999997</v>
      </c>
      <c r="AN1056" s="6">
        <v>5217.0284046224897</v>
      </c>
      <c r="AO1056" s="6">
        <v>25156.486443780901</v>
      </c>
      <c r="AP1056" s="6">
        <v>330.98244656580999</v>
      </c>
      <c r="AQ1056" s="6">
        <v>93035.839999999997</v>
      </c>
      <c r="AR1056" s="6">
        <v>11562.258644801401</v>
      </c>
      <c r="AS1056" s="6">
        <v>17404.903521853601</v>
      </c>
      <c r="AT1056" s="6">
        <v>0</v>
      </c>
      <c r="AU1056" t="s">
        <v>2973</v>
      </c>
      <c r="AV1056" t="s">
        <v>2973</v>
      </c>
    </row>
    <row r="1057" spans="1:48" x14ac:dyDescent="0.45">
      <c r="A1057" s="5" t="s">
        <v>2137</v>
      </c>
      <c r="B1057">
        <v>2142</v>
      </c>
      <c r="C1057" t="s">
        <v>2122</v>
      </c>
      <c r="D1057">
        <v>1329</v>
      </c>
      <c r="E1057" t="s">
        <v>2138</v>
      </c>
      <c r="F1057" t="s">
        <v>2739</v>
      </c>
      <c r="G1057" t="s">
        <v>2747</v>
      </c>
      <c r="H1057" t="s">
        <v>2741</v>
      </c>
      <c r="I1057" t="s">
        <v>2742</v>
      </c>
      <c r="J1057">
        <v>851.962012780804</v>
      </c>
      <c r="K1057">
        <v>1</v>
      </c>
      <c r="L1057">
        <v>1</v>
      </c>
      <c r="M1057">
        <v>2</v>
      </c>
      <c r="N1057" s="6">
        <v>5566871.2220682995</v>
      </c>
      <c r="O1057" s="6">
        <v>2124166.08653265</v>
      </c>
      <c r="P1057" s="6">
        <v>1790359.3058912801</v>
      </c>
      <c r="Q1057" s="6">
        <v>264256.54392729502</v>
      </c>
      <c r="R1057" s="6">
        <v>462292.37413584301</v>
      </c>
      <c r="S1057" s="6">
        <v>395978.08778143302</v>
      </c>
      <c r="T1057" s="6">
        <v>6159213.5999999996</v>
      </c>
      <c r="U1057" s="6">
        <v>4048731.93255537</v>
      </c>
      <c r="V1057" s="6">
        <v>8485532.9198372792</v>
      </c>
      <c r="W1057" s="6">
        <v>1498288.48634072</v>
      </c>
      <c r="X1057" s="6">
        <v>0</v>
      </c>
      <c r="Y1057" s="6">
        <v>0</v>
      </c>
      <c r="Z1057" s="6">
        <v>2074.2808959988902</v>
      </c>
      <c r="AA1057" s="6">
        <v>220685.518461164</v>
      </c>
      <c r="AB1057" s="6">
        <v>1364.32702021164</v>
      </c>
      <c r="AC1057" s="6">
        <v>328850.44879713299</v>
      </c>
      <c r="AD1057" s="6">
        <v>67127.638984300604</v>
      </c>
      <c r="AE1057" s="6">
        <v>0</v>
      </c>
      <c r="AF1057" s="6">
        <v>0</v>
      </c>
      <c r="AG1057" s="6">
        <v>0</v>
      </c>
      <c r="AH1057" s="6">
        <v>0</v>
      </c>
      <c r="AI1057" s="6">
        <v>0</v>
      </c>
      <c r="AJ1057" s="6">
        <v>10603923.620336801</v>
      </c>
      <c r="AK1057" s="6">
        <v>12446.474679928</v>
      </c>
      <c r="AL1057" s="6">
        <v>330.98244656580999</v>
      </c>
      <c r="AM1057" s="6">
        <v>93035.839999999997</v>
      </c>
      <c r="AN1057" s="6">
        <v>5217.0284046224897</v>
      </c>
      <c r="AO1057" s="6">
        <v>25156.486443780901</v>
      </c>
      <c r="AP1057" s="6">
        <v>3753.1860850462999</v>
      </c>
      <c r="AQ1057" s="6">
        <v>20687.885194392002</v>
      </c>
      <c r="AR1057" s="6">
        <v>8191.44180345933</v>
      </c>
      <c r="AS1057" s="6">
        <v>13668.6590114398</v>
      </c>
      <c r="AT1057" s="6">
        <v>0</v>
      </c>
      <c r="AU1057" t="s">
        <v>2973</v>
      </c>
      <c r="AV1057" t="s">
        <v>2973</v>
      </c>
    </row>
    <row r="1058" spans="1:48" x14ac:dyDescent="0.45">
      <c r="A1058" s="5" t="s">
        <v>2139</v>
      </c>
      <c r="B1058">
        <v>2142</v>
      </c>
      <c r="C1058" t="s">
        <v>2122</v>
      </c>
      <c r="D1058">
        <v>735</v>
      </c>
      <c r="E1058" t="s">
        <v>2140</v>
      </c>
      <c r="F1058" t="s">
        <v>2739</v>
      </c>
      <c r="G1058" t="s">
        <v>2740</v>
      </c>
      <c r="H1058" t="s">
        <v>2741</v>
      </c>
      <c r="I1058" t="s">
        <v>2742</v>
      </c>
      <c r="J1058">
        <v>416.77252901599599</v>
      </c>
      <c r="K1058">
        <v>1</v>
      </c>
      <c r="L1058">
        <v>1</v>
      </c>
      <c r="M1058">
        <v>2</v>
      </c>
      <c r="N1058" s="6">
        <v>3411597.5709883799</v>
      </c>
      <c r="O1058" s="6">
        <v>888493.95938247105</v>
      </c>
      <c r="P1058" s="6">
        <v>877573.56460287003</v>
      </c>
      <c r="Q1058" s="6">
        <v>129272.040853236</v>
      </c>
      <c r="R1058" s="6">
        <v>252826.59294803601</v>
      </c>
      <c r="S1058" s="6">
        <v>193709.09336781199</v>
      </c>
      <c r="T1058" s="6">
        <v>3579158.7</v>
      </c>
      <c r="U1058" s="6">
        <v>1980605.02877499</v>
      </c>
      <c r="V1058" s="6">
        <v>4745990.8355994802</v>
      </c>
      <c r="W1058" s="6">
        <v>677456.16975278</v>
      </c>
      <c r="X1058" s="6">
        <v>0</v>
      </c>
      <c r="Y1058" s="6">
        <v>0</v>
      </c>
      <c r="Z1058" s="6">
        <v>1014.72047103753</v>
      </c>
      <c r="AA1058" s="6">
        <v>107957.467899369</v>
      </c>
      <c r="AB1058" s="6">
        <v>27344.535052326799</v>
      </c>
      <c r="AC1058" s="6">
        <v>160870.826582838</v>
      </c>
      <c r="AD1058" s="6">
        <v>32838.266784974301</v>
      </c>
      <c r="AE1058" s="6">
        <v>0</v>
      </c>
      <c r="AF1058" s="6">
        <v>0</v>
      </c>
      <c r="AG1058" s="6">
        <v>0</v>
      </c>
      <c r="AH1058" s="6">
        <v>0</v>
      </c>
      <c r="AI1058" s="6">
        <v>0</v>
      </c>
      <c r="AJ1058" s="6">
        <v>5753472.8221428003</v>
      </c>
      <c r="AK1058" s="6">
        <v>13804.8273856408</v>
      </c>
      <c r="AL1058" s="6">
        <v>330.98244656580999</v>
      </c>
      <c r="AM1058" s="6">
        <v>93035.839999999997</v>
      </c>
      <c r="AN1058" s="6">
        <v>5217.0284046224897</v>
      </c>
      <c r="AO1058" s="6">
        <v>25156.486443780901</v>
      </c>
      <c r="AP1058" s="6">
        <v>330.98244656580999</v>
      </c>
      <c r="AQ1058" s="6">
        <v>93035.839999999997</v>
      </c>
      <c r="AR1058" s="6">
        <v>11562.258644801401</v>
      </c>
      <c r="AS1058" s="6">
        <v>17404.903521853601</v>
      </c>
      <c r="AT1058" s="6">
        <v>0</v>
      </c>
      <c r="AU1058" t="s">
        <v>2973</v>
      </c>
      <c r="AV1058" t="s">
        <v>2973</v>
      </c>
    </row>
    <row r="1059" spans="1:48" x14ac:dyDescent="0.45">
      <c r="A1059" s="5" t="s">
        <v>2141</v>
      </c>
      <c r="B1059">
        <v>2142</v>
      </c>
      <c r="C1059" t="s">
        <v>2122</v>
      </c>
      <c r="D1059">
        <v>4589</v>
      </c>
      <c r="E1059" t="s">
        <v>2142</v>
      </c>
      <c r="F1059" t="s">
        <v>2750</v>
      </c>
      <c r="G1059" t="s">
        <v>2744</v>
      </c>
      <c r="H1059" t="s">
        <v>2745</v>
      </c>
      <c r="I1059" t="s">
        <v>2742</v>
      </c>
      <c r="J1059">
        <v>195.83394605467501</v>
      </c>
      <c r="K1059">
        <v>1</v>
      </c>
      <c r="L1059">
        <v>1</v>
      </c>
      <c r="M1059">
        <v>2</v>
      </c>
      <c r="N1059" s="6">
        <v>2747858.56617179</v>
      </c>
      <c r="O1059" s="6">
        <v>1157190.37269849</v>
      </c>
      <c r="P1059" s="6">
        <v>410572.318444876</v>
      </c>
      <c r="Q1059" s="6">
        <v>60742.616444997802</v>
      </c>
      <c r="R1059" s="6">
        <v>459109.70218680502</v>
      </c>
      <c r="S1059" s="6">
        <v>91020.433209589493</v>
      </c>
      <c r="T1059" s="6">
        <v>3904822.75</v>
      </c>
      <c r="U1059" s="6">
        <v>930650.82594695897</v>
      </c>
      <c r="V1059" s="6">
        <v>4370149.6220257496</v>
      </c>
      <c r="W1059" s="6">
        <v>412707.15247150097</v>
      </c>
      <c r="X1059" s="6">
        <v>0</v>
      </c>
      <c r="Y1059" s="6">
        <v>0</v>
      </c>
      <c r="Z1059" s="6">
        <v>476.79897342301098</v>
      </c>
      <c r="AA1059" s="6">
        <v>50727.280405741301</v>
      </c>
      <c r="AB1059" s="6">
        <v>1412.7220705519701</v>
      </c>
      <c r="AC1059" s="6">
        <v>75590.3198542756</v>
      </c>
      <c r="AD1059" s="6">
        <v>15430.113355313901</v>
      </c>
      <c r="AE1059" s="6">
        <v>0</v>
      </c>
      <c r="AF1059" s="6">
        <v>0</v>
      </c>
      <c r="AG1059" s="6">
        <v>0</v>
      </c>
      <c r="AH1059" s="6">
        <v>0</v>
      </c>
      <c r="AI1059" s="6">
        <v>0</v>
      </c>
      <c r="AJ1059" s="6">
        <v>4926494.0091565596</v>
      </c>
      <c r="AK1059" s="6">
        <v>25156.486443780901</v>
      </c>
      <c r="AL1059" s="6">
        <v>330.98244656580999</v>
      </c>
      <c r="AM1059" s="6">
        <v>93035.839999999997</v>
      </c>
      <c r="AN1059" s="6">
        <v>5217.0284046224897</v>
      </c>
      <c r="AO1059" s="6">
        <v>25156.486443780901</v>
      </c>
      <c r="AP1059" s="6">
        <v>330.98244656580999</v>
      </c>
      <c r="AQ1059" s="6">
        <v>40734.411818744898</v>
      </c>
      <c r="AR1059" s="6">
        <v>12761.344759519199</v>
      </c>
      <c r="AS1059" s="6">
        <v>25156.486443780901</v>
      </c>
      <c r="AT1059" s="6">
        <v>0</v>
      </c>
      <c r="AU1059" t="s">
        <v>2973</v>
      </c>
      <c r="AV1059" t="s">
        <v>2973</v>
      </c>
    </row>
    <row r="1060" spans="1:48" x14ac:dyDescent="0.45">
      <c r="A1060" s="5" t="s">
        <v>2143</v>
      </c>
      <c r="B1060">
        <v>2142</v>
      </c>
      <c r="C1060" t="s">
        <v>2122</v>
      </c>
      <c r="D1060">
        <v>736</v>
      </c>
      <c r="E1060" t="s">
        <v>2144</v>
      </c>
      <c r="F1060" t="s">
        <v>2739</v>
      </c>
      <c r="G1060" t="s">
        <v>2740</v>
      </c>
      <c r="H1060" t="s">
        <v>2741</v>
      </c>
      <c r="I1060" t="s">
        <v>2742</v>
      </c>
      <c r="J1060">
        <v>351.87946027575299</v>
      </c>
      <c r="K1060">
        <v>1</v>
      </c>
      <c r="L1060">
        <v>2</v>
      </c>
      <c r="M1060">
        <v>2</v>
      </c>
      <c r="N1060" s="6">
        <v>3051693.74914815</v>
      </c>
      <c r="O1060" s="6">
        <v>944123.62283183204</v>
      </c>
      <c r="P1060" s="6">
        <v>742009.84289375402</v>
      </c>
      <c r="Q1060" s="6">
        <v>109143.89216482099</v>
      </c>
      <c r="R1060" s="6">
        <v>218567.96182703201</v>
      </c>
      <c r="S1060" s="6">
        <v>163547.850396241</v>
      </c>
      <c r="T1060" s="6">
        <v>3393321.78</v>
      </c>
      <c r="U1060" s="6">
        <v>1672217.28886559</v>
      </c>
      <c r="V1060" s="6">
        <v>4385702.3114867797</v>
      </c>
      <c r="W1060" s="6">
        <v>559637.63502916496</v>
      </c>
      <c r="X1060" s="6">
        <v>0</v>
      </c>
      <c r="Y1060" s="6">
        <v>0</v>
      </c>
      <c r="Z1060" s="6">
        <v>856.724632313136</v>
      </c>
      <c r="AA1060" s="6">
        <v>91148.079329645407</v>
      </c>
      <c r="AB1060" s="6">
        <v>28194.318387681</v>
      </c>
      <c r="AC1060" s="6">
        <v>135822.62671134601</v>
      </c>
      <c r="AD1060" s="6">
        <v>27725.2236848951</v>
      </c>
      <c r="AE1060" s="6">
        <v>0</v>
      </c>
      <c r="AF1060" s="6">
        <v>0</v>
      </c>
      <c r="AG1060" s="6">
        <v>0</v>
      </c>
      <c r="AH1060" s="6">
        <v>0</v>
      </c>
      <c r="AI1060" s="6">
        <v>0</v>
      </c>
      <c r="AJ1060" s="6">
        <v>5229086.9192618299</v>
      </c>
      <c r="AK1060" s="6">
        <v>14860.4494140238</v>
      </c>
      <c r="AL1060" s="6">
        <v>330.98244656580999</v>
      </c>
      <c r="AM1060" s="6">
        <v>93035.839999999997</v>
      </c>
      <c r="AN1060" s="6">
        <v>5217.0284046224897</v>
      </c>
      <c r="AO1060" s="6">
        <v>25156.486443780901</v>
      </c>
      <c r="AP1060" s="6">
        <v>330.98244656580999</v>
      </c>
      <c r="AQ1060" s="6">
        <v>93035.839999999997</v>
      </c>
      <c r="AR1060" s="6">
        <v>11562.258644801401</v>
      </c>
      <c r="AS1060" s="6">
        <v>17404.903521853601</v>
      </c>
      <c r="AT1060" s="6">
        <v>0</v>
      </c>
      <c r="AU1060" t="s">
        <v>2973</v>
      </c>
      <c r="AV1060" t="s">
        <v>2973</v>
      </c>
    </row>
    <row r="1061" spans="1:48" x14ac:dyDescent="0.45">
      <c r="A1061" s="5" t="s">
        <v>2145</v>
      </c>
      <c r="B1061">
        <v>2142</v>
      </c>
      <c r="C1061" t="s">
        <v>2122</v>
      </c>
      <c r="D1061">
        <v>751</v>
      </c>
      <c r="E1061" t="s">
        <v>2146</v>
      </c>
      <c r="F1061" t="s">
        <v>2739</v>
      </c>
      <c r="G1061" t="s">
        <v>2740</v>
      </c>
      <c r="H1061" t="s">
        <v>2741</v>
      </c>
      <c r="I1061" t="s">
        <v>2742</v>
      </c>
      <c r="J1061">
        <v>541.32468514053903</v>
      </c>
      <c r="K1061">
        <v>5</v>
      </c>
      <c r="L1061">
        <v>1</v>
      </c>
      <c r="M1061">
        <v>2</v>
      </c>
      <c r="N1061" s="6">
        <v>4411115.6242458802</v>
      </c>
      <c r="O1061" s="6">
        <v>1187467.1383255599</v>
      </c>
      <c r="P1061" s="6">
        <v>1139799.7614738201</v>
      </c>
      <c r="Q1061" s="6">
        <v>167904.89281424499</v>
      </c>
      <c r="R1061" s="6">
        <v>294938.36174320802</v>
      </c>
      <c r="S1061" s="6">
        <v>251598.909898799</v>
      </c>
      <c r="T1061" s="6">
        <v>4628718.43</v>
      </c>
      <c r="U1061" s="6">
        <v>2572507.3486027098</v>
      </c>
      <c r="V1061" s="6">
        <v>6198863.5398455104</v>
      </c>
      <c r="W1061" s="6">
        <v>858752.63321935595</v>
      </c>
      <c r="X1061" s="6">
        <v>0</v>
      </c>
      <c r="Y1061" s="6">
        <v>0</v>
      </c>
      <c r="Z1061" s="6">
        <v>1317.9689188894899</v>
      </c>
      <c r="AA1061" s="6">
        <v>140220.475800488</v>
      </c>
      <c r="AB1061" s="6">
        <v>2071.1608184789002</v>
      </c>
      <c r="AC1061" s="6">
        <v>208946.95183931</v>
      </c>
      <c r="AD1061" s="6">
        <v>42651.958059488497</v>
      </c>
      <c r="AE1061" s="6">
        <v>0</v>
      </c>
      <c r="AF1061" s="6">
        <v>0</v>
      </c>
      <c r="AG1061" s="6">
        <v>0</v>
      </c>
      <c r="AH1061" s="6">
        <v>0</v>
      </c>
      <c r="AI1061" s="6">
        <v>0</v>
      </c>
      <c r="AJ1061" s="6">
        <v>7452824.6885015201</v>
      </c>
      <c r="AK1061" s="6">
        <v>13767.753241414801</v>
      </c>
      <c r="AL1061" s="6">
        <v>330.98244656580999</v>
      </c>
      <c r="AM1061" s="6">
        <v>93035.839999999997</v>
      </c>
      <c r="AN1061" s="6">
        <v>5217.0284046224897</v>
      </c>
      <c r="AO1061" s="6">
        <v>25156.486443780901</v>
      </c>
      <c r="AP1061" s="6">
        <v>330.98244656580999</v>
      </c>
      <c r="AQ1061" s="6">
        <v>93035.839999999997</v>
      </c>
      <c r="AR1061" s="6">
        <v>11562.258644801401</v>
      </c>
      <c r="AS1061" s="6">
        <v>17404.903521853601</v>
      </c>
      <c r="AT1061" s="6">
        <v>0</v>
      </c>
      <c r="AU1061" t="s">
        <v>2973</v>
      </c>
      <c r="AV1061" t="s">
        <v>2973</v>
      </c>
    </row>
    <row r="1062" spans="1:48" x14ac:dyDescent="0.45">
      <c r="A1062" s="5" t="s">
        <v>2147</v>
      </c>
      <c r="B1062">
        <v>2142</v>
      </c>
      <c r="C1062" t="s">
        <v>2122</v>
      </c>
      <c r="D1062">
        <v>3529</v>
      </c>
      <c r="E1062" t="s">
        <v>2148</v>
      </c>
      <c r="F1062" t="s">
        <v>2739</v>
      </c>
      <c r="G1062" t="s">
        <v>2740</v>
      </c>
      <c r="H1062" t="s">
        <v>2741</v>
      </c>
      <c r="I1062" t="s">
        <v>2742</v>
      </c>
      <c r="J1062">
        <v>238.587544591251</v>
      </c>
      <c r="K1062">
        <v>1</v>
      </c>
      <c r="L1062">
        <v>2</v>
      </c>
      <c r="M1062">
        <v>2</v>
      </c>
      <c r="N1062" s="6">
        <v>2444889.7136138501</v>
      </c>
      <c r="O1062" s="6">
        <v>698403.57312991598</v>
      </c>
      <c r="P1062" s="6">
        <v>504294.20865057898</v>
      </c>
      <c r="Q1062" s="6">
        <v>74003.675060573994</v>
      </c>
      <c r="R1062" s="6">
        <v>130781.676174251</v>
      </c>
      <c r="S1062" s="6">
        <v>110891.610492518</v>
      </c>
      <c r="T1062" s="6">
        <v>2718546.46</v>
      </c>
      <c r="U1062" s="6">
        <v>1133826.38662917</v>
      </c>
      <c r="V1062" s="6">
        <v>3401686.6284589898</v>
      </c>
      <c r="W1062" s="6">
        <v>386602.32497198501</v>
      </c>
      <c r="X1062" s="6">
        <v>0</v>
      </c>
      <c r="Y1062" s="6">
        <v>0</v>
      </c>
      <c r="Z1062" s="6">
        <v>580.891610593726</v>
      </c>
      <c r="AA1062" s="6">
        <v>61801.835277417398</v>
      </c>
      <c r="AB1062" s="6">
        <v>1701.1663101888601</v>
      </c>
      <c r="AC1062" s="6">
        <v>92092.863225376102</v>
      </c>
      <c r="AD1062" s="6">
        <v>18798.747267142298</v>
      </c>
      <c r="AE1062" s="6">
        <v>0</v>
      </c>
      <c r="AF1062" s="6">
        <v>0</v>
      </c>
      <c r="AG1062" s="6">
        <v>0</v>
      </c>
      <c r="AH1062" s="6">
        <v>0</v>
      </c>
      <c r="AI1062" s="6">
        <v>0</v>
      </c>
      <c r="AJ1062" s="6">
        <v>3963264.4571216898</v>
      </c>
      <c r="AK1062" s="6">
        <v>16611.363614607701</v>
      </c>
      <c r="AL1062" s="6">
        <v>330.98244656580999</v>
      </c>
      <c r="AM1062" s="6">
        <v>93035.839999999997</v>
      </c>
      <c r="AN1062" s="6">
        <v>5217.0284046224897</v>
      </c>
      <c r="AO1062" s="6">
        <v>25156.486443780901</v>
      </c>
      <c r="AP1062" s="6">
        <v>330.98244656580999</v>
      </c>
      <c r="AQ1062" s="6">
        <v>93035.839999999997</v>
      </c>
      <c r="AR1062" s="6">
        <v>11562.258644801401</v>
      </c>
      <c r="AS1062" s="6">
        <v>17404.903521853601</v>
      </c>
      <c r="AT1062" s="6">
        <v>0</v>
      </c>
      <c r="AU1062" t="s">
        <v>2973</v>
      </c>
      <c r="AV1062" t="s">
        <v>2973</v>
      </c>
    </row>
    <row r="1063" spans="1:48" x14ac:dyDescent="0.45">
      <c r="A1063" s="5" t="s">
        <v>2149</v>
      </c>
      <c r="B1063">
        <v>2142</v>
      </c>
      <c r="C1063" t="s">
        <v>2122</v>
      </c>
      <c r="D1063">
        <v>738</v>
      </c>
      <c r="E1063" t="s">
        <v>2150</v>
      </c>
      <c r="F1063" t="s">
        <v>2739</v>
      </c>
      <c r="G1063" t="s">
        <v>2740</v>
      </c>
      <c r="H1063" t="s">
        <v>2741</v>
      </c>
      <c r="I1063" t="s">
        <v>2742</v>
      </c>
      <c r="J1063">
        <v>489.503793471162</v>
      </c>
      <c r="K1063">
        <v>6</v>
      </c>
      <c r="L1063">
        <v>1</v>
      </c>
      <c r="M1063">
        <v>2</v>
      </c>
      <c r="N1063" s="6">
        <v>3892088.50035823</v>
      </c>
      <c r="O1063" s="6">
        <v>1141873.9811988999</v>
      </c>
      <c r="P1063" s="6">
        <v>1030099.9020146</v>
      </c>
      <c r="Q1063" s="6">
        <v>151831.394782235</v>
      </c>
      <c r="R1063" s="6">
        <v>1053610.80412321</v>
      </c>
      <c r="S1063" s="6">
        <v>227513.40223233501</v>
      </c>
      <c r="T1063" s="6">
        <v>4943262.79</v>
      </c>
      <c r="U1063" s="6">
        <v>2326241.7924771798</v>
      </c>
      <c r="V1063" s="6">
        <v>5552685.2280720295</v>
      </c>
      <c r="W1063" s="6">
        <v>1585743.9783248301</v>
      </c>
      <c r="X1063" s="6">
        <v>0</v>
      </c>
      <c r="Y1063" s="6">
        <v>0</v>
      </c>
      <c r="Z1063" s="6">
        <v>1191.80004751861</v>
      </c>
      <c r="AA1063" s="6">
        <v>126797.200849709</v>
      </c>
      <c r="AB1063" s="6">
        <v>3086.3751830953602</v>
      </c>
      <c r="AC1063" s="6">
        <v>188944.50662826301</v>
      </c>
      <c r="AD1063" s="6">
        <v>38568.895604071899</v>
      </c>
      <c r="AE1063" s="6">
        <v>0</v>
      </c>
      <c r="AF1063" s="6">
        <v>0</v>
      </c>
      <c r="AG1063" s="6">
        <v>0</v>
      </c>
      <c r="AH1063" s="6">
        <v>0</v>
      </c>
      <c r="AI1063" s="6">
        <v>0</v>
      </c>
      <c r="AJ1063" s="6">
        <v>7497017.9847095096</v>
      </c>
      <c r="AK1063" s="6">
        <v>15315.5462423422</v>
      </c>
      <c r="AL1063" s="6">
        <v>330.98244656580999</v>
      </c>
      <c r="AM1063" s="6">
        <v>93035.839999999997</v>
      </c>
      <c r="AN1063" s="6">
        <v>5217.0284046224897</v>
      </c>
      <c r="AO1063" s="6">
        <v>25156.486443780901</v>
      </c>
      <c r="AP1063" s="6">
        <v>330.98244656580999</v>
      </c>
      <c r="AQ1063" s="6">
        <v>93035.839999999997</v>
      </c>
      <c r="AR1063" s="6">
        <v>11562.258644801401</v>
      </c>
      <c r="AS1063" s="6">
        <v>17404.903521853601</v>
      </c>
      <c r="AT1063" s="6">
        <v>0</v>
      </c>
      <c r="AU1063" t="s">
        <v>2973</v>
      </c>
      <c r="AV1063" t="s">
        <v>2973</v>
      </c>
    </row>
    <row r="1064" spans="1:48" x14ac:dyDescent="0.45">
      <c r="A1064" s="5" t="s">
        <v>2151</v>
      </c>
      <c r="B1064">
        <v>2142</v>
      </c>
      <c r="C1064" t="s">
        <v>2122</v>
      </c>
      <c r="D1064">
        <v>740</v>
      </c>
      <c r="E1064" t="s">
        <v>2152</v>
      </c>
      <c r="F1064" t="s">
        <v>2739</v>
      </c>
      <c r="G1064" t="s">
        <v>2740</v>
      </c>
      <c r="H1064" t="s">
        <v>2741</v>
      </c>
      <c r="I1064" t="s">
        <v>2742</v>
      </c>
      <c r="J1064">
        <v>408.974859127949</v>
      </c>
      <c r="K1064">
        <v>4</v>
      </c>
      <c r="L1064">
        <v>1</v>
      </c>
      <c r="M1064">
        <v>2</v>
      </c>
      <c r="N1064" s="6">
        <v>3407464.0399672501</v>
      </c>
      <c r="O1064" s="6">
        <v>953331.95974498102</v>
      </c>
      <c r="P1064" s="6">
        <v>862518.29509422299</v>
      </c>
      <c r="Q1064" s="6">
        <v>126853.405674215</v>
      </c>
      <c r="R1064" s="6">
        <v>232760.89314620901</v>
      </c>
      <c r="S1064" s="6">
        <v>190084.86322010701</v>
      </c>
      <c r="T1064" s="6">
        <v>3639380</v>
      </c>
      <c r="U1064" s="6">
        <v>1943548.5936268801</v>
      </c>
      <c r="V1064" s="6">
        <v>4766047.2754685599</v>
      </c>
      <c r="W1064" s="6">
        <v>698450.43517048203</v>
      </c>
      <c r="X1064" s="6">
        <v>0</v>
      </c>
      <c r="Y1064" s="6">
        <v>0</v>
      </c>
      <c r="Z1064" s="6">
        <v>995.73540193886697</v>
      </c>
      <c r="AA1064" s="6">
        <v>105937.621009229</v>
      </c>
      <c r="AB1064" s="6">
        <v>11497.5265766762</v>
      </c>
      <c r="AC1064" s="6">
        <v>157860.98905042699</v>
      </c>
      <c r="AD1064" s="6">
        <v>32223.874169680199</v>
      </c>
      <c r="AE1064" s="6">
        <v>0</v>
      </c>
      <c r="AF1064" s="6">
        <v>0</v>
      </c>
      <c r="AG1064" s="6">
        <v>0</v>
      </c>
      <c r="AH1064" s="6">
        <v>0</v>
      </c>
      <c r="AI1064" s="6">
        <v>0</v>
      </c>
      <c r="AJ1064" s="6">
        <v>5773013.4568469897</v>
      </c>
      <c r="AK1064" s="6">
        <v>14115.8150140493</v>
      </c>
      <c r="AL1064" s="6">
        <v>330.98244656580999</v>
      </c>
      <c r="AM1064" s="6">
        <v>93035.839999999997</v>
      </c>
      <c r="AN1064" s="6">
        <v>5217.0284046224897</v>
      </c>
      <c r="AO1064" s="6">
        <v>25156.486443780901</v>
      </c>
      <c r="AP1064" s="6">
        <v>330.98244656580999</v>
      </c>
      <c r="AQ1064" s="6">
        <v>93035.839999999997</v>
      </c>
      <c r="AR1064" s="6">
        <v>11562.258644801401</v>
      </c>
      <c r="AS1064" s="6">
        <v>17404.903521853601</v>
      </c>
      <c r="AT1064" s="6">
        <v>0</v>
      </c>
      <c r="AU1064" t="s">
        <v>2973</v>
      </c>
      <c r="AV1064" t="s">
        <v>2973</v>
      </c>
    </row>
    <row r="1065" spans="1:48" x14ac:dyDescent="0.45">
      <c r="A1065" s="5" t="s">
        <v>2153</v>
      </c>
      <c r="B1065">
        <v>2142</v>
      </c>
      <c r="C1065" t="s">
        <v>2122</v>
      </c>
      <c r="D1065">
        <v>745</v>
      </c>
      <c r="E1065" t="s">
        <v>2154</v>
      </c>
      <c r="F1065" t="s">
        <v>2739</v>
      </c>
      <c r="G1065" t="s">
        <v>2740</v>
      </c>
      <c r="H1065" t="s">
        <v>2741</v>
      </c>
      <c r="I1065" t="s">
        <v>2742</v>
      </c>
      <c r="J1065">
        <v>553.58558839985403</v>
      </c>
      <c r="K1065">
        <v>1</v>
      </c>
      <c r="L1065">
        <v>1</v>
      </c>
      <c r="M1065">
        <v>2</v>
      </c>
      <c r="N1065" s="6">
        <v>4185341.9666719101</v>
      </c>
      <c r="O1065" s="6">
        <v>1173623.2351951001</v>
      </c>
      <c r="P1065" s="6">
        <v>1166497.20149149</v>
      </c>
      <c r="Q1065" s="6">
        <v>171707.90735260301</v>
      </c>
      <c r="R1065" s="6">
        <v>302253.46003024903</v>
      </c>
      <c r="S1065" s="6">
        <v>257297.57833032901</v>
      </c>
      <c r="T1065" s="6">
        <v>4368649.6100000003</v>
      </c>
      <c r="U1065" s="6">
        <v>2630774.1607413599</v>
      </c>
      <c r="V1065" s="6">
        <v>6009644.3568966398</v>
      </c>
      <c r="W1065" s="6">
        <v>842282.278152443</v>
      </c>
      <c r="X1065" s="6">
        <v>0</v>
      </c>
      <c r="Y1065" s="6">
        <v>0</v>
      </c>
      <c r="Z1065" s="6">
        <v>1347.82066933958</v>
      </c>
      <c r="AA1065" s="6">
        <v>143396.44345161901</v>
      </c>
      <c r="AB1065" s="6">
        <v>2752.87157132212</v>
      </c>
      <c r="AC1065" s="6">
        <v>213679.56136766699</v>
      </c>
      <c r="AD1065" s="6">
        <v>43618.016962662303</v>
      </c>
      <c r="AE1065" s="6">
        <v>0</v>
      </c>
      <c r="AF1065" s="6">
        <v>0</v>
      </c>
      <c r="AG1065" s="6">
        <v>0</v>
      </c>
      <c r="AH1065" s="6">
        <v>0</v>
      </c>
      <c r="AI1065" s="6">
        <v>0</v>
      </c>
      <c r="AJ1065" s="6">
        <v>7256721.3490716796</v>
      </c>
      <c r="AK1065" s="6">
        <v>13108.580680446101</v>
      </c>
      <c r="AL1065" s="6">
        <v>330.98244656580999</v>
      </c>
      <c r="AM1065" s="6">
        <v>93035.839999999997</v>
      </c>
      <c r="AN1065" s="6">
        <v>5217.0284046224897</v>
      </c>
      <c r="AO1065" s="6">
        <v>25156.486443780901</v>
      </c>
      <c r="AP1065" s="6">
        <v>330.98244656580999</v>
      </c>
      <c r="AQ1065" s="6">
        <v>93035.839999999997</v>
      </c>
      <c r="AR1065" s="6">
        <v>11562.258644801401</v>
      </c>
      <c r="AS1065" s="6">
        <v>17404.903521853601</v>
      </c>
      <c r="AT1065" s="6">
        <v>0</v>
      </c>
      <c r="AU1065" t="s">
        <v>2973</v>
      </c>
      <c r="AV1065" t="s">
        <v>2973</v>
      </c>
    </row>
    <row r="1066" spans="1:48" x14ac:dyDescent="0.45">
      <c r="A1066" s="5" t="s">
        <v>2155</v>
      </c>
      <c r="B1066">
        <v>2142</v>
      </c>
      <c r="C1066" t="s">
        <v>2122</v>
      </c>
      <c r="D1066">
        <v>3377</v>
      </c>
      <c r="E1066" t="s">
        <v>2156</v>
      </c>
      <c r="F1066" t="s">
        <v>2739</v>
      </c>
      <c r="G1066" t="s">
        <v>2740</v>
      </c>
      <c r="H1066" t="s">
        <v>2741</v>
      </c>
      <c r="I1066" t="s">
        <v>2742</v>
      </c>
      <c r="J1066">
        <v>411.60952169729001</v>
      </c>
      <c r="K1066">
        <v>6</v>
      </c>
      <c r="L1066">
        <v>1</v>
      </c>
      <c r="M1066">
        <v>2</v>
      </c>
      <c r="N1066" s="6">
        <v>3187453.6953384699</v>
      </c>
      <c r="O1066" s="6">
        <v>987080.66197407397</v>
      </c>
      <c r="P1066" s="6">
        <v>868534.11611179996</v>
      </c>
      <c r="Q1066" s="6">
        <v>127670.609744988</v>
      </c>
      <c r="R1066" s="6">
        <v>225878.75160461399</v>
      </c>
      <c r="S1066" s="6">
        <v>191309.41153388901</v>
      </c>
      <c r="T1066" s="6">
        <v>3440548.68</v>
      </c>
      <c r="U1066" s="6">
        <v>1956069.1547739501</v>
      </c>
      <c r="V1066" s="6">
        <v>4637687.8638842199</v>
      </c>
      <c r="W1066" s="6">
        <v>648117.756375622</v>
      </c>
      <c r="X1066" s="6">
        <v>0</v>
      </c>
      <c r="Y1066" s="6">
        <v>0</v>
      </c>
      <c r="Z1066" s="6">
        <v>1002.15004267754</v>
      </c>
      <c r="AA1066" s="6">
        <v>106620.083215716</v>
      </c>
      <c r="AB1066" s="6">
        <v>3189.98125571423</v>
      </c>
      <c r="AC1066" s="6">
        <v>158877.94750087301</v>
      </c>
      <c r="AD1066" s="6">
        <v>32431.464033015702</v>
      </c>
      <c r="AE1066" s="6">
        <v>0</v>
      </c>
      <c r="AF1066" s="6">
        <v>0</v>
      </c>
      <c r="AG1066" s="6">
        <v>0</v>
      </c>
      <c r="AH1066" s="6">
        <v>0</v>
      </c>
      <c r="AI1066" s="6">
        <v>0</v>
      </c>
      <c r="AJ1066" s="6">
        <v>5587927.2463078303</v>
      </c>
      <c r="AK1066" s="6">
        <v>13575.7968456749</v>
      </c>
      <c r="AL1066" s="6">
        <v>330.98244656580999</v>
      </c>
      <c r="AM1066" s="6">
        <v>93035.839999999997</v>
      </c>
      <c r="AN1066" s="6">
        <v>5217.0284046224897</v>
      </c>
      <c r="AO1066" s="6">
        <v>25156.486443780901</v>
      </c>
      <c r="AP1066" s="6">
        <v>330.98244656580999</v>
      </c>
      <c r="AQ1066" s="6">
        <v>93035.839999999997</v>
      </c>
      <c r="AR1066" s="6">
        <v>11562.258644801401</v>
      </c>
      <c r="AS1066" s="6">
        <v>17404.903521853601</v>
      </c>
      <c r="AT1066" s="6">
        <v>0</v>
      </c>
      <c r="AU1066" t="s">
        <v>2973</v>
      </c>
      <c r="AV1066" t="s">
        <v>2973</v>
      </c>
    </row>
    <row r="1067" spans="1:48" x14ac:dyDescent="0.45">
      <c r="A1067" s="5" t="s">
        <v>2157</v>
      </c>
      <c r="B1067">
        <v>2142</v>
      </c>
      <c r="C1067" t="s">
        <v>2122</v>
      </c>
      <c r="D1067">
        <v>3376</v>
      </c>
      <c r="E1067" t="s">
        <v>2158</v>
      </c>
      <c r="F1067" t="s">
        <v>2739</v>
      </c>
      <c r="G1067" t="s">
        <v>2740</v>
      </c>
      <c r="H1067" t="s">
        <v>2741</v>
      </c>
      <c r="I1067" t="s">
        <v>2742</v>
      </c>
      <c r="J1067">
        <v>486.878391365369</v>
      </c>
      <c r="K1067">
        <v>4</v>
      </c>
      <c r="L1067">
        <v>1</v>
      </c>
      <c r="M1067">
        <v>2</v>
      </c>
      <c r="N1067" s="6">
        <v>3696012.7368451799</v>
      </c>
      <c r="O1067" s="6">
        <v>1030053.72576674</v>
      </c>
      <c r="P1067" s="6">
        <v>1025597.18217285</v>
      </c>
      <c r="Q1067" s="6">
        <v>151017.06306733601</v>
      </c>
      <c r="R1067" s="6">
        <v>265262.26146651898</v>
      </c>
      <c r="S1067" s="6">
        <v>226293.158031403</v>
      </c>
      <c r="T1067" s="6">
        <v>3854177.73</v>
      </c>
      <c r="U1067" s="6">
        <v>2313765.2393186302</v>
      </c>
      <c r="V1067" s="6">
        <v>5289056.1820107801</v>
      </c>
      <c r="W1067" s="6">
        <v>749732.67573930498</v>
      </c>
      <c r="X1067" s="6">
        <v>0</v>
      </c>
      <c r="Y1067" s="6">
        <v>0</v>
      </c>
      <c r="Z1067" s="6">
        <v>1185.4079533281799</v>
      </c>
      <c r="AA1067" s="6">
        <v>126117.137400641</v>
      </c>
      <c r="AB1067" s="6">
        <v>1851.5662145727199</v>
      </c>
      <c r="AC1067" s="6">
        <v>187931.12264187401</v>
      </c>
      <c r="AD1067" s="6">
        <v>38362.035389528901</v>
      </c>
      <c r="AE1067" s="6">
        <v>0</v>
      </c>
      <c r="AF1067" s="6">
        <v>0</v>
      </c>
      <c r="AG1067" s="6">
        <v>0</v>
      </c>
      <c r="AH1067" s="6">
        <v>0</v>
      </c>
      <c r="AI1067" s="6">
        <v>0</v>
      </c>
      <c r="AJ1067" s="6">
        <v>6394236.1273500295</v>
      </c>
      <c r="AK1067" s="6">
        <v>13133.127780467899</v>
      </c>
      <c r="AL1067" s="6">
        <v>330.98244656580999</v>
      </c>
      <c r="AM1067" s="6">
        <v>93035.839999999997</v>
      </c>
      <c r="AN1067" s="6">
        <v>5217.0284046224897</v>
      </c>
      <c r="AO1067" s="6">
        <v>25156.486443780901</v>
      </c>
      <c r="AP1067" s="6">
        <v>330.98244656580999</v>
      </c>
      <c r="AQ1067" s="6">
        <v>93035.839999999997</v>
      </c>
      <c r="AR1067" s="6">
        <v>11562.258644801401</v>
      </c>
      <c r="AS1067" s="6">
        <v>17404.903521853601</v>
      </c>
      <c r="AT1067" s="6">
        <v>0</v>
      </c>
      <c r="AU1067" t="s">
        <v>2973</v>
      </c>
      <c r="AV1067" t="s">
        <v>2973</v>
      </c>
    </row>
    <row r="1068" spans="1:48" x14ac:dyDescent="0.45">
      <c r="A1068" s="5" t="s">
        <v>2159</v>
      </c>
      <c r="B1068">
        <v>2142</v>
      </c>
      <c r="C1068" t="s">
        <v>2122</v>
      </c>
      <c r="D1068">
        <v>4068</v>
      </c>
      <c r="E1068" t="s">
        <v>2160</v>
      </c>
      <c r="F1068" t="s">
        <v>2739</v>
      </c>
      <c r="G1068" t="s">
        <v>2740</v>
      </c>
      <c r="H1068" t="s">
        <v>2741</v>
      </c>
      <c r="I1068" t="s">
        <v>2742</v>
      </c>
      <c r="J1068">
        <v>509.31384568417201</v>
      </c>
      <c r="K1068">
        <v>3</v>
      </c>
      <c r="L1068">
        <v>1</v>
      </c>
      <c r="M1068">
        <v>2</v>
      </c>
      <c r="N1068" s="6">
        <v>3854694.1818192601</v>
      </c>
      <c r="O1068" s="6">
        <v>1034888.42130608</v>
      </c>
      <c r="P1068" s="6">
        <v>1071530.140316</v>
      </c>
      <c r="Q1068" s="6">
        <v>157975.9597444</v>
      </c>
      <c r="R1068" s="6">
        <v>276749.78429304197</v>
      </c>
      <c r="S1068" s="6">
        <v>236720.79232306601</v>
      </c>
      <c r="T1068" s="6">
        <v>3975454.48</v>
      </c>
      <c r="U1068" s="6">
        <v>2420384.0074787699</v>
      </c>
      <c r="V1068" s="6">
        <v>5475342.6841292102</v>
      </c>
      <c r="W1068" s="6">
        <v>786126.05991044198</v>
      </c>
      <c r="X1068" s="6">
        <v>0</v>
      </c>
      <c r="Y1068" s="6">
        <v>0</v>
      </c>
      <c r="Z1068" s="6">
        <v>1240.0317905279801</v>
      </c>
      <c r="AA1068" s="6">
        <v>131928.64048878499</v>
      </c>
      <c r="AB1068" s="6">
        <v>1201.07115980002</v>
      </c>
      <c r="AC1068" s="6">
        <v>196591.02661766799</v>
      </c>
      <c r="AD1068" s="6">
        <v>40129.765705397898</v>
      </c>
      <c r="AE1068" s="6">
        <v>0</v>
      </c>
      <c r="AF1068" s="6">
        <v>0</v>
      </c>
      <c r="AG1068" s="6">
        <v>0</v>
      </c>
      <c r="AH1068" s="6">
        <v>0</v>
      </c>
      <c r="AI1068" s="6">
        <v>0</v>
      </c>
      <c r="AJ1068" s="6">
        <v>6632559.2798018297</v>
      </c>
      <c r="AK1068" s="6">
        <v>13022.5387273581</v>
      </c>
      <c r="AL1068" s="6">
        <v>330.98244656580999</v>
      </c>
      <c r="AM1068" s="6">
        <v>93035.839999999997</v>
      </c>
      <c r="AN1068" s="6">
        <v>5217.0284046224897</v>
      </c>
      <c r="AO1068" s="6">
        <v>25156.486443780901</v>
      </c>
      <c r="AP1068" s="6">
        <v>330.98244656580999</v>
      </c>
      <c r="AQ1068" s="6">
        <v>93035.839999999997</v>
      </c>
      <c r="AR1068" s="6">
        <v>11562.258644801401</v>
      </c>
      <c r="AS1068" s="6">
        <v>17404.903521853601</v>
      </c>
      <c r="AT1068" s="6">
        <v>0</v>
      </c>
      <c r="AU1068" t="s">
        <v>2973</v>
      </c>
      <c r="AV1068" t="s">
        <v>2973</v>
      </c>
    </row>
    <row r="1069" spans="1:48" x14ac:dyDescent="0.45">
      <c r="A1069" s="5" t="s">
        <v>2161</v>
      </c>
      <c r="B1069">
        <v>2142</v>
      </c>
      <c r="C1069" t="s">
        <v>2122</v>
      </c>
      <c r="D1069">
        <v>755</v>
      </c>
      <c r="E1069" t="s">
        <v>2162</v>
      </c>
      <c r="F1069" t="s">
        <v>2739</v>
      </c>
      <c r="G1069" t="s">
        <v>2740</v>
      </c>
      <c r="H1069" t="s">
        <v>2741</v>
      </c>
      <c r="I1069" t="s">
        <v>2742</v>
      </c>
      <c r="J1069">
        <v>439.97830852568802</v>
      </c>
      <c r="K1069">
        <v>5</v>
      </c>
      <c r="L1069">
        <v>1</v>
      </c>
      <c r="M1069">
        <v>2</v>
      </c>
      <c r="N1069" s="6">
        <v>3631185.5746714501</v>
      </c>
      <c r="O1069" s="6">
        <v>1016671.62428798</v>
      </c>
      <c r="P1069" s="6">
        <v>927431.75757381797</v>
      </c>
      <c r="Q1069" s="6">
        <v>136469.87244710501</v>
      </c>
      <c r="R1069" s="6">
        <v>242725.191735784</v>
      </c>
      <c r="S1069" s="6">
        <v>204494.76228013</v>
      </c>
      <c r="T1069" s="6">
        <v>3863599.45</v>
      </c>
      <c r="U1069" s="6">
        <v>2090884.5707161401</v>
      </c>
      <c r="V1069" s="6">
        <v>5091743.6858508401</v>
      </c>
      <c r="W1069" s="6">
        <v>743012.25006772496</v>
      </c>
      <c r="X1069" s="6">
        <v>0</v>
      </c>
      <c r="Y1069" s="6">
        <v>0</v>
      </c>
      <c r="Z1069" s="6">
        <v>1071.2198271022501</v>
      </c>
      <c r="AA1069" s="6">
        <v>113968.50994768299</v>
      </c>
      <c r="AB1069" s="6">
        <v>4688.3550227830301</v>
      </c>
      <c r="AC1069" s="6">
        <v>169828.06985421499</v>
      </c>
      <c r="AD1069" s="6">
        <v>34666.692425914996</v>
      </c>
      <c r="AE1069" s="6">
        <v>0</v>
      </c>
      <c r="AF1069" s="6">
        <v>0</v>
      </c>
      <c r="AG1069" s="6">
        <v>0</v>
      </c>
      <c r="AH1069" s="6">
        <v>0</v>
      </c>
      <c r="AI1069" s="6">
        <v>0</v>
      </c>
      <c r="AJ1069" s="6">
        <v>6158978.7829962699</v>
      </c>
      <c r="AK1069" s="6">
        <v>13998.3691551391</v>
      </c>
      <c r="AL1069" s="6">
        <v>330.98244656580999</v>
      </c>
      <c r="AM1069" s="6">
        <v>93035.839999999997</v>
      </c>
      <c r="AN1069" s="6">
        <v>5217.0284046224897</v>
      </c>
      <c r="AO1069" s="6">
        <v>25156.486443780901</v>
      </c>
      <c r="AP1069" s="6">
        <v>330.98244656580999</v>
      </c>
      <c r="AQ1069" s="6">
        <v>93035.839999999997</v>
      </c>
      <c r="AR1069" s="6">
        <v>11562.258644801401</v>
      </c>
      <c r="AS1069" s="6">
        <v>17404.903521853601</v>
      </c>
      <c r="AT1069" s="6">
        <v>0</v>
      </c>
      <c r="AU1069" t="s">
        <v>2973</v>
      </c>
      <c r="AV1069" t="s">
        <v>2973</v>
      </c>
    </row>
    <row r="1070" spans="1:48" x14ac:dyDescent="0.45">
      <c r="A1070" s="5" t="s">
        <v>2163</v>
      </c>
      <c r="B1070">
        <v>2142</v>
      </c>
      <c r="C1070" t="s">
        <v>2122</v>
      </c>
      <c r="D1070">
        <v>743</v>
      </c>
      <c r="E1070" t="s">
        <v>869</v>
      </c>
      <c r="F1070" t="s">
        <v>2739</v>
      </c>
      <c r="G1070" t="s">
        <v>2740</v>
      </c>
      <c r="H1070" t="s">
        <v>2741</v>
      </c>
      <c r="I1070" t="s">
        <v>2742</v>
      </c>
      <c r="J1070">
        <v>375.48611108681803</v>
      </c>
      <c r="K1070">
        <v>4</v>
      </c>
      <c r="L1070">
        <v>2</v>
      </c>
      <c r="M1070">
        <v>2</v>
      </c>
      <c r="N1070" s="6">
        <v>3539361.09929953</v>
      </c>
      <c r="O1070" s="6">
        <v>934354.70512111997</v>
      </c>
      <c r="P1070" s="6">
        <v>792154.29424169497</v>
      </c>
      <c r="Q1070" s="6">
        <v>116466.06365069401</v>
      </c>
      <c r="R1070" s="6">
        <v>206442.37699820299</v>
      </c>
      <c r="S1070" s="6">
        <v>174519.837769926</v>
      </c>
      <c r="T1070" s="6">
        <v>3804376.67</v>
      </c>
      <c r="U1070" s="6">
        <v>1784401.86931124</v>
      </c>
      <c r="V1070" s="6">
        <v>4880953.0137107996</v>
      </c>
      <c r="W1070" s="6">
        <v>606351.29013157205</v>
      </c>
      <c r="X1070" s="6">
        <v>0</v>
      </c>
      <c r="Y1070" s="6">
        <v>0</v>
      </c>
      <c r="Z1070" s="6">
        <v>914.19999396228002</v>
      </c>
      <c r="AA1070" s="6">
        <v>97262.959917298896</v>
      </c>
      <c r="AB1070" s="6">
        <v>3297.0755576107899</v>
      </c>
      <c r="AC1070" s="6">
        <v>144934.603063997</v>
      </c>
      <c r="AD1070" s="6">
        <v>29585.234705928</v>
      </c>
      <c r="AE1070" s="6">
        <v>0</v>
      </c>
      <c r="AF1070" s="6">
        <v>0</v>
      </c>
      <c r="AG1070" s="6">
        <v>0</v>
      </c>
      <c r="AH1070" s="6">
        <v>0</v>
      </c>
      <c r="AI1070" s="6">
        <v>0</v>
      </c>
      <c r="AJ1070" s="6">
        <v>5763298.3770811604</v>
      </c>
      <c r="AK1070" s="6">
        <v>15348.898952346601</v>
      </c>
      <c r="AL1070" s="6">
        <v>330.98244656580999</v>
      </c>
      <c r="AM1070" s="6">
        <v>93035.839999999997</v>
      </c>
      <c r="AN1070" s="6">
        <v>5217.0284046224897</v>
      </c>
      <c r="AO1070" s="6">
        <v>25156.486443780901</v>
      </c>
      <c r="AP1070" s="6">
        <v>330.98244656580999</v>
      </c>
      <c r="AQ1070" s="6">
        <v>93035.839999999997</v>
      </c>
      <c r="AR1070" s="6">
        <v>11562.258644801401</v>
      </c>
      <c r="AS1070" s="6">
        <v>17404.903521853601</v>
      </c>
      <c r="AT1070" s="6">
        <v>0</v>
      </c>
      <c r="AU1070" t="s">
        <v>2973</v>
      </c>
      <c r="AV1070" t="s">
        <v>2973</v>
      </c>
    </row>
    <row r="1071" spans="1:48" x14ac:dyDescent="0.45">
      <c r="A1071" s="5" t="s">
        <v>2164</v>
      </c>
      <c r="B1071">
        <v>2142</v>
      </c>
      <c r="C1071" t="s">
        <v>2122</v>
      </c>
      <c r="D1071">
        <v>744</v>
      </c>
      <c r="E1071" t="s">
        <v>495</v>
      </c>
      <c r="F1071" t="s">
        <v>2739</v>
      </c>
      <c r="G1071" t="s">
        <v>2740</v>
      </c>
      <c r="H1071" t="s">
        <v>2741</v>
      </c>
      <c r="I1071" t="s">
        <v>2742</v>
      </c>
      <c r="J1071">
        <v>428.26838914756598</v>
      </c>
      <c r="K1071">
        <v>5</v>
      </c>
      <c r="L1071">
        <v>1</v>
      </c>
      <c r="M1071">
        <v>2</v>
      </c>
      <c r="N1071" s="6">
        <v>3415594.9561315998</v>
      </c>
      <c r="O1071" s="6">
        <v>988393.428629342</v>
      </c>
      <c r="P1071" s="6">
        <v>901243.66896403197</v>
      </c>
      <c r="Q1071" s="6">
        <v>132837.75883392899</v>
      </c>
      <c r="R1071" s="6">
        <v>242624.886230131</v>
      </c>
      <c r="S1071" s="6">
        <v>199052.18219573301</v>
      </c>
      <c r="T1071" s="6">
        <v>3645458.53</v>
      </c>
      <c r="U1071" s="6">
        <v>2035236.1687890401</v>
      </c>
      <c r="V1071" s="6">
        <v>4869687.4024462197</v>
      </c>
      <c r="W1071" s="6">
        <v>688105.97792845406</v>
      </c>
      <c r="X1071" s="6">
        <v>0</v>
      </c>
      <c r="Y1071" s="6">
        <v>0</v>
      </c>
      <c r="Z1071" s="6">
        <v>1042.7095629175301</v>
      </c>
      <c r="AA1071" s="6">
        <v>110935.26481429501</v>
      </c>
      <c r="AB1071" s="6">
        <v>10923.3440371542</v>
      </c>
      <c r="AC1071" s="6">
        <v>165308.13564927899</v>
      </c>
      <c r="AD1071" s="6">
        <v>33744.046546453603</v>
      </c>
      <c r="AE1071" s="6">
        <v>0</v>
      </c>
      <c r="AF1071" s="6">
        <v>0</v>
      </c>
      <c r="AG1071" s="6">
        <v>0</v>
      </c>
      <c r="AH1071" s="6">
        <v>0</v>
      </c>
      <c r="AI1071" s="6">
        <v>0</v>
      </c>
      <c r="AJ1071" s="6">
        <v>5879746.8809847701</v>
      </c>
      <c r="AK1071" s="6">
        <v>13729.117137708699</v>
      </c>
      <c r="AL1071" s="6">
        <v>330.98244656580999</v>
      </c>
      <c r="AM1071" s="6">
        <v>93035.839999999997</v>
      </c>
      <c r="AN1071" s="6">
        <v>5217.0284046224897</v>
      </c>
      <c r="AO1071" s="6">
        <v>25156.486443780901</v>
      </c>
      <c r="AP1071" s="6">
        <v>330.98244656580999</v>
      </c>
      <c r="AQ1071" s="6">
        <v>93035.839999999997</v>
      </c>
      <c r="AR1071" s="6">
        <v>11562.258644801401</v>
      </c>
      <c r="AS1071" s="6">
        <v>17404.903521853601</v>
      </c>
      <c r="AT1071" s="6">
        <v>0</v>
      </c>
      <c r="AU1071" t="s">
        <v>2973</v>
      </c>
      <c r="AV1071" t="s">
        <v>2973</v>
      </c>
    </row>
    <row r="1072" spans="1:48" x14ac:dyDescent="0.45">
      <c r="A1072" s="5" t="s">
        <v>2165</v>
      </c>
      <c r="B1072">
        <v>2142</v>
      </c>
      <c r="C1072" t="s">
        <v>2122</v>
      </c>
      <c r="D1072">
        <v>1330</v>
      </c>
      <c r="E1072" t="s">
        <v>2166</v>
      </c>
      <c r="F1072" t="s">
        <v>2739</v>
      </c>
      <c r="G1072" t="s">
        <v>2747</v>
      </c>
      <c r="H1072" t="s">
        <v>2741</v>
      </c>
      <c r="I1072" t="s">
        <v>2742</v>
      </c>
      <c r="J1072">
        <v>1023.88169202574</v>
      </c>
      <c r="K1072">
        <v>3</v>
      </c>
      <c r="L1072">
        <v>1</v>
      </c>
      <c r="M1072">
        <v>2</v>
      </c>
      <c r="N1072" s="6">
        <v>6963292.2847071802</v>
      </c>
      <c r="O1072" s="6">
        <v>2401863.5047501698</v>
      </c>
      <c r="P1072" s="6">
        <v>2153872.7825265401</v>
      </c>
      <c r="Q1072" s="6">
        <v>317581.57437327702</v>
      </c>
      <c r="R1072" s="6">
        <v>556576.27521003899</v>
      </c>
      <c r="S1072" s="6">
        <v>475883.55870402401</v>
      </c>
      <c r="T1072" s="6">
        <v>7527450.1100000003</v>
      </c>
      <c r="U1072" s="6">
        <v>4865736.3115672097</v>
      </c>
      <c r="V1072" s="6">
        <v>10416825.439440399</v>
      </c>
      <c r="W1072" s="6">
        <v>1706013.5584893699</v>
      </c>
      <c r="X1072" s="6">
        <v>0</v>
      </c>
      <c r="Y1072" s="6">
        <v>0</v>
      </c>
      <c r="Z1072" s="6">
        <v>2492.8555518571402</v>
      </c>
      <c r="AA1072" s="6">
        <v>265218.235857811</v>
      </c>
      <c r="AB1072" s="6">
        <v>2636.3322277510601</v>
      </c>
      <c r="AC1072" s="6">
        <v>395210.05501035397</v>
      </c>
      <c r="AD1072" s="6">
        <v>80673.503693670194</v>
      </c>
      <c r="AE1072" s="6">
        <v>0</v>
      </c>
      <c r="AF1072" s="6">
        <v>0</v>
      </c>
      <c r="AG1072" s="6">
        <v>0</v>
      </c>
      <c r="AH1072" s="6">
        <v>0</v>
      </c>
      <c r="AI1072" s="6">
        <v>0</v>
      </c>
      <c r="AJ1072" s="6">
        <v>12869069.9802712</v>
      </c>
      <c r="AK1072" s="6">
        <v>12568.903302499601</v>
      </c>
      <c r="AL1072" s="6">
        <v>330.98244656580999</v>
      </c>
      <c r="AM1072" s="6">
        <v>93035.839999999997</v>
      </c>
      <c r="AN1072" s="6">
        <v>5217.0284046224897</v>
      </c>
      <c r="AO1072" s="6">
        <v>25156.486443780901</v>
      </c>
      <c r="AP1072" s="6">
        <v>3753.1860850462999</v>
      </c>
      <c r="AQ1072" s="6">
        <v>20687.885194392002</v>
      </c>
      <c r="AR1072" s="6">
        <v>8191.44180345933</v>
      </c>
      <c r="AS1072" s="6">
        <v>13668.6590114398</v>
      </c>
      <c r="AT1072" s="6">
        <v>0</v>
      </c>
      <c r="AU1072" t="s">
        <v>2973</v>
      </c>
      <c r="AV1072" t="s">
        <v>2973</v>
      </c>
    </row>
    <row r="1073" spans="1:48" x14ac:dyDescent="0.45">
      <c r="A1073" s="5" t="s">
        <v>2167</v>
      </c>
      <c r="B1073">
        <v>2142</v>
      </c>
      <c r="C1073" t="s">
        <v>2122</v>
      </c>
      <c r="D1073">
        <v>1358</v>
      </c>
      <c r="E1073" t="s">
        <v>2168</v>
      </c>
      <c r="F1073" t="s">
        <v>3</v>
      </c>
      <c r="G1073" t="s">
        <v>2747</v>
      </c>
      <c r="H1073" t="s">
        <v>2741</v>
      </c>
      <c r="I1073" t="s">
        <v>2742</v>
      </c>
      <c r="J1073">
        <v>174.138174674223</v>
      </c>
      <c r="K1073">
        <v>1</v>
      </c>
      <c r="L1073">
        <v>1</v>
      </c>
      <c r="M1073">
        <v>2</v>
      </c>
      <c r="N1073" s="6">
        <v>226203.056277536</v>
      </c>
      <c r="O1073" s="6">
        <v>167863.748353239</v>
      </c>
      <c r="P1073" s="6">
        <v>362948.51883374702</v>
      </c>
      <c r="Q1073" s="6">
        <v>54013.150251872998</v>
      </c>
      <c r="R1073" s="6">
        <v>534477.658370191</v>
      </c>
      <c r="S1073" s="6">
        <v>80936.591517947105</v>
      </c>
      <c r="T1073" s="6">
        <v>517958.92</v>
      </c>
      <c r="U1073" s="6">
        <v>827547.21208658605</v>
      </c>
      <c r="V1073" s="6">
        <v>604558.46703899396</v>
      </c>
      <c r="W1073" s="6">
        <v>255150.796792262</v>
      </c>
      <c r="X1073" s="6">
        <v>0</v>
      </c>
      <c r="Y1073" s="6">
        <v>0</v>
      </c>
      <c r="Z1073" s="6">
        <v>423.97605007277599</v>
      </c>
      <c r="AA1073" s="6">
        <v>485265.50895041402</v>
      </c>
      <c r="AB1073" s="6">
        <v>107.383254841468</v>
      </c>
      <c r="AC1073" s="6">
        <v>67215.927512328097</v>
      </c>
      <c r="AD1073" s="6">
        <v>13720.664005619001</v>
      </c>
      <c r="AE1073" s="6">
        <v>0</v>
      </c>
      <c r="AF1073" s="6">
        <v>0</v>
      </c>
      <c r="AG1073" s="6">
        <v>0</v>
      </c>
      <c r="AH1073" s="6">
        <v>0</v>
      </c>
      <c r="AI1073" s="6">
        <v>0</v>
      </c>
      <c r="AJ1073" s="6">
        <v>1426442.7236045301</v>
      </c>
      <c r="AK1073" s="6">
        <v>8191.44180345933</v>
      </c>
      <c r="AL1073" s="6">
        <v>330.98244656580999</v>
      </c>
      <c r="AM1073" s="6">
        <v>93035.839999999997</v>
      </c>
      <c r="AN1073" s="6">
        <v>5217.0284046224897</v>
      </c>
      <c r="AO1073" s="6">
        <v>25156.486443780901</v>
      </c>
      <c r="AP1073" s="6">
        <v>3753.1860850462999</v>
      </c>
      <c r="AQ1073" s="6">
        <v>20687.885194392002</v>
      </c>
      <c r="AR1073" s="6">
        <v>8191.44180345933</v>
      </c>
      <c r="AS1073" s="6">
        <v>13668.6590114398</v>
      </c>
      <c r="AT1073" s="6">
        <v>0</v>
      </c>
      <c r="AU1073" t="s">
        <v>2973</v>
      </c>
      <c r="AV1073" t="s">
        <v>2973</v>
      </c>
    </row>
    <row r="1074" spans="1:48" x14ac:dyDescent="0.45">
      <c r="A1074" s="5" t="s">
        <v>2169</v>
      </c>
      <c r="B1074">
        <v>2142</v>
      </c>
      <c r="C1074" t="s">
        <v>2122</v>
      </c>
      <c r="D1074">
        <v>4210</v>
      </c>
      <c r="E1074" t="s">
        <v>2170</v>
      </c>
      <c r="F1074" t="s">
        <v>3</v>
      </c>
      <c r="G1074" t="s">
        <v>2747</v>
      </c>
      <c r="H1074" t="s">
        <v>2741</v>
      </c>
      <c r="I1074" t="s">
        <v>2742</v>
      </c>
      <c r="J1074">
        <v>97.334566074943993</v>
      </c>
      <c r="K1074">
        <v>1</v>
      </c>
      <c r="L1074">
        <v>1</v>
      </c>
      <c r="M1074">
        <v>2</v>
      </c>
      <c r="N1074" s="6">
        <v>146408.87514917599</v>
      </c>
      <c r="O1074" s="6">
        <v>93827.474281518094</v>
      </c>
      <c r="P1074" s="6">
        <v>202870.14409285499</v>
      </c>
      <c r="Q1074" s="6">
        <v>30190.660674732801</v>
      </c>
      <c r="R1074" s="6">
        <v>687127.99844109302</v>
      </c>
      <c r="S1074" s="6">
        <v>45239.523325212103</v>
      </c>
      <c r="T1074" s="6">
        <v>697867.48</v>
      </c>
      <c r="U1074" s="6">
        <v>462557.67263937503</v>
      </c>
      <c r="V1074" s="6">
        <v>357890.70443485503</v>
      </c>
      <c r="W1074" s="6">
        <v>142616.58671863499</v>
      </c>
      <c r="X1074" s="6">
        <v>0</v>
      </c>
      <c r="Y1074" s="6">
        <v>0</v>
      </c>
      <c r="Z1074" s="6">
        <v>236.98149436334401</v>
      </c>
      <c r="AA1074" s="6">
        <v>659620.85810066899</v>
      </c>
      <c r="AB1074" s="6">
        <v>60.021890853416501</v>
      </c>
      <c r="AC1074" s="6">
        <v>37570.355552289999</v>
      </c>
      <c r="AD1074" s="6">
        <v>7669.1677729221001</v>
      </c>
      <c r="AE1074" s="6">
        <v>0</v>
      </c>
      <c r="AF1074" s="6">
        <v>0</v>
      </c>
      <c r="AG1074" s="6">
        <v>0</v>
      </c>
      <c r="AH1074" s="6">
        <v>0</v>
      </c>
      <c r="AI1074" s="6">
        <v>0</v>
      </c>
      <c r="AJ1074" s="6">
        <v>1205664.6759645899</v>
      </c>
      <c r="AK1074" s="6">
        <v>12386.808968113901</v>
      </c>
      <c r="AL1074" s="6">
        <v>330.98244656580999</v>
      </c>
      <c r="AM1074" s="6">
        <v>93035.839999999997</v>
      </c>
      <c r="AN1074" s="6">
        <v>5217.0284046224897</v>
      </c>
      <c r="AO1074" s="6">
        <v>25156.486443780901</v>
      </c>
      <c r="AP1074" s="6">
        <v>3753.1860850462999</v>
      </c>
      <c r="AQ1074" s="6">
        <v>20687.885194392002</v>
      </c>
      <c r="AR1074" s="6">
        <v>8191.44180345933</v>
      </c>
      <c r="AS1074" s="6">
        <v>13668.6590114398</v>
      </c>
      <c r="AT1074" s="6">
        <v>0</v>
      </c>
      <c r="AU1074" t="s">
        <v>2973</v>
      </c>
      <c r="AV1074" t="s">
        <v>2973</v>
      </c>
    </row>
    <row r="1075" spans="1:48" x14ac:dyDescent="0.45">
      <c r="A1075" s="5" t="s">
        <v>2171</v>
      </c>
      <c r="B1075">
        <v>2142</v>
      </c>
      <c r="C1075" t="s">
        <v>2122</v>
      </c>
      <c r="D1075">
        <v>765</v>
      </c>
      <c r="E1075" t="s">
        <v>2172</v>
      </c>
      <c r="F1075" t="s">
        <v>2739</v>
      </c>
      <c r="G1075" t="s">
        <v>2747</v>
      </c>
      <c r="H1075" t="s">
        <v>2741</v>
      </c>
      <c r="I1075" t="s">
        <v>2742</v>
      </c>
      <c r="J1075">
        <v>984.03459928999098</v>
      </c>
      <c r="K1075">
        <v>1</v>
      </c>
      <c r="L1075">
        <v>1</v>
      </c>
      <c r="M1075">
        <v>2</v>
      </c>
      <c r="N1075" s="6">
        <v>6058852.26011361</v>
      </c>
      <c r="O1075" s="6">
        <v>2311818.0049119401</v>
      </c>
      <c r="P1075" s="6">
        <v>2069599.7241988401</v>
      </c>
      <c r="Q1075" s="6">
        <v>305222.03855602798</v>
      </c>
      <c r="R1075" s="6">
        <v>534457.62979897903</v>
      </c>
      <c r="S1075" s="6">
        <v>457363.27804778703</v>
      </c>
      <c r="T1075" s="6">
        <v>6603576.4800000004</v>
      </c>
      <c r="U1075" s="6">
        <v>4676373.1775794104</v>
      </c>
      <c r="V1075" s="6">
        <v>9413377.9711168706</v>
      </c>
      <c r="W1075" s="6">
        <v>1607203.5474280999</v>
      </c>
      <c r="X1075" s="6">
        <v>0</v>
      </c>
      <c r="Y1075" s="6">
        <v>0</v>
      </c>
      <c r="Z1075" s="6">
        <v>2395.8394150072299</v>
      </c>
      <c r="AA1075" s="6">
        <v>254896.55931866899</v>
      </c>
      <c r="AB1075" s="6">
        <v>2075.74030076296</v>
      </c>
      <c r="AC1075" s="6">
        <v>379829.39937919198</v>
      </c>
      <c r="AD1075" s="6">
        <v>77533.8786685956</v>
      </c>
      <c r="AE1075" s="6">
        <v>0</v>
      </c>
      <c r="AF1075" s="6">
        <v>0</v>
      </c>
      <c r="AG1075" s="6">
        <v>0</v>
      </c>
      <c r="AH1075" s="6">
        <v>0</v>
      </c>
      <c r="AI1075" s="6">
        <v>0</v>
      </c>
      <c r="AJ1075" s="6">
        <v>11737312.9356272</v>
      </c>
      <c r="AK1075" s="6">
        <v>11927.744150557301</v>
      </c>
      <c r="AL1075" s="6">
        <v>330.98244656580999</v>
      </c>
      <c r="AM1075" s="6">
        <v>93035.839999999997</v>
      </c>
      <c r="AN1075" s="6">
        <v>5217.0284046224897</v>
      </c>
      <c r="AO1075" s="6">
        <v>25156.486443780901</v>
      </c>
      <c r="AP1075" s="6">
        <v>3753.1860850462999</v>
      </c>
      <c r="AQ1075" s="6">
        <v>20687.885194392002</v>
      </c>
      <c r="AR1075" s="6">
        <v>8191.44180345933</v>
      </c>
      <c r="AS1075" s="6">
        <v>13668.6590114398</v>
      </c>
      <c r="AT1075" s="6">
        <v>0</v>
      </c>
      <c r="AU1075" t="s">
        <v>2973</v>
      </c>
      <c r="AV1075" t="s">
        <v>2973</v>
      </c>
    </row>
    <row r="1076" spans="1:48" x14ac:dyDescent="0.45">
      <c r="A1076" s="5" t="s">
        <v>2173</v>
      </c>
      <c r="B1076">
        <v>2142</v>
      </c>
      <c r="C1076" t="s">
        <v>2122</v>
      </c>
      <c r="D1076">
        <v>4858</v>
      </c>
      <c r="E1076" t="s">
        <v>2174</v>
      </c>
      <c r="F1076" t="s">
        <v>2739</v>
      </c>
      <c r="G1076" t="s">
        <v>2740</v>
      </c>
      <c r="H1076" t="s">
        <v>2741</v>
      </c>
      <c r="I1076" t="s">
        <v>2742</v>
      </c>
      <c r="J1076">
        <v>571.82520986880797</v>
      </c>
      <c r="K1076">
        <v>1</v>
      </c>
      <c r="L1076">
        <v>1</v>
      </c>
      <c r="M1076">
        <v>2</v>
      </c>
      <c r="N1076" s="6">
        <v>4449053.4615971101</v>
      </c>
      <c r="O1076" s="6">
        <v>1177186.11923309</v>
      </c>
      <c r="P1076" s="6">
        <v>1205342.7502413599</v>
      </c>
      <c r="Q1076" s="6">
        <v>177365.36538432399</v>
      </c>
      <c r="R1076" s="6">
        <v>339939.35815721902</v>
      </c>
      <c r="S1076" s="6">
        <v>265775.057751694</v>
      </c>
      <c r="T1076" s="6">
        <v>4631433.75</v>
      </c>
      <c r="U1076" s="6">
        <v>2717453.3046130901</v>
      </c>
      <c r="V1076" s="6">
        <v>6281280.72285375</v>
      </c>
      <c r="W1076" s="6">
        <v>887522.23265768099</v>
      </c>
      <c r="X1076" s="6">
        <v>0</v>
      </c>
      <c r="Y1076" s="6">
        <v>0</v>
      </c>
      <c r="Z1076" s="6">
        <v>1392.22886805705</v>
      </c>
      <c r="AA1076" s="6">
        <v>148121.091100255</v>
      </c>
      <c r="AB1076" s="6">
        <v>30570.779133346201</v>
      </c>
      <c r="AC1076" s="6">
        <v>220719.90778684299</v>
      </c>
      <c r="AD1076" s="6">
        <v>45055.149964850803</v>
      </c>
      <c r="AE1076" s="6">
        <v>0</v>
      </c>
      <c r="AF1076" s="6">
        <v>0</v>
      </c>
      <c r="AG1076" s="6">
        <v>0</v>
      </c>
      <c r="AH1076" s="6">
        <v>0</v>
      </c>
      <c r="AI1076" s="6">
        <v>0</v>
      </c>
      <c r="AJ1076" s="6">
        <v>7614662.1123647802</v>
      </c>
      <c r="AK1076" s="6">
        <v>13316.4155426302</v>
      </c>
      <c r="AL1076" s="6">
        <v>330.98244656580999</v>
      </c>
      <c r="AM1076" s="6">
        <v>93035.839999999997</v>
      </c>
      <c r="AN1076" s="6">
        <v>5217.0284046224897</v>
      </c>
      <c r="AO1076" s="6">
        <v>25156.486443780901</v>
      </c>
      <c r="AP1076" s="6">
        <v>330.98244656580999</v>
      </c>
      <c r="AQ1076" s="6">
        <v>93035.839999999997</v>
      </c>
      <c r="AR1076" s="6">
        <v>11562.258644801401</v>
      </c>
      <c r="AS1076" s="6">
        <v>17404.903521853601</v>
      </c>
      <c r="AT1076" s="6">
        <v>0</v>
      </c>
      <c r="AU1076" t="s">
        <v>2973</v>
      </c>
      <c r="AV1076" t="s">
        <v>2973</v>
      </c>
    </row>
    <row r="1077" spans="1:48" x14ac:dyDescent="0.45">
      <c r="A1077" s="5" t="s">
        <v>2175</v>
      </c>
      <c r="B1077">
        <v>2142</v>
      </c>
      <c r="C1077" t="s">
        <v>2122</v>
      </c>
      <c r="D1077">
        <v>747</v>
      </c>
      <c r="E1077" t="s">
        <v>2176</v>
      </c>
      <c r="F1077" t="s">
        <v>2739</v>
      </c>
      <c r="G1077" t="s">
        <v>2740</v>
      </c>
      <c r="H1077" t="s">
        <v>2741</v>
      </c>
      <c r="I1077" t="s">
        <v>2742</v>
      </c>
      <c r="J1077">
        <v>716.69565165955601</v>
      </c>
      <c r="K1077">
        <v>3</v>
      </c>
      <c r="L1077">
        <v>1</v>
      </c>
      <c r="M1077">
        <v>2</v>
      </c>
      <c r="N1077" s="6">
        <v>5218901.3878663499</v>
      </c>
      <c r="O1077" s="6">
        <v>1549495.58942012</v>
      </c>
      <c r="P1077" s="6">
        <v>1507733.7339896001</v>
      </c>
      <c r="Q1077" s="6">
        <v>222300.42315748401</v>
      </c>
      <c r="R1077" s="6">
        <v>388652.14472689701</v>
      </c>
      <c r="S1077" s="6">
        <v>333108.48301687703</v>
      </c>
      <c r="T1077" s="6">
        <v>5481170.1900000004</v>
      </c>
      <c r="U1077" s="6">
        <v>3405913.0891604498</v>
      </c>
      <c r="V1077" s="6">
        <v>7554569.7592877299</v>
      </c>
      <c r="W1077" s="6">
        <v>1144215.5517067199</v>
      </c>
      <c r="X1077" s="6">
        <v>0</v>
      </c>
      <c r="Y1077" s="6">
        <v>0</v>
      </c>
      <c r="Z1077" s="6">
        <v>1744.94646026592</v>
      </c>
      <c r="AA1077" s="6">
        <v>185647.187424592</v>
      </c>
      <c r="AB1077" s="6">
        <v>905.83428113283298</v>
      </c>
      <c r="AC1077" s="6">
        <v>276638.72703657299</v>
      </c>
      <c r="AD1077" s="6">
        <v>56469.7559803041</v>
      </c>
      <c r="AE1077" s="6">
        <v>0</v>
      </c>
      <c r="AF1077" s="6">
        <v>0</v>
      </c>
      <c r="AG1077" s="6">
        <v>0</v>
      </c>
      <c r="AH1077" s="6">
        <v>0</v>
      </c>
      <c r="AI1077" s="6">
        <v>0</v>
      </c>
      <c r="AJ1077" s="6">
        <v>9220191.7621773407</v>
      </c>
      <c r="AK1077" s="6">
        <v>12864.8635453939</v>
      </c>
      <c r="AL1077" s="6">
        <v>330.98244656580999</v>
      </c>
      <c r="AM1077" s="6">
        <v>93035.839999999997</v>
      </c>
      <c r="AN1077" s="6">
        <v>5217.0284046224897</v>
      </c>
      <c r="AO1077" s="6">
        <v>25156.486443780901</v>
      </c>
      <c r="AP1077" s="6">
        <v>330.98244656580999</v>
      </c>
      <c r="AQ1077" s="6">
        <v>93035.839999999997</v>
      </c>
      <c r="AR1077" s="6">
        <v>11562.258644801401</v>
      </c>
      <c r="AS1077" s="6">
        <v>17404.903521853601</v>
      </c>
      <c r="AT1077" s="6">
        <v>0</v>
      </c>
      <c r="AU1077" t="s">
        <v>2973</v>
      </c>
      <c r="AV1077" t="s">
        <v>2973</v>
      </c>
    </row>
    <row r="1078" spans="1:48" x14ac:dyDescent="0.45">
      <c r="A1078" s="5" t="s">
        <v>2177</v>
      </c>
      <c r="B1078">
        <v>2142</v>
      </c>
      <c r="C1078" t="s">
        <v>2122</v>
      </c>
      <c r="D1078">
        <v>746</v>
      </c>
      <c r="E1078" t="s">
        <v>1407</v>
      </c>
      <c r="F1078" t="s">
        <v>2739</v>
      </c>
      <c r="G1078" t="s">
        <v>2740</v>
      </c>
      <c r="H1078" t="s">
        <v>2741</v>
      </c>
      <c r="I1078" t="s">
        <v>2742</v>
      </c>
      <c r="J1078">
        <v>410.32897322968</v>
      </c>
      <c r="K1078">
        <v>4</v>
      </c>
      <c r="L1078">
        <v>2</v>
      </c>
      <c r="M1078">
        <v>2</v>
      </c>
      <c r="N1078" s="6">
        <v>3923046.5393315698</v>
      </c>
      <c r="O1078" s="6">
        <v>989910.12334355398</v>
      </c>
      <c r="P1078" s="6">
        <v>865720.22540666896</v>
      </c>
      <c r="Q1078" s="6">
        <v>127273.41678649301</v>
      </c>
      <c r="R1078" s="6">
        <v>230058.08027838101</v>
      </c>
      <c r="S1078" s="6">
        <v>190714.233432156</v>
      </c>
      <c r="T1078" s="6">
        <v>4186024.71</v>
      </c>
      <c r="U1078" s="6">
        <v>1949983.6751466601</v>
      </c>
      <c r="V1078" s="6">
        <v>5374574.6205220697</v>
      </c>
      <c r="W1078" s="6">
        <v>646084.24070504506</v>
      </c>
      <c r="X1078" s="6">
        <v>0</v>
      </c>
      <c r="Y1078" s="6">
        <v>0</v>
      </c>
      <c r="Z1078" s="6">
        <v>999.03227782075703</v>
      </c>
      <c r="AA1078" s="6">
        <v>106288.380043215</v>
      </c>
      <c r="AB1078" s="6">
        <v>8062.1115985199203</v>
      </c>
      <c r="AC1078" s="6">
        <v>158383.66614564499</v>
      </c>
      <c r="AD1078" s="6">
        <v>32330.567286510501</v>
      </c>
      <c r="AE1078" s="6">
        <v>0</v>
      </c>
      <c r="AF1078" s="6">
        <v>0</v>
      </c>
      <c r="AG1078" s="6">
        <v>0</v>
      </c>
      <c r="AH1078" s="6">
        <v>0</v>
      </c>
      <c r="AI1078" s="6">
        <v>0</v>
      </c>
      <c r="AJ1078" s="6">
        <v>6326722.6185788196</v>
      </c>
      <c r="AK1078" s="6">
        <v>15418.659249873301</v>
      </c>
      <c r="AL1078" s="6">
        <v>330.98244656580999</v>
      </c>
      <c r="AM1078" s="6">
        <v>93035.839999999997</v>
      </c>
      <c r="AN1078" s="6">
        <v>5217.0284046224897</v>
      </c>
      <c r="AO1078" s="6">
        <v>25156.486443780901</v>
      </c>
      <c r="AP1078" s="6">
        <v>330.98244656580999</v>
      </c>
      <c r="AQ1078" s="6">
        <v>93035.839999999997</v>
      </c>
      <c r="AR1078" s="6">
        <v>11562.258644801401</v>
      </c>
      <c r="AS1078" s="6">
        <v>17404.903521853601</v>
      </c>
      <c r="AT1078" s="6">
        <v>0</v>
      </c>
      <c r="AU1078" t="s">
        <v>2973</v>
      </c>
      <c r="AV1078" t="s">
        <v>2973</v>
      </c>
    </row>
    <row r="1079" spans="1:48" x14ac:dyDescent="0.45">
      <c r="A1079" s="5" t="s">
        <v>2178</v>
      </c>
      <c r="B1079">
        <v>2142</v>
      </c>
      <c r="C1079" t="s">
        <v>2122</v>
      </c>
      <c r="D1079">
        <v>3375</v>
      </c>
      <c r="E1079" t="s">
        <v>2179</v>
      </c>
      <c r="F1079" t="s">
        <v>2739</v>
      </c>
      <c r="G1079" t="s">
        <v>2740</v>
      </c>
      <c r="H1079" t="s">
        <v>2741</v>
      </c>
      <c r="I1079" t="s">
        <v>2742</v>
      </c>
      <c r="J1079">
        <v>465.19528084544402</v>
      </c>
      <c r="K1079">
        <v>6</v>
      </c>
      <c r="L1079">
        <v>1</v>
      </c>
      <c r="M1079">
        <v>2</v>
      </c>
      <c r="N1079" s="6">
        <v>4204680.7666608803</v>
      </c>
      <c r="O1079" s="6">
        <v>1036612.61609464</v>
      </c>
      <c r="P1079" s="6">
        <v>981291.75103503803</v>
      </c>
      <c r="Q1079" s="6">
        <v>144291.52394513201</v>
      </c>
      <c r="R1079" s="6">
        <v>260536.76522950199</v>
      </c>
      <c r="S1079" s="6">
        <v>216215.200901826</v>
      </c>
      <c r="T1079" s="6">
        <v>4416691.63</v>
      </c>
      <c r="U1079" s="6">
        <v>2210721.79296519</v>
      </c>
      <c r="V1079" s="6">
        <v>5743083.6453781696</v>
      </c>
      <c r="W1079" s="6">
        <v>753839.59101052501</v>
      </c>
      <c r="X1079" s="6">
        <v>0</v>
      </c>
      <c r="Y1079" s="6">
        <v>0</v>
      </c>
      <c r="Z1079" s="6">
        <v>1132.6158555085799</v>
      </c>
      <c r="AA1079" s="6">
        <v>120500.515514741</v>
      </c>
      <c r="AB1079" s="6">
        <v>8857.0552062508905</v>
      </c>
      <c r="AC1079" s="6">
        <v>179561.617289727</v>
      </c>
      <c r="AD1079" s="6">
        <v>36653.583612098897</v>
      </c>
      <c r="AE1079" s="6">
        <v>0</v>
      </c>
      <c r="AF1079" s="6">
        <v>0</v>
      </c>
      <c r="AG1079" s="6">
        <v>0</v>
      </c>
      <c r="AH1079" s="6">
        <v>0</v>
      </c>
      <c r="AI1079" s="6">
        <v>0</v>
      </c>
      <c r="AJ1079" s="6">
        <v>6843628.62386702</v>
      </c>
      <c r="AK1079" s="6">
        <v>14711.3027703752</v>
      </c>
      <c r="AL1079" s="6">
        <v>330.98244656580999</v>
      </c>
      <c r="AM1079" s="6">
        <v>93035.839999999997</v>
      </c>
      <c r="AN1079" s="6">
        <v>5217.0284046224897</v>
      </c>
      <c r="AO1079" s="6">
        <v>25156.486443780901</v>
      </c>
      <c r="AP1079" s="6">
        <v>330.98244656580999</v>
      </c>
      <c r="AQ1079" s="6">
        <v>93035.839999999997</v>
      </c>
      <c r="AR1079" s="6">
        <v>11562.258644801401</v>
      </c>
      <c r="AS1079" s="6">
        <v>17404.903521853601</v>
      </c>
      <c r="AT1079" s="6">
        <v>0</v>
      </c>
      <c r="AU1079" t="s">
        <v>2973</v>
      </c>
      <c r="AV1079" t="s">
        <v>2973</v>
      </c>
    </row>
    <row r="1080" spans="1:48" x14ac:dyDescent="0.45">
      <c r="A1080" s="5" t="s">
        <v>2180</v>
      </c>
      <c r="B1080">
        <v>2142</v>
      </c>
      <c r="C1080" t="s">
        <v>2122</v>
      </c>
      <c r="D1080">
        <v>3526</v>
      </c>
      <c r="E1080" t="s">
        <v>1935</v>
      </c>
      <c r="F1080" t="s">
        <v>2739</v>
      </c>
      <c r="G1080" t="s">
        <v>2740</v>
      </c>
      <c r="H1080" t="s">
        <v>2741</v>
      </c>
      <c r="I1080" t="s">
        <v>2742</v>
      </c>
      <c r="J1080">
        <v>295.62175648699599</v>
      </c>
      <c r="K1080">
        <v>4</v>
      </c>
      <c r="L1080">
        <v>2</v>
      </c>
      <c r="M1080">
        <v>2</v>
      </c>
      <c r="N1080" s="6">
        <v>3307219.5803064802</v>
      </c>
      <c r="O1080" s="6">
        <v>805972.45773272798</v>
      </c>
      <c r="P1080" s="6">
        <v>624534.10157576296</v>
      </c>
      <c r="Q1080" s="6">
        <v>91694.209961294197</v>
      </c>
      <c r="R1080" s="6">
        <v>178447.616426653</v>
      </c>
      <c r="S1080" s="6">
        <v>137400.18461413099</v>
      </c>
      <c r="T1080" s="6">
        <v>3603001.05</v>
      </c>
      <c r="U1080" s="6">
        <v>1404866.9160029199</v>
      </c>
      <c r="V1080" s="6">
        <v>4437770.0755170798</v>
      </c>
      <c r="W1080" s="6">
        <v>474292.12273971603</v>
      </c>
      <c r="X1080" s="6">
        <v>0</v>
      </c>
      <c r="Y1080" s="6">
        <v>0</v>
      </c>
      <c r="Z1080" s="6">
        <v>719.75340769140303</v>
      </c>
      <c r="AA1080" s="6">
        <v>76575.527570520499</v>
      </c>
      <c r="AB1080" s="6">
        <v>18510.486767913801</v>
      </c>
      <c r="AC1080" s="6">
        <v>114107.607893965</v>
      </c>
      <c r="AD1080" s="6">
        <v>23292.576720165998</v>
      </c>
      <c r="AE1080" s="6">
        <v>0</v>
      </c>
      <c r="AF1080" s="6">
        <v>0</v>
      </c>
      <c r="AG1080" s="6">
        <v>0</v>
      </c>
      <c r="AH1080" s="6">
        <v>0</v>
      </c>
      <c r="AI1080" s="6">
        <v>0</v>
      </c>
      <c r="AJ1080" s="6">
        <v>5145268.15061705</v>
      </c>
      <c r="AK1080" s="6">
        <v>17404.903521853601</v>
      </c>
      <c r="AL1080" s="6">
        <v>330.98244656580999</v>
      </c>
      <c r="AM1080" s="6">
        <v>93035.839999999997</v>
      </c>
      <c r="AN1080" s="6">
        <v>5217.0284046224897</v>
      </c>
      <c r="AO1080" s="6">
        <v>25156.486443780901</v>
      </c>
      <c r="AP1080" s="6">
        <v>330.98244656580999</v>
      </c>
      <c r="AQ1080" s="6">
        <v>93035.839999999997</v>
      </c>
      <c r="AR1080" s="6">
        <v>11562.258644801401</v>
      </c>
      <c r="AS1080" s="6">
        <v>17404.903521853601</v>
      </c>
      <c r="AT1080" s="6">
        <v>0</v>
      </c>
      <c r="AU1080" t="s">
        <v>2973</v>
      </c>
      <c r="AV1080" t="s">
        <v>2973</v>
      </c>
    </row>
    <row r="1081" spans="1:48" x14ac:dyDescent="0.45">
      <c r="A1081" s="5" t="s">
        <v>2181</v>
      </c>
      <c r="B1081">
        <v>2142</v>
      </c>
      <c r="C1081" t="s">
        <v>2122</v>
      </c>
      <c r="D1081">
        <v>766</v>
      </c>
      <c r="E1081" t="s">
        <v>2182</v>
      </c>
      <c r="F1081" t="s">
        <v>2739</v>
      </c>
      <c r="G1081" t="s">
        <v>2747</v>
      </c>
      <c r="H1081" t="s">
        <v>2741</v>
      </c>
      <c r="I1081" t="s">
        <v>2742</v>
      </c>
      <c r="J1081">
        <v>763.52631252726803</v>
      </c>
      <c r="K1081">
        <v>2</v>
      </c>
      <c r="L1081">
        <v>2</v>
      </c>
      <c r="M1081">
        <v>2</v>
      </c>
      <c r="N1081" s="6">
        <v>5336742.3779523298</v>
      </c>
      <c r="O1081" s="6">
        <v>2063138.9702914101</v>
      </c>
      <c r="P1081" s="6">
        <v>1606977.57543363</v>
      </c>
      <c r="Q1081" s="6">
        <v>236826.08088057899</v>
      </c>
      <c r="R1081" s="6">
        <v>415461.13300885801</v>
      </c>
      <c r="S1081" s="6">
        <v>354874.61256461398</v>
      </c>
      <c r="T1081" s="6">
        <v>6030682.29</v>
      </c>
      <c r="U1081" s="6">
        <v>3628463.8475668202</v>
      </c>
      <c r="V1081" s="6">
        <v>8224253.9080892</v>
      </c>
      <c r="W1081" s="6">
        <v>1232876.9088924199</v>
      </c>
      <c r="X1081" s="6">
        <v>0</v>
      </c>
      <c r="Y1081" s="6">
        <v>0</v>
      </c>
      <c r="Z1081" s="6">
        <v>1858.96556408468</v>
      </c>
      <c r="AA1081" s="6">
        <v>197777.832357618</v>
      </c>
      <c r="AB1081" s="6">
        <v>2378.5226634850101</v>
      </c>
      <c r="AC1081" s="6">
        <v>294714.98350433202</v>
      </c>
      <c r="AD1081" s="6">
        <v>60159.629060282401</v>
      </c>
      <c r="AE1081" s="6">
        <v>0</v>
      </c>
      <c r="AF1081" s="6">
        <v>0</v>
      </c>
      <c r="AG1081" s="6">
        <v>0</v>
      </c>
      <c r="AH1081" s="6">
        <v>0</v>
      </c>
      <c r="AI1081" s="6">
        <v>0</v>
      </c>
      <c r="AJ1081" s="6">
        <v>10014020.7501314</v>
      </c>
      <c r="AK1081" s="6">
        <v>13115.4887340884</v>
      </c>
      <c r="AL1081" s="6">
        <v>330.98244656580999</v>
      </c>
      <c r="AM1081" s="6">
        <v>93035.839999999997</v>
      </c>
      <c r="AN1081" s="6">
        <v>5217.0284046224897</v>
      </c>
      <c r="AO1081" s="6">
        <v>25156.486443780901</v>
      </c>
      <c r="AP1081" s="6">
        <v>3753.1860850462999</v>
      </c>
      <c r="AQ1081" s="6">
        <v>20687.885194392002</v>
      </c>
      <c r="AR1081" s="6">
        <v>8191.44180345933</v>
      </c>
      <c r="AS1081" s="6">
        <v>13668.6590114398</v>
      </c>
      <c r="AT1081" s="6">
        <v>0</v>
      </c>
      <c r="AU1081" t="s">
        <v>2973</v>
      </c>
      <c r="AV1081" t="s">
        <v>2973</v>
      </c>
    </row>
    <row r="1082" spans="1:48" x14ac:dyDescent="0.45">
      <c r="A1082" s="5" t="s">
        <v>2183</v>
      </c>
      <c r="B1082">
        <v>2142</v>
      </c>
      <c r="C1082" t="s">
        <v>2122</v>
      </c>
      <c r="D1082">
        <v>749</v>
      </c>
      <c r="E1082" t="s">
        <v>896</v>
      </c>
      <c r="F1082" t="s">
        <v>2739</v>
      </c>
      <c r="G1082" t="s">
        <v>2740</v>
      </c>
      <c r="H1082" t="s">
        <v>2741</v>
      </c>
      <c r="I1082" t="s">
        <v>2742</v>
      </c>
      <c r="J1082">
        <v>373.97849701605702</v>
      </c>
      <c r="K1082">
        <v>1</v>
      </c>
      <c r="L1082">
        <v>1</v>
      </c>
      <c r="M1082">
        <v>2</v>
      </c>
      <c r="N1082" s="6">
        <v>3184763.3557509002</v>
      </c>
      <c r="O1082" s="6">
        <v>912940.42235828203</v>
      </c>
      <c r="P1082" s="6">
        <v>787636.16071239603</v>
      </c>
      <c r="Q1082" s="6">
        <v>115998.440824865</v>
      </c>
      <c r="R1082" s="6">
        <v>202793.66873565601</v>
      </c>
      <c r="S1082" s="6">
        <v>173819.12326869601</v>
      </c>
      <c r="T1082" s="6">
        <v>3426894.73</v>
      </c>
      <c r="U1082" s="6">
        <v>1777237.3183821</v>
      </c>
      <c r="V1082" s="6">
        <v>4531398.8503314499</v>
      </c>
      <c r="W1082" s="6">
        <v>574486.21331906097</v>
      </c>
      <c r="X1082" s="6">
        <v>0</v>
      </c>
      <c r="Y1082" s="6">
        <v>0</v>
      </c>
      <c r="Z1082" s="6">
        <v>910.52939008721705</v>
      </c>
      <c r="AA1082" s="6">
        <v>96872.439462332404</v>
      </c>
      <c r="AB1082" s="6">
        <v>464.015879174303</v>
      </c>
      <c r="AC1082" s="6">
        <v>144352.67622178499</v>
      </c>
      <c r="AD1082" s="6">
        <v>29466.4470469109</v>
      </c>
      <c r="AE1082" s="6">
        <v>0</v>
      </c>
      <c r="AF1082" s="6">
        <v>0</v>
      </c>
      <c r="AG1082" s="6">
        <v>0</v>
      </c>
      <c r="AH1082" s="6">
        <v>0</v>
      </c>
      <c r="AI1082" s="6">
        <v>0</v>
      </c>
      <c r="AJ1082" s="6">
        <v>5377951.1716507897</v>
      </c>
      <c r="AK1082" s="6">
        <v>14380.3753813682</v>
      </c>
      <c r="AL1082" s="6">
        <v>330.98244656580999</v>
      </c>
      <c r="AM1082" s="6">
        <v>93035.839999999997</v>
      </c>
      <c r="AN1082" s="6">
        <v>5217.0284046224897</v>
      </c>
      <c r="AO1082" s="6">
        <v>25156.486443780901</v>
      </c>
      <c r="AP1082" s="6">
        <v>330.98244656580999</v>
      </c>
      <c r="AQ1082" s="6">
        <v>93035.839999999997</v>
      </c>
      <c r="AR1082" s="6">
        <v>11562.258644801401</v>
      </c>
      <c r="AS1082" s="6">
        <v>17404.903521853601</v>
      </c>
      <c r="AT1082" s="6">
        <v>0</v>
      </c>
      <c r="AU1082" t="s">
        <v>2973</v>
      </c>
      <c r="AV1082" t="s">
        <v>2973</v>
      </c>
    </row>
    <row r="1083" spans="1:48" x14ac:dyDescent="0.45">
      <c r="A1083" s="5" t="s">
        <v>2184</v>
      </c>
      <c r="B1083">
        <v>2142</v>
      </c>
      <c r="C1083" t="s">
        <v>2122</v>
      </c>
      <c r="D1083">
        <v>771</v>
      </c>
      <c r="E1083" t="s">
        <v>2185</v>
      </c>
      <c r="F1083" t="s">
        <v>2739</v>
      </c>
      <c r="G1083" t="s">
        <v>2744</v>
      </c>
      <c r="H1083" t="s">
        <v>2745</v>
      </c>
      <c r="I1083" t="s">
        <v>2742</v>
      </c>
      <c r="J1083">
        <v>2311.1604617008202</v>
      </c>
      <c r="K1083">
        <v>2</v>
      </c>
      <c r="L1083">
        <v>1</v>
      </c>
      <c r="M1083">
        <v>2</v>
      </c>
      <c r="N1083" s="6">
        <v>15192541.501268901</v>
      </c>
      <c r="O1083" s="6">
        <v>6281886.7057450302</v>
      </c>
      <c r="P1083" s="6">
        <v>4958403.3794778399</v>
      </c>
      <c r="Q1083" s="6">
        <v>728527.45820202504</v>
      </c>
      <c r="R1083" s="6">
        <v>1257966.60625997</v>
      </c>
      <c r="S1083" s="6">
        <v>1074189.79537976</v>
      </c>
      <c r="T1083" s="6">
        <v>17436125.670000002</v>
      </c>
      <c r="U1083" s="6">
        <v>10983199.9809538</v>
      </c>
      <c r="V1083" s="6">
        <v>23341989.327203099</v>
      </c>
      <c r="W1083" s="6">
        <v>4465460.7745969901</v>
      </c>
      <c r="X1083" s="6">
        <v>0</v>
      </c>
      <c r="Y1083" s="6">
        <v>0</v>
      </c>
      <c r="Z1083" s="6">
        <v>5627.0067460477103</v>
      </c>
      <c r="AA1083" s="6">
        <v>598664.77270813705</v>
      </c>
      <c r="AB1083" s="6">
        <v>7583.7696995166998</v>
      </c>
      <c r="AC1083" s="6">
        <v>892089.25242074602</v>
      </c>
      <c r="AD1083" s="6">
        <v>182100.54295901701</v>
      </c>
      <c r="AE1083" s="6">
        <v>0</v>
      </c>
      <c r="AF1083" s="6">
        <v>0</v>
      </c>
      <c r="AG1083" s="6">
        <v>0</v>
      </c>
      <c r="AH1083" s="6">
        <v>0</v>
      </c>
      <c r="AI1083" s="6">
        <v>0</v>
      </c>
      <c r="AJ1083" s="6">
        <v>29493515.446333598</v>
      </c>
      <c r="AK1083" s="6">
        <v>12761.344759519199</v>
      </c>
      <c r="AL1083" s="6">
        <v>330.98244656580999</v>
      </c>
      <c r="AM1083" s="6">
        <v>93035.839999999997</v>
      </c>
      <c r="AN1083" s="6">
        <v>5217.0284046224897</v>
      </c>
      <c r="AO1083" s="6">
        <v>25156.486443780901</v>
      </c>
      <c r="AP1083" s="6">
        <v>330.98244656580999</v>
      </c>
      <c r="AQ1083" s="6">
        <v>40734.411818744898</v>
      </c>
      <c r="AR1083" s="6">
        <v>12761.344759519199</v>
      </c>
      <c r="AS1083" s="6">
        <v>25156.486443780901</v>
      </c>
      <c r="AT1083" s="6">
        <v>0</v>
      </c>
      <c r="AU1083" t="s">
        <v>2973</v>
      </c>
      <c r="AV1083" t="s">
        <v>2973</v>
      </c>
    </row>
    <row r="1084" spans="1:48" x14ac:dyDescent="0.45">
      <c r="A1084" s="5" t="s">
        <v>2186</v>
      </c>
      <c r="B1084">
        <v>2142</v>
      </c>
      <c r="C1084" t="s">
        <v>2122</v>
      </c>
      <c r="D1084">
        <v>750</v>
      </c>
      <c r="E1084" t="s">
        <v>176</v>
      </c>
      <c r="F1084" t="s">
        <v>2739</v>
      </c>
      <c r="G1084" t="s">
        <v>2740</v>
      </c>
      <c r="H1084" t="s">
        <v>2741</v>
      </c>
      <c r="I1084" t="s">
        <v>2742</v>
      </c>
      <c r="J1084">
        <v>331.07480319771798</v>
      </c>
      <c r="K1084">
        <v>1</v>
      </c>
      <c r="L1084">
        <v>2</v>
      </c>
      <c r="M1084">
        <v>2</v>
      </c>
      <c r="N1084" s="6">
        <v>2715180.5056325202</v>
      </c>
      <c r="O1084" s="6">
        <v>835636.54477451905</v>
      </c>
      <c r="P1084" s="6">
        <v>696758.29352938104</v>
      </c>
      <c r="Q1084" s="6">
        <v>102690.82654152</v>
      </c>
      <c r="R1084" s="6">
        <v>182040.45771949799</v>
      </c>
      <c r="S1084" s="6">
        <v>153878.18413985599</v>
      </c>
      <c r="T1084" s="6">
        <v>2958958.16</v>
      </c>
      <c r="U1084" s="6">
        <v>1573348.46819743</v>
      </c>
      <c r="V1084" s="6">
        <v>3924391.2145499401</v>
      </c>
      <c r="W1084" s="6">
        <v>518427.79815768899</v>
      </c>
      <c r="X1084" s="6">
        <v>0</v>
      </c>
      <c r="Y1084" s="6">
        <v>0</v>
      </c>
      <c r="Z1084" s="6">
        <v>806.07131435131896</v>
      </c>
      <c r="AA1084" s="6">
        <v>85759.0050930055</v>
      </c>
      <c r="AB1084" s="6">
        <v>2922.5390824635601</v>
      </c>
      <c r="AC1084" s="6">
        <v>127792.197285448</v>
      </c>
      <c r="AD1084" s="6">
        <v>26085.9868544077</v>
      </c>
      <c r="AE1084" s="6">
        <v>0</v>
      </c>
      <c r="AF1084" s="6">
        <v>0</v>
      </c>
      <c r="AG1084" s="6">
        <v>0</v>
      </c>
      <c r="AH1084" s="6">
        <v>0</v>
      </c>
      <c r="AI1084" s="6">
        <v>0</v>
      </c>
      <c r="AJ1084" s="6">
        <v>4686184.8123373101</v>
      </c>
      <c r="AK1084" s="6">
        <v>14154.4592553566</v>
      </c>
      <c r="AL1084" s="6">
        <v>330.98244656580999</v>
      </c>
      <c r="AM1084" s="6">
        <v>93035.839999999997</v>
      </c>
      <c r="AN1084" s="6">
        <v>5217.0284046224897</v>
      </c>
      <c r="AO1084" s="6">
        <v>25156.486443780901</v>
      </c>
      <c r="AP1084" s="6">
        <v>330.98244656580999</v>
      </c>
      <c r="AQ1084" s="6">
        <v>93035.839999999997</v>
      </c>
      <c r="AR1084" s="6">
        <v>11562.258644801401</v>
      </c>
      <c r="AS1084" s="6">
        <v>17404.903521853601</v>
      </c>
      <c r="AT1084" s="6">
        <v>0</v>
      </c>
      <c r="AU1084" t="s">
        <v>2973</v>
      </c>
      <c r="AV1084" t="s">
        <v>2973</v>
      </c>
    </row>
    <row r="1085" spans="1:48" x14ac:dyDescent="0.45">
      <c r="A1085" s="5" t="s">
        <v>2187</v>
      </c>
      <c r="B1085">
        <v>2142</v>
      </c>
      <c r="C1085" t="s">
        <v>2122</v>
      </c>
      <c r="D1085">
        <v>772</v>
      </c>
      <c r="E1085" t="s">
        <v>2188</v>
      </c>
      <c r="F1085" t="s">
        <v>2739</v>
      </c>
      <c r="G1085" t="s">
        <v>2744</v>
      </c>
      <c r="H1085" t="s">
        <v>2745</v>
      </c>
      <c r="I1085" t="s">
        <v>2742</v>
      </c>
      <c r="J1085">
        <v>1948.2682482763701</v>
      </c>
      <c r="K1085">
        <v>1</v>
      </c>
      <c r="L1085">
        <v>1</v>
      </c>
      <c r="M1085">
        <v>2</v>
      </c>
      <c r="N1085" s="6">
        <v>13365961.275503</v>
      </c>
      <c r="O1085" s="6">
        <v>5313429.6036724001</v>
      </c>
      <c r="P1085" s="6">
        <v>4195448.81080468</v>
      </c>
      <c r="Q1085" s="6">
        <v>604302.335326373</v>
      </c>
      <c r="R1085" s="6">
        <v>1066140.6693511801</v>
      </c>
      <c r="S1085" s="6">
        <v>905523.39642430202</v>
      </c>
      <c r="T1085" s="6">
        <v>15286635.300000001</v>
      </c>
      <c r="U1085" s="6">
        <v>9258647.39465761</v>
      </c>
      <c r="V1085" s="6">
        <v>20100185.718913998</v>
      </c>
      <c r="W1085" s="6">
        <v>3923599.8795734299</v>
      </c>
      <c r="X1085" s="6">
        <v>0</v>
      </c>
      <c r="Y1085" s="6">
        <v>0</v>
      </c>
      <c r="Z1085" s="6">
        <v>4743.4692475198799</v>
      </c>
      <c r="AA1085" s="6">
        <v>504664.03668506502</v>
      </c>
      <c r="AB1085" s="6">
        <v>12089.5902375633</v>
      </c>
      <c r="AC1085" s="6">
        <v>752015.79203241505</v>
      </c>
      <c r="AD1085" s="6">
        <v>153507.604391887</v>
      </c>
      <c r="AE1085" s="6">
        <v>0</v>
      </c>
      <c r="AF1085" s="6">
        <v>0</v>
      </c>
      <c r="AG1085" s="6">
        <v>0</v>
      </c>
      <c r="AH1085" s="6">
        <v>0</v>
      </c>
      <c r="AI1085" s="6">
        <v>0</v>
      </c>
      <c r="AJ1085" s="6">
        <v>25450806.091081899</v>
      </c>
      <c r="AK1085" s="6">
        <v>13063.296655169601</v>
      </c>
      <c r="AL1085" s="6">
        <v>330.98244656580999</v>
      </c>
      <c r="AM1085" s="6">
        <v>93035.839999999997</v>
      </c>
      <c r="AN1085" s="6">
        <v>5217.0284046224897</v>
      </c>
      <c r="AO1085" s="6">
        <v>25156.486443780901</v>
      </c>
      <c r="AP1085" s="6">
        <v>330.98244656580999</v>
      </c>
      <c r="AQ1085" s="6">
        <v>40734.411818744898</v>
      </c>
      <c r="AR1085" s="6">
        <v>12761.344759519199</v>
      </c>
      <c r="AS1085" s="6">
        <v>25156.486443780901</v>
      </c>
      <c r="AT1085" s="6">
        <v>0</v>
      </c>
      <c r="AU1085" t="s">
        <v>2973</v>
      </c>
      <c r="AV1085" t="s">
        <v>2973</v>
      </c>
    </row>
    <row r="1086" spans="1:48" x14ac:dyDescent="0.45">
      <c r="A1086" s="5" t="s">
        <v>2189</v>
      </c>
      <c r="B1086">
        <v>2142</v>
      </c>
      <c r="C1086" t="s">
        <v>2122</v>
      </c>
      <c r="D1086">
        <v>3215</v>
      </c>
      <c r="E1086" t="s">
        <v>2190</v>
      </c>
      <c r="F1086" t="s">
        <v>2739</v>
      </c>
      <c r="G1086" t="s">
        <v>2740</v>
      </c>
      <c r="H1086" t="s">
        <v>2741</v>
      </c>
      <c r="I1086" t="s">
        <v>2742</v>
      </c>
      <c r="J1086">
        <v>417.35079163447602</v>
      </c>
      <c r="K1086">
        <v>2</v>
      </c>
      <c r="L1086">
        <v>1</v>
      </c>
      <c r="M1086">
        <v>2</v>
      </c>
      <c r="N1086" s="6">
        <v>2847563.3520829501</v>
      </c>
      <c r="O1086" s="6">
        <v>914551.03644206002</v>
      </c>
      <c r="P1086" s="6">
        <v>878636.82188001997</v>
      </c>
      <c r="Q1086" s="6">
        <v>129451.402935992</v>
      </c>
      <c r="R1086" s="6">
        <v>226093.32087932999</v>
      </c>
      <c r="S1086" s="6">
        <v>193977.86042839201</v>
      </c>
      <c r="T1086" s="6">
        <v>3012942.86</v>
      </c>
      <c r="U1086" s="6">
        <v>1983353.07422035</v>
      </c>
      <c r="V1086" s="6">
        <v>4235098.80581256</v>
      </c>
      <c r="W1086" s="6">
        <v>651775.33190751995</v>
      </c>
      <c r="X1086" s="6">
        <v>0</v>
      </c>
      <c r="Y1086" s="6">
        <v>0</v>
      </c>
      <c r="Z1086" s="6">
        <v>1016.12837313221</v>
      </c>
      <c r="AA1086" s="6">
        <v>108107.25648601</v>
      </c>
      <c r="AB1086" s="6">
        <v>298.41164112329602</v>
      </c>
      <c r="AC1086" s="6">
        <v>161094.03127830199</v>
      </c>
      <c r="AD1086" s="6">
        <v>32883.829150090503</v>
      </c>
      <c r="AE1086" s="6">
        <v>0</v>
      </c>
      <c r="AF1086" s="6">
        <v>0</v>
      </c>
      <c r="AG1086" s="6">
        <v>0</v>
      </c>
      <c r="AH1086" s="6">
        <v>0</v>
      </c>
      <c r="AI1086" s="6">
        <v>0</v>
      </c>
      <c r="AJ1086" s="6">
        <v>5190273.7946487404</v>
      </c>
      <c r="AK1086" s="6">
        <v>12436.2380488654</v>
      </c>
      <c r="AL1086" s="6">
        <v>330.98244656580999</v>
      </c>
      <c r="AM1086" s="6">
        <v>93035.839999999997</v>
      </c>
      <c r="AN1086" s="6">
        <v>5217.0284046224897</v>
      </c>
      <c r="AO1086" s="6">
        <v>25156.486443780901</v>
      </c>
      <c r="AP1086" s="6">
        <v>330.98244656580999</v>
      </c>
      <c r="AQ1086" s="6">
        <v>93035.839999999997</v>
      </c>
      <c r="AR1086" s="6">
        <v>11562.258644801401</v>
      </c>
      <c r="AS1086" s="6">
        <v>17404.903521853601</v>
      </c>
      <c r="AT1086" s="6">
        <v>0</v>
      </c>
      <c r="AU1086" t="s">
        <v>2973</v>
      </c>
      <c r="AV1086" t="s">
        <v>2973</v>
      </c>
    </row>
    <row r="1087" spans="1:48" x14ac:dyDescent="0.45">
      <c r="A1087" s="5" t="s">
        <v>2191</v>
      </c>
      <c r="B1087">
        <v>2142</v>
      </c>
      <c r="C1087" t="s">
        <v>2122</v>
      </c>
      <c r="D1087">
        <v>753</v>
      </c>
      <c r="E1087" t="s">
        <v>2192</v>
      </c>
      <c r="F1087" t="s">
        <v>2739</v>
      </c>
      <c r="G1087" t="s">
        <v>2740</v>
      </c>
      <c r="H1087" t="s">
        <v>2741</v>
      </c>
      <c r="I1087" t="s">
        <v>2742</v>
      </c>
      <c r="J1087">
        <v>365.14275153392799</v>
      </c>
      <c r="K1087">
        <v>1</v>
      </c>
      <c r="L1087">
        <v>1</v>
      </c>
      <c r="M1087">
        <v>2</v>
      </c>
      <c r="N1087" s="6">
        <v>3002682.0164920399</v>
      </c>
      <c r="O1087" s="6">
        <v>882849.46034885105</v>
      </c>
      <c r="P1087" s="6">
        <v>769700.87601705</v>
      </c>
      <c r="Q1087" s="6">
        <v>113257.82149078599</v>
      </c>
      <c r="R1087" s="6">
        <v>199248.59967833001</v>
      </c>
      <c r="S1087" s="6">
        <v>169712.41246745101</v>
      </c>
      <c r="T1087" s="6">
        <v>3232491.08</v>
      </c>
      <c r="U1087" s="6">
        <v>1735247.6940270599</v>
      </c>
      <c r="V1087" s="6">
        <v>4296383.6229370199</v>
      </c>
      <c r="W1087" s="6">
        <v>574183.17925417295</v>
      </c>
      <c r="X1087" s="6">
        <v>0</v>
      </c>
      <c r="Y1087" s="6">
        <v>0</v>
      </c>
      <c r="Z1087" s="6">
        <v>889.01690739369201</v>
      </c>
      <c r="AA1087" s="6">
        <v>94583.697659925107</v>
      </c>
      <c r="AB1087" s="6">
        <v>1699.2572685488799</v>
      </c>
      <c r="AC1087" s="6">
        <v>140942.14990292801</v>
      </c>
      <c r="AD1087" s="6">
        <v>28770.262564523498</v>
      </c>
      <c r="AE1087" s="6">
        <v>0</v>
      </c>
      <c r="AF1087" s="6">
        <v>0</v>
      </c>
      <c r="AG1087" s="6">
        <v>0</v>
      </c>
      <c r="AH1087" s="6">
        <v>0</v>
      </c>
      <c r="AI1087" s="6">
        <v>0</v>
      </c>
      <c r="AJ1087" s="6">
        <v>5137451.1864945097</v>
      </c>
      <c r="AK1087" s="6">
        <v>14069.706066771399</v>
      </c>
      <c r="AL1087" s="6">
        <v>330.98244656580999</v>
      </c>
      <c r="AM1087" s="6">
        <v>93035.839999999997</v>
      </c>
      <c r="AN1087" s="6">
        <v>5217.0284046224897</v>
      </c>
      <c r="AO1087" s="6">
        <v>25156.486443780901</v>
      </c>
      <c r="AP1087" s="6">
        <v>330.98244656580999</v>
      </c>
      <c r="AQ1087" s="6">
        <v>93035.839999999997</v>
      </c>
      <c r="AR1087" s="6">
        <v>11562.258644801401</v>
      </c>
      <c r="AS1087" s="6">
        <v>17404.903521853601</v>
      </c>
      <c r="AT1087" s="6">
        <v>0</v>
      </c>
      <c r="AU1087" t="s">
        <v>2973</v>
      </c>
      <c r="AV1087" t="s">
        <v>2973</v>
      </c>
    </row>
    <row r="1088" spans="1:48" x14ac:dyDescent="0.45">
      <c r="A1088" s="5" t="s">
        <v>2193</v>
      </c>
      <c r="B1088">
        <v>2142</v>
      </c>
      <c r="C1088" t="s">
        <v>2122</v>
      </c>
      <c r="D1088">
        <v>754</v>
      </c>
      <c r="E1088" t="s">
        <v>2194</v>
      </c>
      <c r="F1088" t="s">
        <v>2739</v>
      </c>
      <c r="G1088" t="s">
        <v>2740</v>
      </c>
      <c r="H1088" t="s">
        <v>2741</v>
      </c>
      <c r="I1088" t="s">
        <v>2742</v>
      </c>
      <c r="J1088">
        <v>550.30557875352304</v>
      </c>
      <c r="K1088">
        <v>2</v>
      </c>
      <c r="L1088">
        <v>1</v>
      </c>
      <c r="M1088">
        <v>2</v>
      </c>
      <c r="N1088" s="6">
        <v>4005553.13017035</v>
      </c>
      <c r="O1088" s="6">
        <v>1081631.32858874</v>
      </c>
      <c r="P1088" s="6">
        <v>1158820.6520179899</v>
      </c>
      <c r="Q1088" s="6">
        <v>170690.53333805199</v>
      </c>
      <c r="R1088" s="6">
        <v>327186.81827353698</v>
      </c>
      <c r="S1088" s="6">
        <v>255773.08319067</v>
      </c>
      <c r="T1088" s="6">
        <v>4128695.71</v>
      </c>
      <c r="U1088" s="6">
        <v>2615186.7523886701</v>
      </c>
      <c r="V1088" s="6">
        <v>5711692.8817493599</v>
      </c>
      <c r="W1088" s="6">
        <v>858842.15127896098</v>
      </c>
      <c r="X1088" s="6">
        <v>0</v>
      </c>
      <c r="Y1088" s="6">
        <v>0</v>
      </c>
      <c r="Z1088" s="6">
        <v>1339.83479526772</v>
      </c>
      <c r="AA1088" s="6">
        <v>142546.81562960401</v>
      </c>
      <c r="AB1088" s="6">
        <v>29460.778935490602</v>
      </c>
      <c r="AC1088" s="6">
        <v>212413.504163151</v>
      </c>
      <c r="AD1088" s="6">
        <v>43359.579027518601</v>
      </c>
      <c r="AE1088" s="6">
        <v>0</v>
      </c>
      <c r="AF1088" s="6">
        <v>0</v>
      </c>
      <c r="AG1088" s="6">
        <v>0</v>
      </c>
      <c r="AH1088" s="6">
        <v>0</v>
      </c>
      <c r="AI1088" s="6">
        <v>0</v>
      </c>
      <c r="AJ1088" s="6">
        <v>6999655.5455793496</v>
      </c>
      <c r="AK1088" s="6">
        <v>12719.5794769771</v>
      </c>
      <c r="AL1088" s="6">
        <v>330.98244656580999</v>
      </c>
      <c r="AM1088" s="6">
        <v>93035.839999999997</v>
      </c>
      <c r="AN1088" s="6">
        <v>5217.0284046224897</v>
      </c>
      <c r="AO1088" s="6">
        <v>25156.486443780901</v>
      </c>
      <c r="AP1088" s="6">
        <v>330.98244656580999</v>
      </c>
      <c r="AQ1088" s="6">
        <v>93035.839999999997</v>
      </c>
      <c r="AR1088" s="6">
        <v>11562.258644801401</v>
      </c>
      <c r="AS1088" s="6">
        <v>17404.903521853601</v>
      </c>
      <c r="AT1088" s="6">
        <v>0</v>
      </c>
      <c r="AU1088" t="s">
        <v>2973</v>
      </c>
      <c r="AV1088" t="s">
        <v>2973</v>
      </c>
    </row>
    <row r="1089" spans="1:48" x14ac:dyDescent="0.45">
      <c r="A1089" s="5" t="s">
        <v>2195</v>
      </c>
      <c r="B1089">
        <v>2142</v>
      </c>
      <c r="C1089" t="s">
        <v>2122</v>
      </c>
      <c r="D1089">
        <v>773</v>
      </c>
      <c r="E1089" t="s">
        <v>2196</v>
      </c>
      <c r="F1089" t="s">
        <v>2739</v>
      </c>
      <c r="G1089" t="s">
        <v>2744</v>
      </c>
      <c r="H1089" t="s">
        <v>2745</v>
      </c>
      <c r="I1089" t="s">
        <v>2742</v>
      </c>
      <c r="J1089">
        <v>1749.9236548491499</v>
      </c>
      <c r="K1089">
        <v>2</v>
      </c>
      <c r="L1089">
        <v>1</v>
      </c>
      <c r="M1089">
        <v>2</v>
      </c>
      <c r="N1089" s="6">
        <v>12855926.8309312</v>
      </c>
      <c r="O1089" s="6">
        <v>5090383.6055117799</v>
      </c>
      <c r="P1089" s="6">
        <v>3768060.09074846</v>
      </c>
      <c r="Q1089" s="6">
        <v>602317.25111169205</v>
      </c>
      <c r="R1089" s="6">
        <v>949391.92981819203</v>
      </c>
      <c r="S1089" s="6">
        <v>813336.05514750001</v>
      </c>
      <c r="T1089" s="6">
        <v>14950014.35</v>
      </c>
      <c r="U1089" s="6">
        <v>8316065.3581213299</v>
      </c>
      <c r="V1089" s="6">
        <v>19326523.067106701</v>
      </c>
      <c r="W1089" s="6">
        <v>3479360.5254865298</v>
      </c>
      <c r="X1089" s="6">
        <v>0</v>
      </c>
      <c r="Y1089" s="6">
        <v>0</v>
      </c>
      <c r="Z1089" s="6">
        <v>4260.5575744655198</v>
      </c>
      <c r="AA1089" s="6">
        <v>453286.41799103102</v>
      </c>
      <c r="AB1089" s="6">
        <v>2649.1399626206298</v>
      </c>
      <c r="AC1089" s="6">
        <v>675456.38259099098</v>
      </c>
      <c r="AD1089" s="6">
        <v>137879.672556509</v>
      </c>
      <c r="AE1089" s="6">
        <v>0</v>
      </c>
      <c r="AF1089" s="6">
        <v>0</v>
      </c>
      <c r="AG1089" s="6">
        <v>0</v>
      </c>
      <c r="AH1089" s="6">
        <v>0</v>
      </c>
      <c r="AI1089" s="6">
        <v>0</v>
      </c>
      <c r="AJ1089" s="6">
        <v>24079415.763268799</v>
      </c>
      <c r="AK1089" s="6">
        <v>13760.2664530782</v>
      </c>
      <c r="AL1089" s="6">
        <v>330.98244656580999</v>
      </c>
      <c r="AM1089" s="6">
        <v>93035.839999999997</v>
      </c>
      <c r="AN1089" s="6">
        <v>5217.0284046224897</v>
      </c>
      <c r="AO1089" s="6">
        <v>25156.486443780901</v>
      </c>
      <c r="AP1089" s="6">
        <v>330.98244656580999</v>
      </c>
      <c r="AQ1089" s="6">
        <v>40734.411818744898</v>
      </c>
      <c r="AR1089" s="6">
        <v>12761.344759519199</v>
      </c>
      <c r="AS1089" s="6">
        <v>25156.486443780901</v>
      </c>
      <c r="AT1089" s="6">
        <v>0</v>
      </c>
      <c r="AU1089" t="s">
        <v>2973</v>
      </c>
      <c r="AV1089" t="s">
        <v>2973</v>
      </c>
    </row>
    <row r="1090" spans="1:48" x14ac:dyDescent="0.45">
      <c r="A1090" s="5" t="s">
        <v>2197</v>
      </c>
      <c r="B1090">
        <v>2142</v>
      </c>
      <c r="C1090" t="s">
        <v>2122</v>
      </c>
      <c r="D1090">
        <v>3528</v>
      </c>
      <c r="E1090" t="s">
        <v>2198</v>
      </c>
      <c r="F1090" t="s">
        <v>3</v>
      </c>
      <c r="G1090" t="s">
        <v>2740</v>
      </c>
      <c r="H1090" t="s">
        <v>2741</v>
      </c>
      <c r="I1090" t="s">
        <v>2742</v>
      </c>
      <c r="J1090">
        <v>129.56886227544101</v>
      </c>
      <c r="K1090">
        <v>1</v>
      </c>
      <c r="L1090">
        <v>1</v>
      </c>
      <c r="M1090">
        <v>2</v>
      </c>
      <c r="N1090" s="6">
        <v>167202.839612343</v>
      </c>
      <c r="O1090" s="6">
        <v>124900.326606213</v>
      </c>
      <c r="P1090" s="6">
        <v>270054.66628912702</v>
      </c>
      <c r="Q1090" s="6">
        <v>40188.904237340597</v>
      </c>
      <c r="R1090" s="6">
        <v>968100.91813910997</v>
      </c>
      <c r="S1090" s="6">
        <v>60221.499961460497</v>
      </c>
      <c r="T1090" s="6">
        <v>954704.72</v>
      </c>
      <c r="U1090" s="6">
        <v>615742.93488413398</v>
      </c>
      <c r="V1090" s="6">
        <v>448721.12358328502</v>
      </c>
      <c r="W1090" s="6">
        <v>189846.93339581299</v>
      </c>
      <c r="X1090" s="6">
        <v>0</v>
      </c>
      <c r="Y1090" s="6">
        <v>0</v>
      </c>
      <c r="Z1090" s="6">
        <v>315.46267521602101</v>
      </c>
      <c r="AA1090" s="6">
        <v>931484.23588446795</v>
      </c>
      <c r="AB1090" s="6">
        <v>79.899345351885501</v>
      </c>
      <c r="AC1090" s="6">
        <v>50012.5332705123</v>
      </c>
      <c r="AD1090" s="6">
        <v>10208.9666909481</v>
      </c>
      <c r="AE1090" s="6">
        <v>0</v>
      </c>
      <c r="AF1090" s="6">
        <v>0</v>
      </c>
      <c r="AG1090" s="6">
        <v>0</v>
      </c>
      <c r="AH1090" s="6">
        <v>0</v>
      </c>
      <c r="AI1090" s="6">
        <v>0</v>
      </c>
      <c r="AJ1090" s="6">
        <v>1630669.15484559</v>
      </c>
      <c r="AK1090" s="6">
        <v>12585.3474840203</v>
      </c>
      <c r="AL1090" s="6">
        <v>330.98244656580999</v>
      </c>
      <c r="AM1090" s="6">
        <v>93035.839999999997</v>
      </c>
      <c r="AN1090" s="6">
        <v>5217.0284046224897</v>
      </c>
      <c r="AO1090" s="6">
        <v>25156.486443780901</v>
      </c>
      <c r="AP1090" s="6">
        <v>330.98244656580999</v>
      </c>
      <c r="AQ1090" s="6">
        <v>93035.839999999997</v>
      </c>
      <c r="AR1090" s="6">
        <v>11562.258644801401</v>
      </c>
      <c r="AS1090" s="6">
        <v>17404.903521853601</v>
      </c>
      <c r="AT1090" s="6">
        <v>0</v>
      </c>
      <c r="AU1090" t="s">
        <v>2973</v>
      </c>
      <c r="AV1090" t="s">
        <v>2973</v>
      </c>
    </row>
    <row r="1091" spans="1:48" x14ac:dyDescent="0.45">
      <c r="A1091" s="5" t="s">
        <v>2199</v>
      </c>
      <c r="B1091">
        <v>2142</v>
      </c>
      <c r="C1091" t="s">
        <v>2122</v>
      </c>
      <c r="D1091">
        <v>767</v>
      </c>
      <c r="E1091" t="s">
        <v>2200</v>
      </c>
      <c r="F1091" t="s">
        <v>2739</v>
      </c>
      <c r="G1091" t="s">
        <v>2747</v>
      </c>
      <c r="H1091" t="s">
        <v>2741</v>
      </c>
      <c r="I1091" t="s">
        <v>2742</v>
      </c>
      <c r="J1091">
        <v>702.58083395295603</v>
      </c>
      <c r="K1091">
        <v>3</v>
      </c>
      <c r="L1091">
        <v>2</v>
      </c>
      <c r="M1091">
        <v>2</v>
      </c>
      <c r="N1091" s="6">
        <v>5169647.2013026197</v>
      </c>
      <c r="O1091" s="6">
        <v>2026184.74706697</v>
      </c>
      <c r="P1091" s="6">
        <v>1480217.26183799</v>
      </c>
      <c r="Q1091" s="6">
        <v>217922.372388371</v>
      </c>
      <c r="R1091" s="6">
        <v>382818.119378859</v>
      </c>
      <c r="S1091" s="6">
        <v>326548.145301115</v>
      </c>
      <c r="T1091" s="6">
        <v>5937953.6799999997</v>
      </c>
      <c r="U1091" s="6">
        <v>3338836.0219748099</v>
      </c>
      <c r="V1091" s="6">
        <v>7719862.66070408</v>
      </c>
      <c r="W1091" s="6">
        <v>1370517.2636031299</v>
      </c>
      <c r="X1091" s="6">
        <v>0</v>
      </c>
      <c r="Y1091" s="6">
        <v>0</v>
      </c>
      <c r="Z1091" s="6">
        <v>1710.5809647624901</v>
      </c>
      <c r="AA1091" s="6">
        <v>181990.99640100601</v>
      </c>
      <c r="AB1091" s="6">
        <v>2708.20030183786</v>
      </c>
      <c r="AC1091" s="6">
        <v>271190.52152051398</v>
      </c>
      <c r="AD1091" s="6">
        <v>55357.623780600501</v>
      </c>
      <c r="AE1091" s="6">
        <v>0</v>
      </c>
      <c r="AF1091" s="6">
        <v>0</v>
      </c>
      <c r="AG1091" s="6">
        <v>0</v>
      </c>
      <c r="AH1091" s="6">
        <v>0</v>
      </c>
      <c r="AI1091" s="6">
        <v>0</v>
      </c>
      <c r="AJ1091" s="6">
        <v>9603337.8472759295</v>
      </c>
      <c r="AK1091" s="6">
        <v>13668.6590114398</v>
      </c>
      <c r="AL1091" s="6">
        <v>330.98244656580999</v>
      </c>
      <c r="AM1091" s="6">
        <v>93035.839999999997</v>
      </c>
      <c r="AN1091" s="6">
        <v>5217.0284046224897</v>
      </c>
      <c r="AO1091" s="6">
        <v>25156.486443780901</v>
      </c>
      <c r="AP1091" s="6">
        <v>3753.1860850462999</v>
      </c>
      <c r="AQ1091" s="6">
        <v>20687.885194392002</v>
      </c>
      <c r="AR1091" s="6">
        <v>8191.44180345933</v>
      </c>
      <c r="AS1091" s="6">
        <v>13668.6590114398</v>
      </c>
      <c r="AT1091" s="6">
        <v>0</v>
      </c>
      <c r="AU1091" t="s">
        <v>2973</v>
      </c>
      <c r="AV1091" t="s">
        <v>2973</v>
      </c>
    </row>
    <row r="1092" spans="1:48" x14ac:dyDescent="0.45">
      <c r="A1092" s="5" t="s">
        <v>2201</v>
      </c>
      <c r="B1092">
        <v>2142</v>
      </c>
      <c r="C1092" t="s">
        <v>2122</v>
      </c>
      <c r="D1092">
        <v>756</v>
      </c>
      <c r="E1092" t="s">
        <v>2202</v>
      </c>
      <c r="F1092" t="s">
        <v>2739</v>
      </c>
      <c r="G1092" t="s">
        <v>2740</v>
      </c>
      <c r="H1092" t="s">
        <v>2741</v>
      </c>
      <c r="I1092" t="s">
        <v>2742</v>
      </c>
      <c r="J1092">
        <v>666.80464995926798</v>
      </c>
      <c r="K1092">
        <v>1</v>
      </c>
      <c r="L1092">
        <v>1</v>
      </c>
      <c r="M1092">
        <v>2</v>
      </c>
      <c r="N1092" s="6">
        <v>5107343.3052038001</v>
      </c>
      <c r="O1092" s="6">
        <v>1214970.0358014</v>
      </c>
      <c r="P1092" s="6">
        <v>1402526.87909426</v>
      </c>
      <c r="Q1092" s="6">
        <v>206825.52699473599</v>
      </c>
      <c r="R1092" s="6">
        <v>362165.90525609598</v>
      </c>
      <c r="S1092" s="6">
        <v>309919.95682156301</v>
      </c>
      <c r="T1092" s="6">
        <v>5125012.8099999996</v>
      </c>
      <c r="U1092" s="6">
        <v>3168818.8423502902</v>
      </c>
      <c r="V1092" s="6">
        <v>7083538.8805058198</v>
      </c>
      <c r="W1092" s="6">
        <v>1034533.88086315</v>
      </c>
      <c r="X1092" s="6">
        <v>0</v>
      </c>
      <c r="Y1092" s="6">
        <v>0</v>
      </c>
      <c r="Z1092" s="6">
        <v>1623.4763123524301</v>
      </c>
      <c r="AA1092" s="6">
        <v>172723.81594604801</v>
      </c>
      <c r="AB1092" s="6">
        <v>1411.5987229207899</v>
      </c>
      <c r="AC1092" s="6">
        <v>257381.20375037999</v>
      </c>
      <c r="AD1092" s="6">
        <v>52538.753071182902</v>
      </c>
      <c r="AE1092" s="6">
        <v>0</v>
      </c>
      <c r="AF1092" s="6">
        <v>0</v>
      </c>
      <c r="AG1092" s="6">
        <v>0</v>
      </c>
      <c r="AH1092" s="6">
        <v>0</v>
      </c>
      <c r="AI1092" s="6">
        <v>0</v>
      </c>
      <c r="AJ1092" s="6">
        <v>8603751.6091718692</v>
      </c>
      <c r="AK1092" s="6">
        <v>12902.956825057199</v>
      </c>
      <c r="AL1092" s="6">
        <v>330.98244656580999</v>
      </c>
      <c r="AM1092" s="6">
        <v>93035.839999999997</v>
      </c>
      <c r="AN1092" s="6">
        <v>5217.0284046224897</v>
      </c>
      <c r="AO1092" s="6">
        <v>25156.486443780901</v>
      </c>
      <c r="AP1092" s="6">
        <v>330.98244656580999</v>
      </c>
      <c r="AQ1092" s="6">
        <v>93035.839999999997</v>
      </c>
      <c r="AR1092" s="6">
        <v>11562.258644801401</v>
      </c>
      <c r="AS1092" s="6">
        <v>17404.903521853601</v>
      </c>
      <c r="AT1092" s="6">
        <v>0</v>
      </c>
      <c r="AU1092" t="s">
        <v>2973</v>
      </c>
      <c r="AV1092" t="s">
        <v>2973</v>
      </c>
    </row>
    <row r="1093" spans="1:48" x14ac:dyDescent="0.45">
      <c r="A1093" s="5" t="s">
        <v>2203</v>
      </c>
      <c r="B1093">
        <v>2142</v>
      </c>
      <c r="C1093" t="s">
        <v>2122</v>
      </c>
      <c r="D1093">
        <v>757</v>
      </c>
      <c r="E1093" t="s">
        <v>1968</v>
      </c>
      <c r="F1093" t="s">
        <v>2739</v>
      </c>
      <c r="G1093" t="s">
        <v>2740</v>
      </c>
      <c r="H1093" t="s">
        <v>2741</v>
      </c>
      <c r="I1093" t="s">
        <v>2742</v>
      </c>
      <c r="J1093">
        <v>312.78916777747702</v>
      </c>
      <c r="K1093">
        <v>4</v>
      </c>
      <c r="L1093">
        <v>1</v>
      </c>
      <c r="M1093">
        <v>2</v>
      </c>
      <c r="N1093" s="6">
        <v>3101061.2671651798</v>
      </c>
      <c r="O1093" s="6">
        <v>1213394.5747281299</v>
      </c>
      <c r="P1093" s="6">
        <v>659305.39992984303</v>
      </c>
      <c r="Q1093" s="6">
        <v>97019.096174229097</v>
      </c>
      <c r="R1093" s="6">
        <v>170041.56677366901</v>
      </c>
      <c r="S1093" s="6">
        <v>145379.318182274</v>
      </c>
      <c r="T1093" s="6">
        <v>3754371.25</v>
      </c>
      <c r="U1093" s="6">
        <v>1486450.65477105</v>
      </c>
      <c r="V1093" s="6">
        <v>4409615.5091121802</v>
      </c>
      <c r="W1093" s="6">
        <v>748605.87307476101</v>
      </c>
      <c r="X1093" s="6">
        <v>0</v>
      </c>
      <c r="Y1093" s="6">
        <v>0</v>
      </c>
      <c r="Z1093" s="6">
        <v>761.55108498146001</v>
      </c>
      <c r="AA1093" s="6">
        <v>81022.438353443504</v>
      </c>
      <c r="AB1093" s="6">
        <v>816.533145685524</v>
      </c>
      <c r="AC1093" s="6">
        <v>120734.08985309899</v>
      </c>
      <c r="AD1093" s="6">
        <v>24645.228329174799</v>
      </c>
      <c r="AE1093" s="6">
        <v>0</v>
      </c>
      <c r="AF1093" s="6">
        <v>0</v>
      </c>
      <c r="AG1093" s="6">
        <v>0</v>
      </c>
      <c r="AH1093" s="6">
        <v>0</v>
      </c>
      <c r="AI1093" s="6">
        <v>0</v>
      </c>
      <c r="AJ1093" s="6">
        <v>5386201.2229533195</v>
      </c>
      <c r="AK1093" s="6">
        <v>17219.909695802398</v>
      </c>
      <c r="AL1093" s="6">
        <v>330.98244656580999</v>
      </c>
      <c r="AM1093" s="6">
        <v>93035.839999999997</v>
      </c>
      <c r="AN1093" s="6">
        <v>5217.0284046224897</v>
      </c>
      <c r="AO1093" s="6">
        <v>25156.486443780901</v>
      </c>
      <c r="AP1093" s="6">
        <v>330.98244656580999</v>
      </c>
      <c r="AQ1093" s="6">
        <v>93035.839999999997</v>
      </c>
      <c r="AR1093" s="6">
        <v>11562.258644801401</v>
      </c>
      <c r="AS1093" s="6">
        <v>17404.903521853601</v>
      </c>
      <c r="AT1093" s="6">
        <v>0</v>
      </c>
      <c r="AU1093" t="s">
        <v>2973</v>
      </c>
      <c r="AV1093" t="s">
        <v>2973</v>
      </c>
    </row>
    <row r="1094" spans="1:48" x14ac:dyDescent="0.45">
      <c r="A1094" s="5" t="s">
        <v>2204</v>
      </c>
      <c r="B1094">
        <v>2142</v>
      </c>
      <c r="C1094" t="s">
        <v>2122</v>
      </c>
      <c r="D1094">
        <v>4596</v>
      </c>
      <c r="E1094" t="s">
        <v>2205</v>
      </c>
      <c r="F1094" t="s">
        <v>2750</v>
      </c>
      <c r="G1094" t="s">
        <v>2744</v>
      </c>
      <c r="H1094" t="s">
        <v>2745</v>
      </c>
      <c r="I1094" t="s">
        <v>2742</v>
      </c>
      <c r="J1094">
        <v>450.52203410817299</v>
      </c>
      <c r="K1094">
        <v>1</v>
      </c>
      <c r="L1094">
        <v>2</v>
      </c>
      <c r="M1094">
        <v>2</v>
      </c>
      <c r="N1094" s="6">
        <v>6107601.9913812997</v>
      </c>
      <c r="O1094" s="6">
        <v>1821259.14563959</v>
      </c>
      <c r="P1094" s="6">
        <v>949609.98987878696</v>
      </c>
      <c r="Q1094" s="6">
        <v>139740.26295835699</v>
      </c>
      <c r="R1094" s="6">
        <v>524524.79453806905</v>
      </c>
      <c r="S1094" s="6">
        <v>209395.31445453601</v>
      </c>
      <c r="T1094" s="6">
        <v>7401745.25</v>
      </c>
      <c r="U1094" s="6">
        <v>2140990.9343961002</v>
      </c>
      <c r="V1094" s="6">
        <v>8401762.5420112498</v>
      </c>
      <c r="W1094" s="6">
        <v>1022323.48132862</v>
      </c>
      <c r="X1094" s="6">
        <v>0</v>
      </c>
      <c r="Y1094" s="6">
        <v>0</v>
      </c>
      <c r="Z1094" s="6">
        <v>1096.8907469558501</v>
      </c>
      <c r="AA1094" s="6">
        <v>116699.673440628</v>
      </c>
      <c r="AB1094" s="6">
        <v>853.59686864951198</v>
      </c>
      <c r="AC1094" s="6">
        <v>173897.862682743</v>
      </c>
      <c r="AD1094" s="6">
        <v>35497.451771792897</v>
      </c>
      <c r="AE1094" s="6">
        <v>0</v>
      </c>
      <c r="AF1094" s="6">
        <v>0</v>
      </c>
      <c r="AG1094" s="6">
        <v>0</v>
      </c>
      <c r="AH1094" s="6">
        <v>0</v>
      </c>
      <c r="AI1094" s="6">
        <v>0</v>
      </c>
      <c r="AJ1094" s="6">
        <v>9752131.4988506194</v>
      </c>
      <c r="AK1094" s="6">
        <v>21646.2919913681</v>
      </c>
      <c r="AL1094" s="6">
        <v>330.98244656580999</v>
      </c>
      <c r="AM1094" s="6">
        <v>93035.839999999997</v>
      </c>
      <c r="AN1094" s="6">
        <v>5217.0284046224897</v>
      </c>
      <c r="AO1094" s="6">
        <v>25156.486443780901</v>
      </c>
      <c r="AP1094" s="6">
        <v>330.98244656580999</v>
      </c>
      <c r="AQ1094" s="6">
        <v>40734.411818744898</v>
      </c>
      <c r="AR1094" s="6">
        <v>12761.344759519199</v>
      </c>
      <c r="AS1094" s="6">
        <v>25156.486443780901</v>
      </c>
      <c r="AT1094" s="6">
        <v>0</v>
      </c>
      <c r="AU1094" t="s">
        <v>2973</v>
      </c>
      <c r="AV1094" t="s">
        <v>2973</v>
      </c>
    </row>
    <row r="1095" spans="1:48" x14ac:dyDescent="0.45">
      <c r="A1095" s="5" t="s">
        <v>2206</v>
      </c>
      <c r="B1095">
        <v>2142</v>
      </c>
      <c r="C1095" t="s">
        <v>2122</v>
      </c>
      <c r="D1095">
        <v>759</v>
      </c>
      <c r="E1095" t="s">
        <v>2207</v>
      </c>
      <c r="F1095" t="s">
        <v>2739</v>
      </c>
      <c r="G1095" t="s">
        <v>2740</v>
      </c>
      <c r="H1095" t="s">
        <v>2741</v>
      </c>
      <c r="I1095" t="s">
        <v>2742</v>
      </c>
      <c r="J1095">
        <v>313.23568376469501</v>
      </c>
      <c r="K1095">
        <v>1</v>
      </c>
      <c r="L1095">
        <v>2</v>
      </c>
      <c r="M1095">
        <v>2</v>
      </c>
      <c r="N1095" s="6">
        <v>2826946.0624839799</v>
      </c>
      <c r="O1095" s="6">
        <v>830560.39215998899</v>
      </c>
      <c r="P1095" s="6">
        <v>662019.69351283496</v>
      </c>
      <c r="Q1095" s="6">
        <v>97157.593865229894</v>
      </c>
      <c r="R1095" s="6">
        <v>170863.50596844099</v>
      </c>
      <c r="S1095" s="6">
        <v>145586.851551286</v>
      </c>
      <c r="T1095" s="6">
        <v>3098974.64</v>
      </c>
      <c r="U1095" s="6">
        <v>1488572.60799047</v>
      </c>
      <c r="V1095" s="6">
        <v>4018314.8435593299</v>
      </c>
      <c r="W1095" s="6">
        <v>485934.76738467399</v>
      </c>
      <c r="X1095" s="6">
        <v>0</v>
      </c>
      <c r="Y1095" s="6">
        <v>0</v>
      </c>
      <c r="Z1095" s="6">
        <v>762.63822216381095</v>
      </c>
      <c r="AA1095" s="6">
        <v>81138.100332102404</v>
      </c>
      <c r="AB1095" s="6">
        <v>1396.8984922035199</v>
      </c>
      <c r="AC1095" s="6">
        <v>120906.441414071</v>
      </c>
      <c r="AD1095" s="6">
        <v>24680.4101372144</v>
      </c>
      <c r="AE1095" s="6">
        <v>0</v>
      </c>
      <c r="AF1095" s="6">
        <v>0</v>
      </c>
      <c r="AG1095" s="6">
        <v>0</v>
      </c>
      <c r="AH1095" s="6">
        <v>0</v>
      </c>
      <c r="AI1095" s="6">
        <v>0</v>
      </c>
      <c r="AJ1095" s="6">
        <v>4733134.09954176</v>
      </c>
      <c r="AK1095" s="6">
        <v>15110.456263014201</v>
      </c>
      <c r="AL1095" s="6">
        <v>330.98244656580999</v>
      </c>
      <c r="AM1095" s="6">
        <v>93035.839999999997</v>
      </c>
      <c r="AN1095" s="6">
        <v>5217.0284046224897</v>
      </c>
      <c r="AO1095" s="6">
        <v>25156.486443780901</v>
      </c>
      <c r="AP1095" s="6">
        <v>330.98244656580999</v>
      </c>
      <c r="AQ1095" s="6">
        <v>93035.839999999997</v>
      </c>
      <c r="AR1095" s="6">
        <v>11562.258644801401</v>
      </c>
      <c r="AS1095" s="6">
        <v>17404.903521853601</v>
      </c>
      <c r="AT1095" s="6">
        <v>0</v>
      </c>
      <c r="AU1095" t="s">
        <v>2973</v>
      </c>
      <c r="AV1095" t="s">
        <v>2973</v>
      </c>
    </row>
    <row r="1096" spans="1:48" x14ac:dyDescent="0.45">
      <c r="A1096" s="5" t="s">
        <v>2208</v>
      </c>
      <c r="B1096">
        <v>2142</v>
      </c>
      <c r="C1096" t="s">
        <v>2122</v>
      </c>
      <c r="D1096">
        <v>2142</v>
      </c>
      <c r="E1096" t="s">
        <v>2122</v>
      </c>
      <c r="F1096" t="s">
        <v>1</v>
      </c>
      <c r="G1096" t="s">
        <v>1</v>
      </c>
      <c r="H1096" t="s">
        <v>2743</v>
      </c>
      <c r="I1096" t="s">
        <v>2742</v>
      </c>
      <c r="J1096">
        <v>169.159890153719</v>
      </c>
      <c r="K1096">
        <v>1</v>
      </c>
      <c r="L1096">
        <v>5</v>
      </c>
      <c r="M1096">
        <v>2</v>
      </c>
      <c r="N1096" s="6">
        <v>144159.72321425201</v>
      </c>
      <c r="O1096" s="6">
        <v>163064.83793888599</v>
      </c>
      <c r="P1096" s="6">
        <v>352572.49992560101</v>
      </c>
      <c r="Q1096" s="6">
        <v>52469.015369871398</v>
      </c>
      <c r="R1096" s="6">
        <v>91623.109569747103</v>
      </c>
      <c r="S1096" s="6">
        <v>78622.765836416205</v>
      </c>
      <c r="T1096" s="6">
        <v>0</v>
      </c>
      <c r="U1096" s="6">
        <v>803889.18601835601</v>
      </c>
      <c r="V1096" s="6">
        <v>511698.66086080403</v>
      </c>
      <c r="W1096" s="6">
        <v>247856.51301766001</v>
      </c>
      <c r="X1096" s="6">
        <v>0</v>
      </c>
      <c r="Y1096" s="6">
        <v>0</v>
      </c>
      <c r="Z1096" s="6">
        <v>411.85536825737199</v>
      </c>
      <c r="AA1096" s="6">
        <v>43817.843403085797</v>
      </c>
      <c r="AB1096" s="6">
        <v>104.31336854951201</v>
      </c>
      <c r="AC1096" s="6">
        <v>65294.349936980703</v>
      </c>
      <c r="AD1096" s="6">
        <v>13328.4158994356</v>
      </c>
      <c r="AE1096" s="6">
        <v>0</v>
      </c>
      <c r="AF1096" s="6">
        <v>0</v>
      </c>
      <c r="AG1096" s="6">
        <v>0</v>
      </c>
      <c r="AH1096" s="6">
        <v>0</v>
      </c>
      <c r="AI1096" s="6">
        <v>0</v>
      </c>
      <c r="AJ1096" s="6">
        <v>882511.95185477298</v>
      </c>
      <c r="AK1096" s="6">
        <v>5217.0284046224897</v>
      </c>
      <c r="AL1096" s="6">
        <v>330.98244656580999</v>
      </c>
      <c r="AM1096" s="6">
        <v>93035.839999999997</v>
      </c>
      <c r="AN1096" s="6">
        <v>5217.0284046224897</v>
      </c>
      <c r="AO1096" s="6">
        <v>25156.486443780901</v>
      </c>
      <c r="AP1096" s="6">
        <v>634.54287297753501</v>
      </c>
      <c r="AQ1096" s="6">
        <v>40331.279999999999</v>
      </c>
      <c r="AR1096" s="6">
        <v>5217.0284046224897</v>
      </c>
      <c r="AS1096" s="6">
        <v>5217.0284046224897</v>
      </c>
      <c r="AT1096" s="6">
        <v>0</v>
      </c>
      <c r="AU1096" t="s">
        <v>2973</v>
      </c>
      <c r="AV1096" t="s">
        <v>2977</v>
      </c>
    </row>
    <row r="1097" spans="1:48" x14ac:dyDescent="0.45">
      <c r="A1097" s="5" t="s">
        <v>2209</v>
      </c>
      <c r="B1097">
        <v>2142</v>
      </c>
      <c r="C1097" t="s">
        <v>2122</v>
      </c>
      <c r="D1097">
        <v>760</v>
      </c>
      <c r="E1097" t="s">
        <v>2210</v>
      </c>
      <c r="F1097" t="s">
        <v>2739</v>
      </c>
      <c r="G1097" t="s">
        <v>2740</v>
      </c>
      <c r="H1097" t="s">
        <v>2741</v>
      </c>
      <c r="I1097" t="s">
        <v>2742</v>
      </c>
      <c r="J1097">
        <v>500.01615287939501</v>
      </c>
      <c r="K1097">
        <v>1</v>
      </c>
      <c r="L1097">
        <v>1</v>
      </c>
      <c r="M1097">
        <v>2</v>
      </c>
      <c r="N1097" s="6">
        <v>3928080.0765056801</v>
      </c>
      <c r="O1097" s="6">
        <v>1025937.0165405601</v>
      </c>
      <c r="P1097" s="6">
        <v>1052646.58918567</v>
      </c>
      <c r="Q1097" s="6">
        <v>155092.056318861</v>
      </c>
      <c r="R1097" s="6">
        <v>272032.89787202002</v>
      </c>
      <c r="S1097" s="6">
        <v>232399.375919068</v>
      </c>
      <c r="T1097" s="6">
        <v>4057589.54</v>
      </c>
      <c r="U1097" s="6">
        <v>2376199.0964227999</v>
      </c>
      <c r="V1097" s="6">
        <v>5541502.8734108303</v>
      </c>
      <c r="W1097" s="6">
        <v>760033.71122898196</v>
      </c>
      <c r="X1097" s="6">
        <v>0</v>
      </c>
      <c r="Y1097" s="6">
        <v>0</v>
      </c>
      <c r="Z1097" s="6">
        <v>1217.39459981702</v>
      </c>
      <c r="AA1097" s="6">
        <v>129520.23949633101</v>
      </c>
      <c r="AB1097" s="6">
        <v>1514.41768683947</v>
      </c>
      <c r="AC1097" s="6">
        <v>193002.192367126</v>
      </c>
      <c r="AD1097" s="6">
        <v>39397.183551941504</v>
      </c>
      <c r="AE1097" s="6">
        <v>0</v>
      </c>
      <c r="AF1097" s="6">
        <v>0</v>
      </c>
      <c r="AG1097" s="6">
        <v>0</v>
      </c>
      <c r="AH1097" s="6">
        <v>0</v>
      </c>
      <c r="AI1097" s="6">
        <v>0</v>
      </c>
      <c r="AJ1097" s="6">
        <v>6666188.0123418598</v>
      </c>
      <c r="AK1097" s="6">
        <v>13331.945326073799</v>
      </c>
      <c r="AL1097" s="6">
        <v>330.98244656580999</v>
      </c>
      <c r="AM1097" s="6">
        <v>93035.839999999997</v>
      </c>
      <c r="AN1097" s="6">
        <v>5217.0284046224897</v>
      </c>
      <c r="AO1097" s="6">
        <v>25156.486443780901</v>
      </c>
      <c r="AP1097" s="6">
        <v>330.98244656580999</v>
      </c>
      <c r="AQ1097" s="6">
        <v>93035.839999999997</v>
      </c>
      <c r="AR1097" s="6">
        <v>11562.258644801401</v>
      </c>
      <c r="AS1097" s="6">
        <v>17404.903521853601</v>
      </c>
      <c r="AT1097" s="6">
        <v>0</v>
      </c>
      <c r="AU1097" t="s">
        <v>2973</v>
      </c>
      <c r="AV1097" t="s">
        <v>2973</v>
      </c>
    </row>
    <row r="1098" spans="1:48" x14ac:dyDescent="0.45">
      <c r="A1098" s="5" t="s">
        <v>2211</v>
      </c>
      <c r="B1098">
        <v>2142</v>
      </c>
      <c r="C1098" t="s">
        <v>2122</v>
      </c>
      <c r="D1098">
        <v>741</v>
      </c>
      <c r="E1098" t="s">
        <v>1982</v>
      </c>
      <c r="F1098" t="s">
        <v>2739</v>
      </c>
      <c r="G1098" t="s">
        <v>2740</v>
      </c>
      <c r="H1098" t="s">
        <v>2741</v>
      </c>
      <c r="I1098" t="s">
        <v>2742</v>
      </c>
      <c r="J1098">
        <v>546.75142817426195</v>
      </c>
      <c r="K1098">
        <v>5</v>
      </c>
      <c r="L1098">
        <v>1</v>
      </c>
      <c r="M1098">
        <v>2</v>
      </c>
      <c r="N1098" s="6">
        <v>4783609.6380677298</v>
      </c>
      <c r="O1098" s="6">
        <v>1290204.3687060201</v>
      </c>
      <c r="P1098" s="6">
        <v>1152368.96268625</v>
      </c>
      <c r="Q1098" s="6">
        <v>169588.12790848699</v>
      </c>
      <c r="R1098" s="6">
        <v>301929.24188070599</v>
      </c>
      <c r="S1098" s="6">
        <v>254121.17180383499</v>
      </c>
      <c r="T1098" s="6">
        <v>5099403.78</v>
      </c>
      <c r="U1098" s="6">
        <v>2598296.5592491999</v>
      </c>
      <c r="V1098" s="6">
        <v>6681742.5964970896</v>
      </c>
      <c r="W1098" s="6">
        <v>866874.31753249501</v>
      </c>
      <c r="X1098" s="6">
        <v>0</v>
      </c>
      <c r="Y1098" s="6">
        <v>0</v>
      </c>
      <c r="Z1098" s="6">
        <v>1331.1814673757899</v>
      </c>
      <c r="AA1098" s="6">
        <v>141626.176503086</v>
      </c>
      <c r="AB1098" s="6">
        <v>6126.0672491580999</v>
      </c>
      <c r="AC1098" s="6">
        <v>211041.630774961</v>
      </c>
      <c r="AD1098" s="6">
        <v>43079.5410288739</v>
      </c>
      <c r="AE1098" s="6">
        <v>0</v>
      </c>
      <c r="AF1098" s="6">
        <v>0</v>
      </c>
      <c r="AG1098" s="6">
        <v>0</v>
      </c>
      <c r="AH1098" s="6">
        <v>0</v>
      </c>
      <c r="AI1098" s="6">
        <v>0</v>
      </c>
      <c r="AJ1098" s="6">
        <v>7951821.5110530397</v>
      </c>
      <c r="AK1098" s="6">
        <v>14543.759926894299</v>
      </c>
      <c r="AL1098" s="6">
        <v>330.98244656580999</v>
      </c>
      <c r="AM1098" s="6">
        <v>93035.839999999997</v>
      </c>
      <c r="AN1098" s="6">
        <v>5217.0284046224897</v>
      </c>
      <c r="AO1098" s="6">
        <v>25156.486443780901</v>
      </c>
      <c r="AP1098" s="6">
        <v>330.98244656580999</v>
      </c>
      <c r="AQ1098" s="6">
        <v>93035.839999999997</v>
      </c>
      <c r="AR1098" s="6">
        <v>11562.258644801401</v>
      </c>
      <c r="AS1098" s="6">
        <v>17404.903521853601</v>
      </c>
      <c r="AT1098" s="6">
        <v>0</v>
      </c>
      <c r="AU1098" t="s">
        <v>2973</v>
      </c>
      <c r="AV1098" t="s">
        <v>2973</v>
      </c>
    </row>
    <row r="1099" spans="1:48" x14ac:dyDescent="0.45">
      <c r="A1099" s="5" t="s">
        <v>2212</v>
      </c>
      <c r="B1099">
        <v>2142</v>
      </c>
      <c r="C1099" t="s">
        <v>2122</v>
      </c>
      <c r="D1099">
        <v>775</v>
      </c>
      <c r="E1099" t="s">
        <v>2213</v>
      </c>
      <c r="F1099" t="s">
        <v>2739</v>
      </c>
      <c r="G1099" t="s">
        <v>2744</v>
      </c>
      <c r="H1099" t="s">
        <v>2745</v>
      </c>
      <c r="I1099" t="s">
        <v>2742</v>
      </c>
      <c r="J1099">
        <v>1838.5409954166801</v>
      </c>
      <c r="K1099">
        <v>1</v>
      </c>
      <c r="L1099">
        <v>1</v>
      </c>
      <c r="M1099">
        <v>2</v>
      </c>
      <c r="N1099" s="6">
        <v>13041863.460710401</v>
      </c>
      <c r="O1099" s="6">
        <v>5497736.0973287905</v>
      </c>
      <c r="P1099" s="6">
        <v>3951830.1861031102</v>
      </c>
      <c r="Q1099" s="6">
        <v>570267.78427791095</v>
      </c>
      <c r="R1099" s="6">
        <v>997335.06390331103</v>
      </c>
      <c r="S1099" s="6">
        <v>854523.95382818102</v>
      </c>
      <c r="T1099" s="6">
        <v>15321835.949999999</v>
      </c>
      <c r="U1099" s="6">
        <v>8737196.6423235107</v>
      </c>
      <c r="V1099" s="6">
        <v>19567624.680059399</v>
      </c>
      <c r="W1099" s="6">
        <v>4008041.8760187998</v>
      </c>
      <c r="X1099" s="6">
        <v>0</v>
      </c>
      <c r="Y1099" s="6">
        <v>0</v>
      </c>
      <c r="Z1099" s="6">
        <v>4476.3151479674898</v>
      </c>
      <c r="AA1099" s="6">
        <v>476241.15476850898</v>
      </c>
      <c r="AB1099" s="6">
        <v>2648.5663288372202</v>
      </c>
      <c r="AC1099" s="6">
        <v>709661.95957642503</v>
      </c>
      <c r="AD1099" s="6">
        <v>144861.994251756</v>
      </c>
      <c r="AE1099" s="6">
        <v>0</v>
      </c>
      <c r="AF1099" s="6">
        <v>0</v>
      </c>
      <c r="AG1099" s="6">
        <v>0</v>
      </c>
      <c r="AH1099" s="6">
        <v>0</v>
      </c>
      <c r="AI1099" s="6">
        <v>0</v>
      </c>
      <c r="AJ1099" s="6">
        <v>24913556.546151701</v>
      </c>
      <c r="AK1099" s="6">
        <v>13550.7212557452</v>
      </c>
      <c r="AL1099" s="6">
        <v>330.98244656580999</v>
      </c>
      <c r="AM1099" s="6">
        <v>93035.839999999997</v>
      </c>
      <c r="AN1099" s="6">
        <v>5217.0284046224897</v>
      </c>
      <c r="AO1099" s="6">
        <v>25156.486443780901</v>
      </c>
      <c r="AP1099" s="6">
        <v>330.98244656580999</v>
      </c>
      <c r="AQ1099" s="6">
        <v>40734.411818744898</v>
      </c>
      <c r="AR1099" s="6">
        <v>12761.344759519199</v>
      </c>
      <c r="AS1099" s="6">
        <v>25156.486443780901</v>
      </c>
      <c r="AT1099" s="6">
        <v>0</v>
      </c>
      <c r="AU1099" t="s">
        <v>2973</v>
      </c>
      <c r="AV1099" t="s">
        <v>2973</v>
      </c>
    </row>
    <row r="1100" spans="1:48" x14ac:dyDescent="0.45">
      <c r="A1100" s="5" t="s">
        <v>2214</v>
      </c>
      <c r="B1100">
        <v>2142</v>
      </c>
      <c r="C1100" t="s">
        <v>2122</v>
      </c>
      <c r="D1100">
        <v>774</v>
      </c>
      <c r="E1100" t="s">
        <v>2215</v>
      </c>
      <c r="F1100" t="s">
        <v>2739</v>
      </c>
      <c r="G1100" t="s">
        <v>2744</v>
      </c>
      <c r="H1100" t="s">
        <v>2745</v>
      </c>
      <c r="I1100" t="s">
        <v>2742</v>
      </c>
      <c r="J1100">
        <v>1645.4760113780301</v>
      </c>
      <c r="K1100">
        <v>1</v>
      </c>
      <c r="L1100">
        <v>1</v>
      </c>
      <c r="M1100">
        <v>2</v>
      </c>
      <c r="N1100" s="6">
        <v>11353302.331219999</v>
      </c>
      <c r="O1100" s="6">
        <v>4982525.1873212699</v>
      </c>
      <c r="P1100" s="6">
        <v>3544058.8930906001</v>
      </c>
      <c r="Q1100" s="6">
        <v>510384.02811265102</v>
      </c>
      <c r="R1100" s="6">
        <v>897680.76160852297</v>
      </c>
      <c r="S1100" s="6">
        <v>764790.48913103598</v>
      </c>
      <c r="T1100" s="6">
        <v>13468246.6</v>
      </c>
      <c r="U1100" s="6">
        <v>7819704.60135308</v>
      </c>
      <c r="V1100" s="6">
        <v>17071581.814330898</v>
      </c>
      <c r="W1100" s="6">
        <v>3778685.8230343699</v>
      </c>
      <c r="X1100" s="6">
        <v>0</v>
      </c>
      <c r="Y1100" s="6">
        <v>0</v>
      </c>
      <c r="Z1100" s="6">
        <v>4006.25779556213</v>
      </c>
      <c r="AA1100" s="6">
        <v>426231.12443840498</v>
      </c>
      <c r="AB1100" s="6">
        <v>7446.18175380925</v>
      </c>
      <c r="AC1100" s="6">
        <v>635140.43667320395</v>
      </c>
      <c r="AD1100" s="6">
        <v>129650.052457832</v>
      </c>
      <c r="AE1100" s="6">
        <v>0</v>
      </c>
      <c r="AF1100" s="6">
        <v>0</v>
      </c>
      <c r="AG1100" s="6">
        <v>0</v>
      </c>
      <c r="AH1100" s="6">
        <v>0</v>
      </c>
      <c r="AI1100" s="6">
        <v>0</v>
      </c>
      <c r="AJ1100" s="6">
        <v>22052741.690484099</v>
      </c>
      <c r="AK1100" s="6">
        <v>13402.0438693698</v>
      </c>
      <c r="AL1100" s="6">
        <v>330.98244656580999</v>
      </c>
      <c r="AM1100" s="6">
        <v>93035.839999999997</v>
      </c>
      <c r="AN1100" s="6">
        <v>5217.0284046224897</v>
      </c>
      <c r="AO1100" s="6">
        <v>25156.486443780901</v>
      </c>
      <c r="AP1100" s="6">
        <v>330.98244656580999</v>
      </c>
      <c r="AQ1100" s="6">
        <v>40734.411818744898</v>
      </c>
      <c r="AR1100" s="6">
        <v>12761.344759519199</v>
      </c>
      <c r="AS1100" s="6">
        <v>25156.486443780901</v>
      </c>
      <c r="AT1100" s="6">
        <v>0</v>
      </c>
      <c r="AU1100" t="s">
        <v>2973</v>
      </c>
      <c r="AV1100" t="s">
        <v>2973</v>
      </c>
    </row>
    <row r="1101" spans="1:48" x14ac:dyDescent="0.45">
      <c r="A1101" s="5" t="s">
        <v>2216</v>
      </c>
      <c r="B1101">
        <v>2142</v>
      </c>
      <c r="C1101" t="s">
        <v>2122</v>
      </c>
      <c r="D1101">
        <v>1331</v>
      </c>
      <c r="E1101" t="s">
        <v>2217</v>
      </c>
      <c r="F1101" t="s">
        <v>2739</v>
      </c>
      <c r="G1101" t="s">
        <v>2747</v>
      </c>
      <c r="H1101" t="s">
        <v>2741</v>
      </c>
      <c r="I1101" t="s">
        <v>2742</v>
      </c>
      <c r="J1101">
        <v>1110.0068677127899</v>
      </c>
      <c r="K1101">
        <v>3</v>
      </c>
      <c r="L1101">
        <v>1</v>
      </c>
      <c r="M1101">
        <v>2</v>
      </c>
      <c r="N1101" s="6">
        <v>7817525.0970480498</v>
      </c>
      <c r="O1101" s="6">
        <v>2386831.3876487399</v>
      </c>
      <c r="P1101" s="6">
        <v>2336140.9485130599</v>
      </c>
      <c r="Q1101" s="6">
        <v>344295.37256001</v>
      </c>
      <c r="R1101" s="6">
        <v>602432.832734589</v>
      </c>
      <c r="S1101" s="6">
        <v>515913.13967921498</v>
      </c>
      <c r="T1101" s="6">
        <v>8212201.4199999999</v>
      </c>
      <c r="U1101" s="6">
        <v>5275024.2185044298</v>
      </c>
      <c r="V1101" s="6">
        <v>11196199.6910567</v>
      </c>
      <c r="W1101" s="6">
        <v>1998898.4883296799</v>
      </c>
      <c r="X1101" s="6">
        <v>0</v>
      </c>
      <c r="Y1101" s="6">
        <v>0</v>
      </c>
      <c r="Z1101" s="6">
        <v>2702.54542524608</v>
      </c>
      <c r="AA1101" s="6">
        <v>287527.42190592701</v>
      </c>
      <c r="AB1101" s="6">
        <v>1897.49178690642</v>
      </c>
      <c r="AC1101" s="6">
        <v>428453.67650114303</v>
      </c>
      <c r="AD1101" s="6">
        <v>87459.463178071397</v>
      </c>
      <c r="AE1101" s="6">
        <v>0</v>
      </c>
      <c r="AF1101" s="6">
        <v>0</v>
      </c>
      <c r="AG1101" s="6">
        <v>0</v>
      </c>
      <c r="AH1101" s="6">
        <v>0</v>
      </c>
      <c r="AI1101" s="6">
        <v>0</v>
      </c>
      <c r="AJ1101" s="6">
        <v>14003138.7781836</v>
      </c>
      <c r="AK1101" s="6">
        <v>12615.3622878367</v>
      </c>
      <c r="AL1101" s="6">
        <v>330.98244656580999</v>
      </c>
      <c r="AM1101" s="6">
        <v>93035.839999999997</v>
      </c>
      <c r="AN1101" s="6">
        <v>5217.0284046224897</v>
      </c>
      <c r="AO1101" s="6">
        <v>25156.486443780901</v>
      </c>
      <c r="AP1101" s="6">
        <v>3753.1860850462999</v>
      </c>
      <c r="AQ1101" s="6">
        <v>20687.885194392002</v>
      </c>
      <c r="AR1101" s="6">
        <v>8191.44180345933</v>
      </c>
      <c r="AS1101" s="6">
        <v>13668.6590114398</v>
      </c>
      <c r="AT1101" s="6">
        <v>0</v>
      </c>
      <c r="AU1101" t="s">
        <v>2973</v>
      </c>
      <c r="AV1101" t="s">
        <v>2973</v>
      </c>
    </row>
    <row r="1102" spans="1:48" x14ac:dyDescent="0.45">
      <c r="A1102" s="5" t="s">
        <v>2218</v>
      </c>
      <c r="B1102">
        <v>2142</v>
      </c>
      <c r="C1102" t="s">
        <v>2122</v>
      </c>
      <c r="D1102">
        <v>4859</v>
      </c>
      <c r="E1102" t="s">
        <v>2219</v>
      </c>
      <c r="F1102" t="s">
        <v>2739</v>
      </c>
      <c r="G1102" t="s">
        <v>2747</v>
      </c>
      <c r="H1102" t="s">
        <v>2741</v>
      </c>
      <c r="I1102" t="s">
        <v>2742</v>
      </c>
      <c r="J1102">
        <v>660.16075398272096</v>
      </c>
      <c r="K1102">
        <v>1</v>
      </c>
      <c r="L1102">
        <v>1</v>
      </c>
      <c r="M1102">
        <v>2</v>
      </c>
      <c r="N1102" s="6">
        <v>4564139.0016651899</v>
      </c>
      <c r="O1102" s="6">
        <v>1763242.4080914799</v>
      </c>
      <c r="P1102" s="6">
        <v>1388150.0096735801</v>
      </c>
      <c r="Q1102" s="6">
        <v>204764.762591351</v>
      </c>
      <c r="R1102" s="6">
        <v>367386.12109956302</v>
      </c>
      <c r="S1102" s="6">
        <v>306831.982023691</v>
      </c>
      <c r="T1102" s="6">
        <v>5150436.88</v>
      </c>
      <c r="U1102" s="6">
        <v>3137245.4231211599</v>
      </c>
      <c r="V1102" s="6">
        <v>7051122.9382043304</v>
      </c>
      <c r="W1102" s="6">
        <v>1053722.93929229</v>
      </c>
      <c r="X1102" s="6">
        <v>0</v>
      </c>
      <c r="Y1102" s="6">
        <v>0</v>
      </c>
      <c r="Z1102" s="6">
        <v>1607.3003487620199</v>
      </c>
      <c r="AA1102" s="6">
        <v>171002.83354754801</v>
      </c>
      <c r="AB1102" s="6">
        <v>10226.291728243301</v>
      </c>
      <c r="AC1102" s="6">
        <v>254816.71361951399</v>
      </c>
      <c r="AD1102" s="6">
        <v>52015.268404176299</v>
      </c>
      <c r="AE1102" s="6">
        <v>0</v>
      </c>
      <c r="AF1102" s="6">
        <v>0</v>
      </c>
      <c r="AG1102" s="6">
        <v>0</v>
      </c>
      <c r="AH1102" s="6">
        <v>0</v>
      </c>
      <c r="AI1102" s="6">
        <v>0</v>
      </c>
      <c r="AJ1102" s="6">
        <v>8594514.2851448599</v>
      </c>
      <c r="AK1102" s="6">
        <v>13018.820390782899</v>
      </c>
      <c r="AL1102" s="6">
        <v>330.98244656580999</v>
      </c>
      <c r="AM1102" s="6">
        <v>93035.839999999997</v>
      </c>
      <c r="AN1102" s="6">
        <v>5217.0284046224897</v>
      </c>
      <c r="AO1102" s="6">
        <v>25156.486443780901</v>
      </c>
      <c r="AP1102" s="6">
        <v>3753.1860850462999</v>
      </c>
      <c r="AQ1102" s="6">
        <v>20687.885194392002</v>
      </c>
      <c r="AR1102" s="6">
        <v>8191.44180345933</v>
      </c>
      <c r="AS1102" s="6">
        <v>13668.6590114398</v>
      </c>
      <c r="AT1102" s="6">
        <v>0</v>
      </c>
      <c r="AU1102" t="s">
        <v>2973</v>
      </c>
      <c r="AV1102" t="s">
        <v>2973</v>
      </c>
    </row>
    <row r="1103" spans="1:48" x14ac:dyDescent="0.45">
      <c r="A1103" s="5" t="s">
        <v>2220</v>
      </c>
      <c r="B1103">
        <v>2142</v>
      </c>
      <c r="C1103" t="s">
        <v>2122</v>
      </c>
      <c r="D1103">
        <v>761</v>
      </c>
      <c r="E1103" t="s">
        <v>2221</v>
      </c>
      <c r="F1103" t="s">
        <v>2739</v>
      </c>
      <c r="G1103" t="s">
        <v>2740</v>
      </c>
      <c r="H1103" t="s">
        <v>2741</v>
      </c>
      <c r="I1103" t="s">
        <v>2742</v>
      </c>
      <c r="J1103">
        <v>536.58386929840299</v>
      </c>
      <c r="K1103">
        <v>1</v>
      </c>
      <c r="L1103">
        <v>1</v>
      </c>
      <c r="M1103">
        <v>2</v>
      </c>
      <c r="N1103" s="6">
        <v>3785450.6943274001</v>
      </c>
      <c r="O1103" s="6">
        <v>1083082.4202823299</v>
      </c>
      <c r="P1103" s="6">
        <v>1131627.8680608</v>
      </c>
      <c r="Q1103" s="6">
        <v>166434.414563989</v>
      </c>
      <c r="R1103" s="6">
        <v>291737.48456055799</v>
      </c>
      <c r="S1103" s="6">
        <v>249395.455796936</v>
      </c>
      <c r="T1103" s="6">
        <v>3908355.05</v>
      </c>
      <c r="U1103" s="6">
        <v>2549977.8317950699</v>
      </c>
      <c r="V1103" s="6">
        <v>5494914.5223716302</v>
      </c>
      <c r="W1103" s="6">
        <v>821684.32338416902</v>
      </c>
      <c r="X1103" s="6">
        <v>0</v>
      </c>
      <c r="Y1103" s="6">
        <v>0</v>
      </c>
      <c r="Z1103" s="6">
        <v>1306.4264045692901</v>
      </c>
      <c r="AA1103" s="6">
        <v>138992.45226615699</v>
      </c>
      <c r="AB1103" s="6">
        <v>1435.1573685421699</v>
      </c>
      <c r="AC1103" s="6">
        <v>207117.03525387199</v>
      </c>
      <c r="AD1103" s="6">
        <v>42278.420543064203</v>
      </c>
      <c r="AE1103" s="6">
        <v>0</v>
      </c>
      <c r="AF1103" s="6">
        <v>0</v>
      </c>
      <c r="AG1103" s="6">
        <v>0</v>
      </c>
      <c r="AH1103" s="6">
        <v>0</v>
      </c>
      <c r="AI1103" s="6">
        <v>0</v>
      </c>
      <c r="AJ1103" s="6">
        <v>6707728.3375920001</v>
      </c>
      <c r="AK1103" s="6">
        <v>12500.8013125004</v>
      </c>
      <c r="AL1103" s="6">
        <v>330.98244656580999</v>
      </c>
      <c r="AM1103" s="6">
        <v>93035.839999999997</v>
      </c>
      <c r="AN1103" s="6">
        <v>5217.0284046224897</v>
      </c>
      <c r="AO1103" s="6">
        <v>25156.486443780901</v>
      </c>
      <c r="AP1103" s="6">
        <v>330.98244656580999</v>
      </c>
      <c r="AQ1103" s="6">
        <v>93035.839999999997</v>
      </c>
      <c r="AR1103" s="6">
        <v>11562.258644801401</v>
      </c>
      <c r="AS1103" s="6">
        <v>17404.903521853601</v>
      </c>
      <c r="AT1103" s="6">
        <v>0</v>
      </c>
      <c r="AU1103" t="s">
        <v>2973</v>
      </c>
      <c r="AV1103" t="s">
        <v>2973</v>
      </c>
    </row>
    <row r="1104" spans="1:48" x14ac:dyDescent="0.45">
      <c r="A1104" s="5" t="s">
        <v>2222</v>
      </c>
      <c r="B1104">
        <v>2142</v>
      </c>
      <c r="C1104" t="s">
        <v>2122</v>
      </c>
      <c r="D1104">
        <v>762</v>
      </c>
      <c r="E1104" t="s">
        <v>2223</v>
      </c>
      <c r="F1104" t="s">
        <v>2739</v>
      </c>
      <c r="G1104" t="s">
        <v>2740</v>
      </c>
      <c r="H1104" t="s">
        <v>2741</v>
      </c>
      <c r="I1104" t="s">
        <v>2742</v>
      </c>
      <c r="J1104">
        <v>532.70754786714895</v>
      </c>
      <c r="K1104">
        <v>4</v>
      </c>
      <c r="L1104">
        <v>1</v>
      </c>
      <c r="M1104">
        <v>2</v>
      </c>
      <c r="N1104" s="6">
        <v>4280411.2550539896</v>
      </c>
      <c r="O1104" s="6">
        <v>1170098.55778503</v>
      </c>
      <c r="P1104" s="6">
        <v>1121460.4222283999</v>
      </c>
      <c r="Q1104" s="6">
        <v>165232.080082865</v>
      </c>
      <c r="R1104" s="6">
        <v>288703.72879174998</v>
      </c>
      <c r="S1104" s="6">
        <v>247593.80463767401</v>
      </c>
      <c r="T1104" s="6">
        <v>4494349.4400000004</v>
      </c>
      <c r="U1104" s="6">
        <v>2531556.6039420399</v>
      </c>
      <c r="V1104" s="6">
        <v>6056785.3593504904</v>
      </c>
      <c r="W1104" s="6">
        <v>829336.76835002296</v>
      </c>
      <c r="X1104" s="6">
        <v>0</v>
      </c>
      <c r="Y1104" s="6">
        <v>0</v>
      </c>
      <c r="Z1104" s="6">
        <v>1296.9886839068899</v>
      </c>
      <c r="AA1104" s="6">
        <v>137988.36054382101</v>
      </c>
      <c r="AB1104" s="6">
        <v>498.56701379728003</v>
      </c>
      <c r="AC1104" s="6">
        <v>205620.80652157299</v>
      </c>
      <c r="AD1104" s="6">
        <v>41972.998116100702</v>
      </c>
      <c r="AE1104" s="6">
        <v>0</v>
      </c>
      <c r="AF1104" s="6">
        <v>0</v>
      </c>
      <c r="AG1104" s="6">
        <v>0</v>
      </c>
      <c r="AH1104" s="6">
        <v>0</v>
      </c>
      <c r="AI1104" s="6">
        <v>0</v>
      </c>
      <c r="AJ1104" s="6">
        <v>7273499.8485797197</v>
      </c>
      <c r="AK1104" s="6">
        <v>13653.8329101987</v>
      </c>
      <c r="AL1104" s="6">
        <v>330.98244656580999</v>
      </c>
      <c r="AM1104" s="6">
        <v>93035.839999999997</v>
      </c>
      <c r="AN1104" s="6">
        <v>5217.0284046224897</v>
      </c>
      <c r="AO1104" s="6">
        <v>25156.486443780901</v>
      </c>
      <c r="AP1104" s="6">
        <v>330.98244656580999</v>
      </c>
      <c r="AQ1104" s="6">
        <v>93035.839999999997</v>
      </c>
      <c r="AR1104" s="6">
        <v>11562.258644801401</v>
      </c>
      <c r="AS1104" s="6">
        <v>17404.903521853601</v>
      </c>
      <c r="AT1104" s="6">
        <v>0</v>
      </c>
      <c r="AU1104" t="s">
        <v>2973</v>
      </c>
      <c r="AV1104" t="s">
        <v>2973</v>
      </c>
    </row>
    <row r="1105" spans="1:48" x14ac:dyDescent="0.45">
      <c r="A1105" s="5" t="s">
        <v>2224</v>
      </c>
      <c r="B1105">
        <v>2142</v>
      </c>
      <c r="C1105" t="s">
        <v>2122</v>
      </c>
      <c r="D1105">
        <v>4390</v>
      </c>
      <c r="E1105" t="s">
        <v>2225</v>
      </c>
      <c r="F1105" t="s">
        <v>3</v>
      </c>
      <c r="G1105" t="s">
        <v>2740</v>
      </c>
      <c r="H1105" t="s">
        <v>2741</v>
      </c>
      <c r="I1105" t="s">
        <v>2742</v>
      </c>
      <c r="J1105">
        <v>166.19501737265099</v>
      </c>
      <c r="K1105">
        <v>1</v>
      </c>
      <c r="L1105">
        <v>1</v>
      </c>
      <c r="M1105">
        <v>2</v>
      </c>
      <c r="N1105" s="6">
        <v>234963.83945075999</v>
      </c>
      <c r="O1105" s="6">
        <v>160206.79340412701</v>
      </c>
      <c r="P1105" s="6">
        <v>346392.946324374</v>
      </c>
      <c r="Q1105" s="6">
        <v>51549.388646431202</v>
      </c>
      <c r="R1105" s="6">
        <v>1051232.06732761</v>
      </c>
      <c r="S1105" s="6">
        <v>77244.741186548796</v>
      </c>
      <c r="T1105" s="6">
        <v>1054545.6499999999</v>
      </c>
      <c r="U1105" s="6">
        <v>789799.38515330001</v>
      </c>
      <c r="V1105" s="6">
        <v>596060.90608864406</v>
      </c>
      <c r="W1105" s="6">
        <v>243512.32109137799</v>
      </c>
      <c r="X1105" s="6">
        <v>0</v>
      </c>
      <c r="Y1105" s="6">
        <v>0</v>
      </c>
      <c r="Z1105" s="6">
        <v>404.63676123431497</v>
      </c>
      <c r="AA1105" s="6">
        <v>1004264.68614846</v>
      </c>
      <c r="AB1105" s="6">
        <v>102.485063584115</v>
      </c>
      <c r="AC1105" s="6">
        <v>64149.933014566101</v>
      </c>
      <c r="AD1105" s="6">
        <v>13094.808171982701</v>
      </c>
      <c r="AE1105" s="6">
        <v>0</v>
      </c>
      <c r="AF1105" s="6">
        <v>0</v>
      </c>
      <c r="AG1105" s="6">
        <v>0</v>
      </c>
      <c r="AH1105" s="6">
        <v>0</v>
      </c>
      <c r="AI1105" s="6">
        <v>0</v>
      </c>
      <c r="AJ1105" s="6">
        <v>1921589.7763398499</v>
      </c>
      <c r="AK1105" s="6">
        <v>11562.258644801401</v>
      </c>
      <c r="AL1105" s="6">
        <v>330.98244656580999</v>
      </c>
      <c r="AM1105" s="6">
        <v>93035.839999999997</v>
      </c>
      <c r="AN1105" s="6">
        <v>5217.0284046224897</v>
      </c>
      <c r="AO1105" s="6">
        <v>25156.486443780901</v>
      </c>
      <c r="AP1105" s="6">
        <v>330.98244656580999</v>
      </c>
      <c r="AQ1105" s="6">
        <v>93035.839999999997</v>
      </c>
      <c r="AR1105" s="6">
        <v>11562.258644801401</v>
      </c>
      <c r="AS1105" s="6">
        <v>17404.903521853601</v>
      </c>
      <c r="AT1105" s="6">
        <v>0</v>
      </c>
      <c r="AU1105" t="s">
        <v>2973</v>
      </c>
      <c r="AV1105" t="s">
        <v>2973</v>
      </c>
    </row>
    <row r="1106" spans="1:48" x14ac:dyDescent="0.45">
      <c r="A1106" s="5" t="s">
        <v>2226</v>
      </c>
      <c r="B1106">
        <v>2142</v>
      </c>
      <c r="C1106" t="s">
        <v>2122</v>
      </c>
      <c r="D1106">
        <v>768</v>
      </c>
      <c r="E1106" t="s">
        <v>2227</v>
      </c>
      <c r="F1106" t="s">
        <v>2739</v>
      </c>
      <c r="G1106" t="s">
        <v>2747</v>
      </c>
      <c r="H1106" t="s">
        <v>2741</v>
      </c>
      <c r="I1106" t="s">
        <v>2742</v>
      </c>
      <c r="J1106">
        <v>1034.66782896573</v>
      </c>
      <c r="K1106">
        <v>4</v>
      </c>
      <c r="L1106">
        <v>1</v>
      </c>
      <c r="M1106">
        <v>2</v>
      </c>
      <c r="N1106" s="6">
        <v>7606244.2867616396</v>
      </c>
      <c r="O1106" s="6">
        <v>2408909.7930608299</v>
      </c>
      <c r="P1106" s="6">
        <v>2177253.9221347901</v>
      </c>
      <c r="Q1106" s="6">
        <v>320927.15460728598</v>
      </c>
      <c r="R1106" s="6">
        <v>561251.57676375203</v>
      </c>
      <c r="S1106" s="6">
        <v>480896.77973497403</v>
      </c>
      <c r="T1106" s="6">
        <v>8157592.0599999996</v>
      </c>
      <c r="U1106" s="6">
        <v>4916994.6733283</v>
      </c>
      <c r="V1106" s="6">
        <v>11101082.595617101</v>
      </c>
      <c r="W1106" s="6">
        <v>1701496.70580371</v>
      </c>
      <c r="X1106" s="6">
        <v>0</v>
      </c>
      <c r="Y1106" s="6">
        <v>0</v>
      </c>
      <c r="Z1106" s="6">
        <v>2519.1166731989401</v>
      </c>
      <c r="AA1106" s="6">
        <v>268012.19167636201</v>
      </c>
      <c r="AB1106" s="6">
        <v>1476.12355790281</v>
      </c>
      <c r="AC1106" s="6">
        <v>399373.41666297399</v>
      </c>
      <c r="AD1106" s="6">
        <v>81523.363071999906</v>
      </c>
      <c r="AE1106" s="6">
        <v>0</v>
      </c>
      <c r="AF1106" s="6">
        <v>0</v>
      </c>
      <c r="AG1106" s="6">
        <v>0</v>
      </c>
      <c r="AH1106" s="6">
        <v>0</v>
      </c>
      <c r="AI1106" s="6">
        <v>0</v>
      </c>
      <c r="AJ1106" s="6">
        <v>13555483.5130633</v>
      </c>
      <c r="AK1106" s="6">
        <v>13101.2902243357</v>
      </c>
      <c r="AL1106" s="6">
        <v>330.98244656580999</v>
      </c>
      <c r="AM1106" s="6">
        <v>93035.839999999997</v>
      </c>
      <c r="AN1106" s="6">
        <v>5217.0284046224897</v>
      </c>
      <c r="AO1106" s="6">
        <v>25156.486443780901</v>
      </c>
      <c r="AP1106" s="6">
        <v>3753.1860850462999</v>
      </c>
      <c r="AQ1106" s="6">
        <v>20687.885194392002</v>
      </c>
      <c r="AR1106" s="6">
        <v>8191.44180345933</v>
      </c>
      <c r="AS1106" s="6">
        <v>13668.6590114398</v>
      </c>
      <c r="AT1106" s="6">
        <v>0</v>
      </c>
      <c r="AU1106" t="s">
        <v>2973</v>
      </c>
      <c r="AV1106" t="s">
        <v>2973</v>
      </c>
    </row>
    <row r="1107" spans="1:48" x14ac:dyDescent="0.45">
      <c r="A1107" s="5" t="s">
        <v>2228</v>
      </c>
      <c r="B1107">
        <v>2142</v>
      </c>
      <c r="C1107" t="s">
        <v>2122</v>
      </c>
      <c r="D1107">
        <v>769</v>
      </c>
      <c r="E1107" t="s">
        <v>2229</v>
      </c>
      <c r="F1107" t="s">
        <v>2739</v>
      </c>
      <c r="G1107" t="s">
        <v>2747</v>
      </c>
      <c r="H1107" t="s">
        <v>2741</v>
      </c>
      <c r="I1107" t="s">
        <v>2742</v>
      </c>
      <c r="J1107">
        <v>679.08237559516294</v>
      </c>
      <c r="K1107">
        <v>1</v>
      </c>
      <c r="L1107">
        <v>1</v>
      </c>
      <c r="M1107">
        <v>2</v>
      </c>
      <c r="N1107" s="6">
        <v>4617273.2338247197</v>
      </c>
      <c r="O1107" s="6">
        <v>1801433.8289152801</v>
      </c>
      <c r="P1107" s="6">
        <v>1430697.9112496499</v>
      </c>
      <c r="Q1107" s="6">
        <v>210633.759398478</v>
      </c>
      <c r="R1107" s="6">
        <v>371517.05515021598</v>
      </c>
      <c r="S1107" s="6">
        <v>315626.444020139</v>
      </c>
      <c r="T1107" s="6">
        <v>5204390.1900000004</v>
      </c>
      <c r="U1107" s="6">
        <v>3227165.5985383401</v>
      </c>
      <c r="V1107" s="6">
        <v>6965249.3442509603</v>
      </c>
      <c r="W1107" s="6">
        <v>1284628.6742847001</v>
      </c>
      <c r="X1107" s="6">
        <v>0</v>
      </c>
      <c r="Y1107" s="6">
        <v>0</v>
      </c>
      <c r="Z1107" s="6">
        <v>1653.36902042016</v>
      </c>
      <c r="AA1107" s="6">
        <v>175904.14113289199</v>
      </c>
      <c r="AB1107" s="6">
        <v>4120.2598493742498</v>
      </c>
      <c r="AC1107" s="6">
        <v>262120.306580087</v>
      </c>
      <c r="AD1107" s="6">
        <v>53506.137440052298</v>
      </c>
      <c r="AE1107" s="6">
        <v>0</v>
      </c>
      <c r="AF1107" s="6">
        <v>0</v>
      </c>
      <c r="AG1107" s="6">
        <v>0</v>
      </c>
      <c r="AH1107" s="6">
        <v>0</v>
      </c>
      <c r="AI1107" s="6">
        <v>0</v>
      </c>
      <c r="AJ1107" s="6">
        <v>8747182.2325584795</v>
      </c>
      <c r="AK1107" s="6">
        <v>12880.885363711999</v>
      </c>
      <c r="AL1107" s="6">
        <v>330.98244656580999</v>
      </c>
      <c r="AM1107" s="6">
        <v>93035.839999999997</v>
      </c>
      <c r="AN1107" s="6">
        <v>5217.0284046224897</v>
      </c>
      <c r="AO1107" s="6">
        <v>25156.486443780901</v>
      </c>
      <c r="AP1107" s="6">
        <v>3753.1860850462999</v>
      </c>
      <c r="AQ1107" s="6">
        <v>20687.885194392002</v>
      </c>
      <c r="AR1107" s="6">
        <v>8191.44180345933</v>
      </c>
      <c r="AS1107" s="6">
        <v>13668.6590114398</v>
      </c>
      <c r="AT1107" s="6">
        <v>0</v>
      </c>
      <c r="AU1107" t="s">
        <v>2973</v>
      </c>
      <c r="AV1107" t="s">
        <v>2973</v>
      </c>
    </row>
    <row r="1108" spans="1:48" x14ac:dyDescent="0.45">
      <c r="A1108" s="5" t="s">
        <v>2230</v>
      </c>
      <c r="B1108">
        <v>2142</v>
      </c>
      <c r="C1108" t="s">
        <v>2122</v>
      </c>
      <c r="D1108">
        <v>763</v>
      </c>
      <c r="E1108" t="s">
        <v>1428</v>
      </c>
      <c r="F1108" t="s">
        <v>2739</v>
      </c>
      <c r="G1108" t="s">
        <v>2740</v>
      </c>
      <c r="H1108" t="s">
        <v>2741</v>
      </c>
      <c r="I1108" t="s">
        <v>2742</v>
      </c>
      <c r="J1108">
        <v>389.22307237371803</v>
      </c>
      <c r="K1108">
        <v>5</v>
      </c>
      <c r="L1108">
        <v>1</v>
      </c>
      <c r="M1108">
        <v>2</v>
      </c>
      <c r="N1108" s="6">
        <v>3245265.25290363</v>
      </c>
      <c r="O1108" s="6">
        <v>980790.95571585605</v>
      </c>
      <c r="P1108" s="6">
        <v>820668.65691933804</v>
      </c>
      <c r="Q1108" s="6">
        <v>120726.913147834</v>
      </c>
      <c r="R1108" s="6">
        <v>211627.37165444001</v>
      </c>
      <c r="S1108" s="6">
        <v>180904.553967024</v>
      </c>
      <c r="T1108" s="6">
        <v>3529395.88</v>
      </c>
      <c r="U1108" s="6">
        <v>1849683.2703410999</v>
      </c>
      <c r="V1108" s="6">
        <v>4633495.7189774103</v>
      </c>
      <c r="W1108" s="6">
        <v>642764.40532062203</v>
      </c>
      <c r="X1108" s="6">
        <v>0</v>
      </c>
      <c r="Y1108" s="6">
        <v>0</v>
      </c>
      <c r="Z1108" s="6">
        <v>947.64551845636697</v>
      </c>
      <c r="AA1108" s="6">
        <v>100821.273994925</v>
      </c>
      <c r="AB1108" s="6">
        <v>1050.1065296844199</v>
      </c>
      <c r="AC1108" s="6">
        <v>150236.95905703201</v>
      </c>
      <c r="AD1108" s="6">
        <v>30667.594909992102</v>
      </c>
      <c r="AE1108" s="6">
        <v>0</v>
      </c>
      <c r="AF1108" s="6">
        <v>0</v>
      </c>
      <c r="AG1108" s="6">
        <v>0</v>
      </c>
      <c r="AH1108" s="6">
        <v>0</v>
      </c>
      <c r="AI1108" s="6">
        <v>0</v>
      </c>
      <c r="AJ1108" s="6">
        <v>5559983.7043081196</v>
      </c>
      <c r="AK1108" s="6">
        <v>14284.825589603401</v>
      </c>
      <c r="AL1108" s="6">
        <v>330.98244656580999</v>
      </c>
      <c r="AM1108" s="6">
        <v>93035.839999999997</v>
      </c>
      <c r="AN1108" s="6">
        <v>5217.0284046224897</v>
      </c>
      <c r="AO1108" s="6">
        <v>25156.486443780901</v>
      </c>
      <c r="AP1108" s="6">
        <v>330.98244656580999</v>
      </c>
      <c r="AQ1108" s="6">
        <v>93035.839999999997</v>
      </c>
      <c r="AR1108" s="6">
        <v>11562.258644801401</v>
      </c>
      <c r="AS1108" s="6">
        <v>17404.903521853601</v>
      </c>
      <c r="AT1108" s="6">
        <v>0</v>
      </c>
      <c r="AU1108" t="s">
        <v>2973</v>
      </c>
      <c r="AV1108" t="s">
        <v>2973</v>
      </c>
    </row>
    <row r="1109" spans="1:48" x14ac:dyDescent="0.45">
      <c r="A1109" s="5" t="s">
        <v>2231</v>
      </c>
      <c r="B1109">
        <v>2142</v>
      </c>
      <c r="C1109" t="s">
        <v>2122</v>
      </c>
      <c r="D1109">
        <v>3374</v>
      </c>
      <c r="E1109" t="s">
        <v>2232</v>
      </c>
      <c r="F1109" t="s">
        <v>2739</v>
      </c>
      <c r="G1109" t="s">
        <v>2740</v>
      </c>
      <c r="H1109" t="s">
        <v>2741</v>
      </c>
      <c r="I1109" t="s">
        <v>2742</v>
      </c>
      <c r="J1109">
        <v>431.65518962070502</v>
      </c>
      <c r="K1109">
        <v>4</v>
      </c>
      <c r="L1109">
        <v>1</v>
      </c>
      <c r="M1109">
        <v>2</v>
      </c>
      <c r="N1109" s="6">
        <v>3387123.1908267699</v>
      </c>
      <c r="O1109" s="6">
        <v>996803.21824926801</v>
      </c>
      <c r="P1109" s="6">
        <v>909738.95784889802</v>
      </c>
      <c r="Q1109" s="6">
        <v>133888.256596244</v>
      </c>
      <c r="R1109" s="6">
        <v>236711.48975782501</v>
      </c>
      <c r="S1109" s="6">
        <v>200626.311974916</v>
      </c>
      <c r="T1109" s="6">
        <v>3612934.04</v>
      </c>
      <c r="U1109" s="6">
        <v>2051331.0732790099</v>
      </c>
      <c r="V1109" s="6">
        <v>4864518.0835272502</v>
      </c>
      <c r="W1109" s="6">
        <v>683705.89689429</v>
      </c>
      <c r="X1109" s="6">
        <v>0</v>
      </c>
      <c r="Y1109" s="6">
        <v>0</v>
      </c>
      <c r="Z1109" s="6">
        <v>1050.9554417414699</v>
      </c>
      <c r="AA1109" s="6">
        <v>111812.55488958801</v>
      </c>
      <c r="AB1109" s="6">
        <v>3177.6225261313198</v>
      </c>
      <c r="AC1109" s="6">
        <v>166615.41324953601</v>
      </c>
      <c r="AD1109" s="6">
        <v>34010.8987253796</v>
      </c>
      <c r="AE1109" s="6">
        <v>0</v>
      </c>
      <c r="AF1109" s="6">
        <v>0</v>
      </c>
      <c r="AG1109" s="6">
        <v>0</v>
      </c>
      <c r="AH1109" s="6">
        <v>0</v>
      </c>
      <c r="AI1109" s="6">
        <v>0</v>
      </c>
      <c r="AJ1109" s="6">
        <v>5864891.4252539203</v>
      </c>
      <c r="AK1109" s="6">
        <v>13586.9823096703</v>
      </c>
      <c r="AL1109" s="6">
        <v>330.98244656580999</v>
      </c>
      <c r="AM1109" s="6">
        <v>93035.839999999997</v>
      </c>
      <c r="AN1109" s="6">
        <v>5217.0284046224897</v>
      </c>
      <c r="AO1109" s="6">
        <v>25156.486443780901</v>
      </c>
      <c r="AP1109" s="6">
        <v>330.98244656580999</v>
      </c>
      <c r="AQ1109" s="6">
        <v>93035.839999999997</v>
      </c>
      <c r="AR1109" s="6">
        <v>11562.258644801401</v>
      </c>
      <c r="AS1109" s="6">
        <v>17404.903521853601</v>
      </c>
      <c r="AT1109" s="6">
        <v>0</v>
      </c>
      <c r="AU1109" t="s">
        <v>2973</v>
      </c>
      <c r="AV1109" t="s">
        <v>2973</v>
      </c>
    </row>
    <row r="1110" spans="1:48" x14ac:dyDescent="0.45">
      <c r="A1110" s="5" t="s">
        <v>2233</v>
      </c>
      <c r="B1110">
        <v>2142</v>
      </c>
      <c r="C1110" t="s">
        <v>2122</v>
      </c>
      <c r="D1110">
        <v>3463</v>
      </c>
      <c r="E1110" t="s">
        <v>2234</v>
      </c>
      <c r="F1110" t="s">
        <v>2739</v>
      </c>
      <c r="G1110" t="s">
        <v>2744</v>
      </c>
      <c r="H1110" t="s">
        <v>2745</v>
      </c>
      <c r="I1110" t="s">
        <v>2742</v>
      </c>
      <c r="J1110">
        <v>1655.5539810211501</v>
      </c>
      <c r="K1110">
        <v>1</v>
      </c>
      <c r="L1110">
        <v>1</v>
      </c>
      <c r="M1110">
        <v>2</v>
      </c>
      <c r="N1110" s="6">
        <v>12372791.836134501</v>
      </c>
      <c r="O1110" s="6">
        <v>4906222.3145295102</v>
      </c>
      <c r="P1110" s="6">
        <v>3573750.0308286902</v>
      </c>
      <c r="Q1110" s="6">
        <v>513509.95319820801</v>
      </c>
      <c r="R1110" s="6">
        <v>901671.78416265699</v>
      </c>
      <c r="S1110" s="6">
        <v>769474.56551957596</v>
      </c>
      <c r="T1110" s="6">
        <v>14400348.34</v>
      </c>
      <c r="U1110" s="6">
        <v>7867597.5788535699</v>
      </c>
      <c r="V1110" s="6">
        <v>18202258.5263271</v>
      </c>
      <c r="W1110" s="6">
        <v>3626830.1292159702</v>
      </c>
      <c r="X1110" s="6">
        <v>0</v>
      </c>
      <c r="Y1110" s="6">
        <v>0</v>
      </c>
      <c r="Z1110" s="6">
        <v>4030.79473451899</v>
      </c>
      <c r="AA1110" s="6">
        <v>428841.642187274</v>
      </c>
      <c r="AB1110" s="6">
        <v>5984.8263887363501</v>
      </c>
      <c r="AC1110" s="6">
        <v>639030.45147478394</v>
      </c>
      <c r="AD1110" s="6">
        <v>130444.114044791</v>
      </c>
      <c r="AE1110" s="6">
        <v>0</v>
      </c>
      <c r="AF1110" s="6">
        <v>0</v>
      </c>
      <c r="AG1110" s="6">
        <v>0</v>
      </c>
      <c r="AH1110" s="6">
        <v>0</v>
      </c>
      <c r="AI1110" s="6">
        <v>0</v>
      </c>
      <c r="AJ1110" s="6">
        <v>23037420.484373201</v>
      </c>
      <c r="AK1110" s="6">
        <v>13915.233661039299</v>
      </c>
      <c r="AL1110" s="6">
        <v>330.98244656580999</v>
      </c>
      <c r="AM1110" s="6">
        <v>93035.839999999997</v>
      </c>
      <c r="AN1110" s="6">
        <v>5217.0284046224897</v>
      </c>
      <c r="AO1110" s="6">
        <v>25156.486443780901</v>
      </c>
      <c r="AP1110" s="6">
        <v>330.98244656580999</v>
      </c>
      <c r="AQ1110" s="6">
        <v>40734.411818744898</v>
      </c>
      <c r="AR1110" s="6">
        <v>12761.344759519199</v>
      </c>
      <c r="AS1110" s="6">
        <v>25156.486443780901</v>
      </c>
      <c r="AT1110" s="6">
        <v>0</v>
      </c>
      <c r="AU1110" t="s">
        <v>2973</v>
      </c>
      <c r="AV1110" t="s">
        <v>2973</v>
      </c>
    </row>
    <row r="1111" spans="1:48" x14ac:dyDescent="0.45">
      <c r="A1111" s="5" t="s">
        <v>2235</v>
      </c>
      <c r="B1111">
        <v>2142</v>
      </c>
      <c r="C1111" t="s">
        <v>2122</v>
      </c>
      <c r="D1111">
        <v>770</v>
      </c>
      <c r="E1111" t="s">
        <v>2236</v>
      </c>
      <c r="F1111" t="s">
        <v>2739</v>
      </c>
      <c r="G1111" t="s">
        <v>2747</v>
      </c>
      <c r="H1111" t="s">
        <v>2741</v>
      </c>
      <c r="I1111" t="s">
        <v>2742</v>
      </c>
      <c r="J1111">
        <v>790.27643493820506</v>
      </c>
      <c r="K1111">
        <v>1</v>
      </c>
      <c r="L1111">
        <v>1</v>
      </c>
      <c r="M1111">
        <v>2</v>
      </c>
      <c r="N1111" s="6">
        <v>5945911.7955382997</v>
      </c>
      <c r="O1111" s="6">
        <v>2084013.5807850901</v>
      </c>
      <c r="P1111" s="6">
        <v>1662958.4460255001</v>
      </c>
      <c r="Q1111" s="6">
        <v>245123.275816387</v>
      </c>
      <c r="R1111" s="6">
        <v>429740.33599659702</v>
      </c>
      <c r="S1111" s="6">
        <v>367307.63441453001</v>
      </c>
      <c r="T1111" s="6">
        <v>6612160.46</v>
      </c>
      <c r="U1111" s="6">
        <v>3755586.9741618801</v>
      </c>
      <c r="V1111" s="6">
        <v>8754716.3259470295</v>
      </c>
      <c r="W1111" s="6">
        <v>1404214.65254444</v>
      </c>
      <c r="X1111" s="6">
        <v>0</v>
      </c>
      <c r="Y1111" s="6">
        <v>0</v>
      </c>
      <c r="Z1111" s="6">
        <v>1924.0943691842499</v>
      </c>
      <c r="AA1111" s="6">
        <v>204706.97302891201</v>
      </c>
      <c r="AB1111" s="6">
        <v>2185.3882723155698</v>
      </c>
      <c r="AC1111" s="6">
        <v>305040.31447947898</v>
      </c>
      <c r="AD1111" s="6">
        <v>62267.319935050502</v>
      </c>
      <c r="AE1111" s="6">
        <v>0</v>
      </c>
      <c r="AF1111" s="6">
        <v>0</v>
      </c>
      <c r="AG1111" s="6">
        <v>0</v>
      </c>
      <c r="AH1111" s="6">
        <v>0</v>
      </c>
      <c r="AI1111" s="6">
        <v>0</v>
      </c>
      <c r="AJ1111" s="6">
        <v>10735055.068576399</v>
      </c>
      <c r="AK1111" s="6">
        <v>13583.9240473061</v>
      </c>
      <c r="AL1111" s="6">
        <v>330.98244656580999</v>
      </c>
      <c r="AM1111" s="6">
        <v>93035.839999999997</v>
      </c>
      <c r="AN1111" s="6">
        <v>5217.0284046224897</v>
      </c>
      <c r="AO1111" s="6">
        <v>25156.486443780901</v>
      </c>
      <c r="AP1111" s="6">
        <v>3753.1860850462999</v>
      </c>
      <c r="AQ1111" s="6">
        <v>20687.885194392002</v>
      </c>
      <c r="AR1111" s="6">
        <v>8191.44180345933</v>
      </c>
      <c r="AS1111" s="6">
        <v>13668.6590114398</v>
      </c>
      <c r="AT1111" s="6">
        <v>0</v>
      </c>
      <c r="AU1111" t="s">
        <v>2973</v>
      </c>
      <c r="AV1111" t="s">
        <v>2973</v>
      </c>
    </row>
    <row r="1112" spans="1:48" x14ac:dyDescent="0.45">
      <c r="A1112" s="5" t="s">
        <v>2237</v>
      </c>
      <c r="B1112">
        <v>2142</v>
      </c>
      <c r="C1112" t="s">
        <v>2122</v>
      </c>
      <c r="D1112">
        <v>737</v>
      </c>
      <c r="E1112" t="s">
        <v>2238</v>
      </c>
      <c r="F1112" t="s">
        <v>2739</v>
      </c>
      <c r="G1112" t="s">
        <v>2740</v>
      </c>
      <c r="H1112" t="s">
        <v>2741</v>
      </c>
      <c r="I1112" t="s">
        <v>2742</v>
      </c>
      <c r="J1112">
        <v>411.09529089964502</v>
      </c>
      <c r="K1112">
        <v>1</v>
      </c>
      <c r="L1112">
        <v>1</v>
      </c>
      <c r="M1112">
        <v>2</v>
      </c>
      <c r="N1112" s="6">
        <v>2994884.8127918001</v>
      </c>
      <c r="O1112" s="6">
        <v>951652.12958502199</v>
      </c>
      <c r="P1112" s="6">
        <v>864771.76753532595</v>
      </c>
      <c r="Q1112" s="6">
        <v>127511.10867413299</v>
      </c>
      <c r="R1112" s="6">
        <v>227405.805621451</v>
      </c>
      <c r="S1112" s="6">
        <v>191070.40542226101</v>
      </c>
      <c r="T1112" s="6">
        <v>3212600.22</v>
      </c>
      <c r="U1112" s="6">
        <v>1953625.40420773</v>
      </c>
      <c r="V1112" s="6">
        <v>4400934.3861412797</v>
      </c>
      <c r="W1112" s="6">
        <v>652808.214947653</v>
      </c>
      <c r="X1112" s="6">
        <v>0</v>
      </c>
      <c r="Y1112" s="6">
        <v>0</v>
      </c>
      <c r="Z1112" s="6">
        <v>1000.89803953223</v>
      </c>
      <c r="AA1112" s="6">
        <v>106486.880926782</v>
      </c>
      <c r="AB1112" s="6">
        <v>4995.2441524891901</v>
      </c>
      <c r="AC1112" s="6">
        <v>158679.458570552</v>
      </c>
      <c r="AD1112" s="6">
        <v>32390.946851708199</v>
      </c>
      <c r="AE1112" s="6">
        <v>0</v>
      </c>
      <c r="AF1112" s="6">
        <v>0</v>
      </c>
      <c r="AG1112" s="6">
        <v>0</v>
      </c>
      <c r="AH1112" s="6">
        <v>0</v>
      </c>
      <c r="AI1112" s="6">
        <v>0</v>
      </c>
      <c r="AJ1112" s="6">
        <v>5357296.0296299998</v>
      </c>
      <c r="AK1112" s="6">
        <v>13031.7620956106</v>
      </c>
      <c r="AL1112" s="6">
        <v>330.98244656580999</v>
      </c>
      <c r="AM1112" s="6">
        <v>93035.839999999997</v>
      </c>
      <c r="AN1112" s="6">
        <v>5217.0284046224897</v>
      </c>
      <c r="AO1112" s="6">
        <v>25156.486443780901</v>
      </c>
      <c r="AP1112" s="6">
        <v>330.98244656580999</v>
      </c>
      <c r="AQ1112" s="6">
        <v>93035.839999999997</v>
      </c>
      <c r="AR1112" s="6">
        <v>11562.258644801401</v>
      </c>
      <c r="AS1112" s="6">
        <v>17404.903521853601</v>
      </c>
      <c r="AT1112" s="6">
        <v>0</v>
      </c>
      <c r="AU1112" t="s">
        <v>2973</v>
      </c>
      <c r="AV1112" t="s">
        <v>2973</v>
      </c>
    </row>
    <row r="1113" spans="1:48" x14ac:dyDescent="0.45">
      <c r="A1113" s="5" t="s">
        <v>2239</v>
      </c>
      <c r="B1113">
        <v>2142</v>
      </c>
      <c r="C1113" t="s">
        <v>2122</v>
      </c>
      <c r="D1113">
        <v>764</v>
      </c>
      <c r="E1113" t="s">
        <v>2240</v>
      </c>
      <c r="F1113" t="s">
        <v>2739</v>
      </c>
      <c r="G1113" t="s">
        <v>2740</v>
      </c>
      <c r="H1113" t="s">
        <v>2741</v>
      </c>
      <c r="I1113" t="s">
        <v>2742</v>
      </c>
      <c r="J1113">
        <v>555.02169734597805</v>
      </c>
      <c r="K1113">
        <v>5</v>
      </c>
      <c r="L1113">
        <v>1</v>
      </c>
      <c r="M1113">
        <v>2</v>
      </c>
      <c r="N1113" s="6">
        <v>4208237.2428495903</v>
      </c>
      <c r="O1113" s="6">
        <v>1136543.40925652</v>
      </c>
      <c r="P1113" s="6">
        <v>1167921.74004254</v>
      </c>
      <c r="Q1113" s="6">
        <v>172153.351141308</v>
      </c>
      <c r="R1113" s="6">
        <v>313952.19853325502</v>
      </c>
      <c r="S1113" s="6">
        <v>257965.058412541</v>
      </c>
      <c r="T1113" s="6">
        <v>4361209.04</v>
      </c>
      <c r="U1113" s="6">
        <v>2637598.9018232101</v>
      </c>
      <c r="V1113" s="6">
        <v>5896302.5115039404</v>
      </c>
      <c r="W1113" s="6">
        <v>943711.02420139196</v>
      </c>
      <c r="X1113" s="6">
        <v>0</v>
      </c>
      <c r="Y1113" s="6">
        <v>0</v>
      </c>
      <c r="Z1113" s="6">
        <v>1351.31717893371</v>
      </c>
      <c r="AA1113" s="6">
        <v>143768.44178322001</v>
      </c>
      <c r="AB1113" s="6">
        <v>13674.647155733601</v>
      </c>
      <c r="AC1113" s="6">
        <v>214233.88780989</v>
      </c>
      <c r="AD1113" s="6">
        <v>43731.1706026502</v>
      </c>
      <c r="AE1113" s="6">
        <v>0</v>
      </c>
      <c r="AF1113" s="6">
        <v>0</v>
      </c>
      <c r="AG1113" s="6">
        <v>0</v>
      </c>
      <c r="AH1113" s="6">
        <v>0</v>
      </c>
      <c r="AI1113" s="6">
        <v>0</v>
      </c>
      <c r="AJ1113" s="6">
        <v>7256773.0002357597</v>
      </c>
      <c r="AK1113" s="6">
        <v>13074.755518453499</v>
      </c>
      <c r="AL1113" s="6">
        <v>330.98244656580999</v>
      </c>
      <c r="AM1113" s="6">
        <v>93035.839999999997</v>
      </c>
      <c r="AN1113" s="6">
        <v>5217.0284046224897</v>
      </c>
      <c r="AO1113" s="6">
        <v>25156.486443780901</v>
      </c>
      <c r="AP1113" s="6">
        <v>330.98244656580999</v>
      </c>
      <c r="AQ1113" s="6">
        <v>93035.839999999997</v>
      </c>
      <c r="AR1113" s="6">
        <v>11562.258644801401</v>
      </c>
      <c r="AS1113" s="6">
        <v>17404.903521853601</v>
      </c>
      <c r="AT1113" s="6">
        <v>0</v>
      </c>
      <c r="AU1113" t="s">
        <v>2973</v>
      </c>
      <c r="AV1113" t="s">
        <v>2973</v>
      </c>
    </row>
    <row r="1114" spans="1:48" x14ac:dyDescent="0.45">
      <c r="A1114" s="5" t="s">
        <v>2241</v>
      </c>
      <c r="B1114">
        <v>2104</v>
      </c>
      <c r="C1114" t="s">
        <v>2242</v>
      </c>
      <c r="D1114">
        <v>4399</v>
      </c>
      <c r="E1114" t="s">
        <v>2243</v>
      </c>
      <c r="F1114" t="s">
        <v>3</v>
      </c>
      <c r="G1114" t="s">
        <v>2748</v>
      </c>
      <c r="H1114" t="s">
        <v>2743</v>
      </c>
      <c r="I1114" t="s">
        <v>2742</v>
      </c>
      <c r="J1114">
        <v>4141.0672865947399</v>
      </c>
      <c r="K1114">
        <v>1</v>
      </c>
      <c r="L1114">
        <v>1</v>
      </c>
      <c r="M1114">
        <v>1</v>
      </c>
      <c r="N1114" s="6">
        <v>448623.39634672803</v>
      </c>
      <c r="O1114" s="6">
        <v>516166.17168001999</v>
      </c>
      <c r="P1114" s="6">
        <v>924506.30486812897</v>
      </c>
      <c r="Q1114" s="6">
        <v>510845.64857684699</v>
      </c>
      <c r="R1114" s="6">
        <v>266397.16166651901</v>
      </c>
      <c r="S1114" s="6">
        <v>1485789.30030357</v>
      </c>
      <c r="T1114" s="6">
        <v>0</v>
      </c>
      <c r="U1114" s="6">
        <v>2666538.6831382401</v>
      </c>
      <c r="V1114" s="6">
        <v>2028997.3679859999</v>
      </c>
      <c r="W1114" s="6">
        <v>637541.31515224697</v>
      </c>
      <c r="X1114" s="6">
        <v>0</v>
      </c>
      <c r="Y1114" s="6">
        <v>0</v>
      </c>
      <c r="Z1114" s="6">
        <v>0</v>
      </c>
      <c r="AA1114" s="6">
        <v>0</v>
      </c>
      <c r="AB1114" s="6">
        <v>0</v>
      </c>
      <c r="AC1114" s="6">
        <v>1485789.30030357</v>
      </c>
      <c r="AD1114" s="6">
        <v>0</v>
      </c>
      <c r="AE1114" s="6">
        <v>0</v>
      </c>
      <c r="AF1114" s="6">
        <v>0</v>
      </c>
      <c r="AG1114" s="6">
        <v>0</v>
      </c>
      <c r="AH1114" s="6">
        <v>0</v>
      </c>
      <c r="AI1114" s="6">
        <v>0</v>
      </c>
      <c r="AJ1114" s="6">
        <v>4152327.9834418101</v>
      </c>
      <c r="AK1114" s="6">
        <v>1002.71927405853</v>
      </c>
      <c r="AL1114" s="6">
        <v>330.98244656580999</v>
      </c>
      <c r="AM1114" s="6">
        <v>93035.839999999997</v>
      </c>
      <c r="AN1114" s="6">
        <v>1002.71927405853</v>
      </c>
      <c r="AO1114" s="6">
        <v>13459.3644877606</v>
      </c>
      <c r="AP1114" s="6">
        <v>330.98244656580999</v>
      </c>
      <c r="AQ1114" s="6">
        <v>56162.493707719797</v>
      </c>
      <c r="AR1114" s="6">
        <v>1002.71927405853</v>
      </c>
      <c r="AS1114" s="6">
        <v>1002.71927405853</v>
      </c>
      <c r="AT1114" s="6">
        <v>0</v>
      </c>
      <c r="AU1114" t="s">
        <v>2973</v>
      </c>
      <c r="AV1114" t="s">
        <v>2976</v>
      </c>
    </row>
    <row r="1115" spans="1:48" x14ac:dyDescent="0.45">
      <c r="A1115" s="5" t="s">
        <v>2244</v>
      </c>
      <c r="B1115">
        <v>2104</v>
      </c>
      <c r="C1115" t="s">
        <v>2242</v>
      </c>
      <c r="D1115">
        <v>681</v>
      </c>
      <c r="E1115" t="s">
        <v>2245</v>
      </c>
      <c r="F1115" t="s">
        <v>2739</v>
      </c>
      <c r="G1115" t="s">
        <v>2740</v>
      </c>
      <c r="H1115" t="s">
        <v>2741</v>
      </c>
      <c r="I1115" t="s">
        <v>2742</v>
      </c>
      <c r="J1115">
        <v>311.31533653188598</v>
      </c>
      <c r="K1115">
        <v>1</v>
      </c>
      <c r="L1115">
        <v>1</v>
      </c>
      <c r="M1115">
        <v>1</v>
      </c>
      <c r="N1115" s="6">
        <v>2025627.392527</v>
      </c>
      <c r="O1115" s="6">
        <v>382248.61360692501</v>
      </c>
      <c r="P1115" s="6">
        <v>373230.23868010298</v>
      </c>
      <c r="Q1115" s="6">
        <v>38404.129659367798</v>
      </c>
      <c r="R1115" s="6">
        <v>374318.58874203003</v>
      </c>
      <c r="S1115" s="6">
        <v>111698.01503511499</v>
      </c>
      <c r="T1115" s="6">
        <v>2993365.09</v>
      </c>
      <c r="U1115" s="6">
        <v>200463.87321542599</v>
      </c>
      <c r="V1115" s="6">
        <v>2529404.32241518</v>
      </c>
      <c r="W1115" s="6">
        <v>664424.64080024301</v>
      </c>
      <c r="X1115" s="6">
        <v>0</v>
      </c>
      <c r="Y1115" s="6">
        <v>0</v>
      </c>
      <c r="Z1115" s="6">
        <v>0</v>
      </c>
      <c r="AA1115" s="6">
        <v>0</v>
      </c>
      <c r="AB1115" s="6">
        <v>0</v>
      </c>
      <c r="AC1115" s="6">
        <v>111698.01503511499</v>
      </c>
      <c r="AD1115" s="6">
        <v>0</v>
      </c>
      <c r="AE1115" s="6">
        <v>0</v>
      </c>
      <c r="AF1115" s="6">
        <v>0</v>
      </c>
      <c r="AG1115" s="6">
        <v>0</v>
      </c>
      <c r="AH1115" s="6">
        <v>0</v>
      </c>
      <c r="AI1115" s="6">
        <v>0</v>
      </c>
      <c r="AJ1115" s="6">
        <v>3305526.9782505399</v>
      </c>
      <c r="AK1115" s="6">
        <v>10617.9381172632</v>
      </c>
      <c r="AL1115" s="6">
        <v>330.98244656580999</v>
      </c>
      <c r="AM1115" s="6">
        <v>93035.839999999997</v>
      </c>
      <c r="AN1115" s="6">
        <v>1002.71927405853</v>
      </c>
      <c r="AO1115" s="6">
        <v>13459.3644877606</v>
      </c>
      <c r="AP1115" s="6">
        <v>330.98244656580999</v>
      </c>
      <c r="AQ1115" s="6">
        <v>93035.839999999997</v>
      </c>
      <c r="AR1115" s="6">
        <v>10617.9381172632</v>
      </c>
      <c r="AS1115" s="6">
        <v>10617.9381172632</v>
      </c>
      <c r="AT1115" s="6">
        <v>0</v>
      </c>
      <c r="AU1115" t="s">
        <v>2973</v>
      </c>
      <c r="AV1115" t="s">
        <v>2973</v>
      </c>
    </row>
    <row r="1116" spans="1:48" x14ac:dyDescent="0.45">
      <c r="A1116" s="5" t="s">
        <v>2246</v>
      </c>
      <c r="B1116">
        <v>2104</v>
      </c>
      <c r="C1116" t="s">
        <v>2242</v>
      </c>
      <c r="D1116">
        <v>683</v>
      </c>
      <c r="E1116" t="s">
        <v>2247</v>
      </c>
      <c r="F1116" t="s">
        <v>2739</v>
      </c>
      <c r="G1116" t="s">
        <v>2744</v>
      </c>
      <c r="H1116" t="s">
        <v>2745</v>
      </c>
      <c r="I1116" t="s">
        <v>2742</v>
      </c>
      <c r="J1116">
        <v>263.44012241677399</v>
      </c>
      <c r="K1116">
        <v>1</v>
      </c>
      <c r="L1116">
        <v>1</v>
      </c>
      <c r="M1116">
        <v>1</v>
      </c>
      <c r="N1116" s="6">
        <v>1880675.2711262701</v>
      </c>
      <c r="O1116" s="6">
        <v>888901.06471305399</v>
      </c>
      <c r="P1116" s="6">
        <v>611949.69645176595</v>
      </c>
      <c r="Q1116" s="6">
        <v>32498.201763783902</v>
      </c>
      <c r="R1116" s="6">
        <v>37191.7095914499</v>
      </c>
      <c r="S1116" s="6">
        <v>94520.684661314197</v>
      </c>
      <c r="T1116" s="6">
        <v>3281580.14</v>
      </c>
      <c r="U1116" s="6">
        <v>169635.80364632499</v>
      </c>
      <c r="V1116" s="6">
        <v>2885567.8095988198</v>
      </c>
      <c r="W1116" s="6">
        <v>565648.13404750801</v>
      </c>
      <c r="X1116" s="6">
        <v>0</v>
      </c>
      <c r="Y1116" s="6">
        <v>0</v>
      </c>
      <c r="Z1116" s="6">
        <v>0</v>
      </c>
      <c r="AA1116" s="6">
        <v>0</v>
      </c>
      <c r="AB1116" s="6">
        <v>0</v>
      </c>
      <c r="AC1116" s="6">
        <v>94520.684661314197</v>
      </c>
      <c r="AD1116" s="6">
        <v>0</v>
      </c>
      <c r="AE1116" s="6">
        <v>0</v>
      </c>
      <c r="AF1116" s="6">
        <v>0</v>
      </c>
      <c r="AG1116" s="6">
        <v>0</v>
      </c>
      <c r="AH1116" s="6">
        <v>0</v>
      </c>
      <c r="AI1116" s="6">
        <v>0</v>
      </c>
      <c r="AJ1116" s="6">
        <v>3545736.6283076401</v>
      </c>
      <c r="AK1116" s="6">
        <v>13459.3644877606</v>
      </c>
      <c r="AL1116" s="6">
        <v>330.98244656580999</v>
      </c>
      <c r="AM1116" s="6">
        <v>93035.839999999997</v>
      </c>
      <c r="AN1116" s="6">
        <v>1002.71927405853</v>
      </c>
      <c r="AO1116" s="6">
        <v>13459.3644877606</v>
      </c>
      <c r="AP1116" s="6">
        <v>330.98244656580999</v>
      </c>
      <c r="AQ1116" s="6">
        <v>40734.411818744898</v>
      </c>
      <c r="AR1116" s="6">
        <v>13459.3644877606</v>
      </c>
      <c r="AS1116" s="6">
        <v>13459.3644877606</v>
      </c>
      <c r="AT1116" s="6">
        <v>0</v>
      </c>
      <c r="AU1116" t="s">
        <v>2973</v>
      </c>
      <c r="AV1116" t="s">
        <v>2973</v>
      </c>
    </row>
    <row r="1117" spans="1:48" x14ac:dyDescent="0.45">
      <c r="A1117" s="5" t="s">
        <v>2248</v>
      </c>
      <c r="B1117">
        <v>1944</v>
      </c>
      <c r="C1117" t="s">
        <v>2249</v>
      </c>
      <c r="D1117">
        <v>158</v>
      </c>
      <c r="E1117" t="s">
        <v>2250</v>
      </c>
      <c r="F1117" t="s">
        <v>2739</v>
      </c>
      <c r="G1117" t="s">
        <v>2740</v>
      </c>
      <c r="H1117" t="s">
        <v>2741</v>
      </c>
      <c r="I1117" t="s">
        <v>2742</v>
      </c>
      <c r="J1117">
        <v>374.62484886887898</v>
      </c>
      <c r="K1117">
        <v>1</v>
      </c>
      <c r="L1117">
        <v>1</v>
      </c>
      <c r="M1117">
        <v>1</v>
      </c>
      <c r="N1117" s="6">
        <v>2262072.5714982599</v>
      </c>
      <c r="O1117" s="6">
        <v>526588.09201728599</v>
      </c>
      <c r="P1117" s="6">
        <v>783867.62395665003</v>
      </c>
      <c r="Q1117" s="6">
        <v>169813.706246646</v>
      </c>
      <c r="R1117" s="6">
        <v>64241.014516179399</v>
      </c>
      <c r="S1117" s="6">
        <v>99954.365724142801</v>
      </c>
      <c r="T1117" s="6">
        <v>2387328.64</v>
      </c>
      <c r="U1117" s="6">
        <v>1419254.36823502</v>
      </c>
      <c r="V1117" s="6">
        <v>3540488.5489789401</v>
      </c>
      <c r="W1117" s="6">
        <v>266094.45925608202</v>
      </c>
      <c r="X1117" s="6">
        <v>0</v>
      </c>
      <c r="Y1117" s="6">
        <v>0</v>
      </c>
      <c r="Z1117" s="6">
        <v>0</v>
      </c>
      <c r="AA1117" s="6">
        <v>0</v>
      </c>
      <c r="AB1117" s="6">
        <v>0</v>
      </c>
      <c r="AC1117" s="6">
        <v>99954.365724142801</v>
      </c>
      <c r="AD1117" s="6">
        <v>0</v>
      </c>
      <c r="AE1117" s="6">
        <v>0</v>
      </c>
      <c r="AF1117" s="6">
        <v>0</v>
      </c>
      <c r="AG1117" s="6">
        <v>0</v>
      </c>
      <c r="AH1117" s="6">
        <v>0</v>
      </c>
      <c r="AI1117" s="6">
        <v>0</v>
      </c>
      <c r="AJ1117" s="6">
        <v>3906537.3739591702</v>
      </c>
      <c r="AK1117" s="6">
        <v>10427.8650648892</v>
      </c>
      <c r="AL1117" s="6">
        <v>330.98244656580999</v>
      </c>
      <c r="AM1117" s="6">
        <v>93035.839999999997</v>
      </c>
      <c r="AN1117" s="6">
        <v>4055.2802051069998</v>
      </c>
      <c r="AO1117" s="6">
        <v>12539.071500618</v>
      </c>
      <c r="AP1117" s="6">
        <v>330.98244656580999</v>
      </c>
      <c r="AQ1117" s="6">
        <v>93035.839999999997</v>
      </c>
      <c r="AR1117" s="6">
        <v>4055.2802051069998</v>
      </c>
      <c r="AS1117" s="6">
        <v>11220.4473085587</v>
      </c>
      <c r="AT1117" s="6">
        <v>0</v>
      </c>
      <c r="AU1117" t="s">
        <v>2973</v>
      </c>
      <c r="AV1117" t="s">
        <v>2973</v>
      </c>
    </row>
    <row r="1118" spans="1:48" x14ac:dyDescent="0.45">
      <c r="A1118" s="5" t="s">
        <v>2251</v>
      </c>
      <c r="B1118">
        <v>1944</v>
      </c>
      <c r="C1118" t="s">
        <v>2249</v>
      </c>
      <c r="D1118">
        <v>159</v>
      </c>
      <c r="E1118" t="s">
        <v>2252</v>
      </c>
      <c r="F1118" t="s">
        <v>2739</v>
      </c>
      <c r="G1118" t="s">
        <v>2740</v>
      </c>
      <c r="H1118" t="s">
        <v>2741</v>
      </c>
      <c r="I1118" t="s">
        <v>2742</v>
      </c>
      <c r="J1118">
        <v>498.74512766299199</v>
      </c>
      <c r="K1118">
        <v>1</v>
      </c>
      <c r="L1118">
        <v>1</v>
      </c>
      <c r="M1118">
        <v>1</v>
      </c>
      <c r="N1118" s="6">
        <v>2648821.57936111</v>
      </c>
      <c r="O1118" s="6">
        <v>656660.70748069999</v>
      </c>
      <c r="P1118" s="6">
        <v>1075188.9696746401</v>
      </c>
      <c r="Q1118" s="6">
        <v>226076.19023839201</v>
      </c>
      <c r="R1118" s="6">
        <v>85525.274371979001</v>
      </c>
      <c r="S1118" s="6">
        <v>133071.13247847999</v>
      </c>
      <c r="T1118" s="6">
        <v>2802792.61</v>
      </c>
      <c r="U1118" s="6">
        <v>1889480.1111268201</v>
      </c>
      <c r="V1118" s="6">
        <v>4304346.0099897897</v>
      </c>
      <c r="W1118" s="6">
        <v>387926.711137028</v>
      </c>
      <c r="X1118" s="6">
        <v>0</v>
      </c>
      <c r="Y1118" s="6">
        <v>0</v>
      </c>
      <c r="Z1118" s="6">
        <v>0</v>
      </c>
      <c r="AA1118" s="6">
        <v>0</v>
      </c>
      <c r="AB1118" s="6">
        <v>0</v>
      </c>
      <c r="AC1118" s="6">
        <v>133071.13247847999</v>
      </c>
      <c r="AD1118" s="6">
        <v>0</v>
      </c>
      <c r="AE1118" s="6">
        <v>0</v>
      </c>
      <c r="AF1118" s="6">
        <v>0</v>
      </c>
      <c r="AG1118" s="6">
        <v>0</v>
      </c>
      <c r="AH1118" s="6">
        <v>0</v>
      </c>
      <c r="AI1118" s="6">
        <v>0</v>
      </c>
      <c r="AJ1118" s="6">
        <v>4825343.8536053002</v>
      </c>
      <c r="AK1118" s="6">
        <v>9674.9694101589994</v>
      </c>
      <c r="AL1118" s="6">
        <v>330.98244656580999</v>
      </c>
      <c r="AM1118" s="6">
        <v>93035.839999999997</v>
      </c>
      <c r="AN1118" s="6">
        <v>4055.2802051069998</v>
      </c>
      <c r="AO1118" s="6">
        <v>12539.071500618</v>
      </c>
      <c r="AP1118" s="6">
        <v>330.98244656580999</v>
      </c>
      <c r="AQ1118" s="6">
        <v>93035.839999999997</v>
      </c>
      <c r="AR1118" s="6">
        <v>4055.2802051069998</v>
      </c>
      <c r="AS1118" s="6">
        <v>11220.4473085587</v>
      </c>
      <c r="AT1118" s="6">
        <v>0</v>
      </c>
      <c r="AU1118" t="s">
        <v>2973</v>
      </c>
      <c r="AV1118" t="s">
        <v>2973</v>
      </c>
    </row>
    <row r="1119" spans="1:48" x14ac:dyDescent="0.45">
      <c r="A1119" s="5" t="s">
        <v>2253</v>
      </c>
      <c r="B1119">
        <v>1944</v>
      </c>
      <c r="C1119" t="s">
        <v>2249</v>
      </c>
      <c r="D1119">
        <v>958</v>
      </c>
      <c r="E1119" t="s">
        <v>2254</v>
      </c>
      <c r="F1119" t="s">
        <v>3</v>
      </c>
      <c r="G1119" t="s">
        <v>2740</v>
      </c>
      <c r="H1119" t="s">
        <v>2741</v>
      </c>
      <c r="I1119" t="s">
        <v>2742</v>
      </c>
      <c r="J1119">
        <v>212.789623507275</v>
      </c>
      <c r="K1119">
        <v>1</v>
      </c>
      <c r="L1119">
        <v>1</v>
      </c>
      <c r="M1119">
        <v>1</v>
      </c>
      <c r="N1119" s="6">
        <v>298206.27425062598</v>
      </c>
      <c r="O1119" s="6">
        <v>56440.221532496202</v>
      </c>
      <c r="P1119" s="6">
        <v>523330.38554375799</v>
      </c>
      <c r="Q1119" s="6">
        <v>96455.413269305602</v>
      </c>
      <c r="R1119" s="6">
        <v>36489.360846983604</v>
      </c>
      <c r="S1119" s="6">
        <v>56774.802618053698</v>
      </c>
      <c r="T1119" s="6">
        <v>204774.91</v>
      </c>
      <c r="U1119" s="6">
        <v>806146.74544316903</v>
      </c>
      <c r="V1119" s="6">
        <v>866868.04665916704</v>
      </c>
      <c r="W1119" s="6">
        <v>144053.60878400199</v>
      </c>
      <c r="X1119" s="6">
        <v>0</v>
      </c>
      <c r="Y1119" s="6">
        <v>0</v>
      </c>
      <c r="Z1119" s="6">
        <v>0</v>
      </c>
      <c r="AA1119" s="6">
        <v>0</v>
      </c>
      <c r="AB1119" s="6">
        <v>0</v>
      </c>
      <c r="AC1119" s="6">
        <v>56774.802618053698</v>
      </c>
      <c r="AD1119" s="6">
        <v>0</v>
      </c>
      <c r="AE1119" s="6">
        <v>0</v>
      </c>
      <c r="AF1119" s="6">
        <v>0</v>
      </c>
      <c r="AG1119" s="6">
        <v>0</v>
      </c>
      <c r="AH1119" s="6">
        <v>0</v>
      </c>
      <c r="AI1119" s="6">
        <v>0</v>
      </c>
      <c r="AJ1119" s="6">
        <v>1067696.4580612199</v>
      </c>
      <c r="AK1119" s="6">
        <v>5017.6152411149897</v>
      </c>
      <c r="AL1119" s="6">
        <v>330.98244656580999</v>
      </c>
      <c r="AM1119" s="6">
        <v>93035.839999999997</v>
      </c>
      <c r="AN1119" s="6">
        <v>4055.2802051069998</v>
      </c>
      <c r="AO1119" s="6">
        <v>12539.071500618</v>
      </c>
      <c r="AP1119" s="6">
        <v>330.98244656580999</v>
      </c>
      <c r="AQ1119" s="6">
        <v>93035.839999999997</v>
      </c>
      <c r="AR1119" s="6">
        <v>4055.2802051069998</v>
      </c>
      <c r="AS1119" s="6">
        <v>11220.4473085587</v>
      </c>
      <c r="AT1119" s="6">
        <v>0</v>
      </c>
      <c r="AU1119" t="s">
        <v>2973</v>
      </c>
      <c r="AV1119" t="s">
        <v>2973</v>
      </c>
    </row>
    <row r="1120" spans="1:48" x14ac:dyDescent="0.45">
      <c r="A1120" s="5" t="s">
        <v>2255</v>
      </c>
      <c r="B1120">
        <v>1944</v>
      </c>
      <c r="C1120" t="s">
        <v>2249</v>
      </c>
      <c r="D1120">
        <v>162</v>
      </c>
      <c r="E1120" t="s">
        <v>2256</v>
      </c>
      <c r="F1120" t="s">
        <v>2739</v>
      </c>
      <c r="G1120" t="s">
        <v>2744</v>
      </c>
      <c r="H1120" t="s">
        <v>2741</v>
      </c>
      <c r="I1120" t="s">
        <v>2742</v>
      </c>
      <c r="J1120">
        <v>716.98709080909896</v>
      </c>
      <c r="K1120">
        <v>1</v>
      </c>
      <c r="L1120">
        <v>1</v>
      </c>
      <c r="M1120">
        <v>1</v>
      </c>
      <c r="N1120" s="6">
        <v>4917237.0565828299</v>
      </c>
      <c r="O1120" s="6">
        <v>1682239.8950626401</v>
      </c>
      <c r="P1120" s="6">
        <v>1751622.0587498399</v>
      </c>
      <c r="Q1120" s="6">
        <v>325003.09466633602</v>
      </c>
      <c r="R1120" s="6">
        <v>122949.607447695</v>
      </c>
      <c r="S1120" s="6">
        <v>191300.68416605599</v>
      </c>
      <c r="T1120" s="6">
        <v>6082768.8399999999</v>
      </c>
      <c r="U1120" s="6">
        <v>2716282.8725093398</v>
      </c>
      <c r="V1120" s="6">
        <v>7634404.72590583</v>
      </c>
      <c r="W1120" s="6">
        <v>1164646.9866035101</v>
      </c>
      <c r="X1120" s="6">
        <v>0</v>
      </c>
      <c r="Y1120" s="6">
        <v>0</v>
      </c>
      <c r="Z1120" s="6">
        <v>0</v>
      </c>
      <c r="AA1120" s="6">
        <v>0</v>
      </c>
      <c r="AB1120" s="6">
        <v>0</v>
      </c>
      <c r="AC1120" s="6">
        <v>191300.68416605599</v>
      </c>
      <c r="AD1120" s="6">
        <v>0</v>
      </c>
      <c r="AE1120" s="6">
        <v>0</v>
      </c>
      <c r="AF1120" s="6">
        <v>0</v>
      </c>
      <c r="AG1120" s="6">
        <v>0</v>
      </c>
      <c r="AH1120" s="6">
        <v>0</v>
      </c>
      <c r="AI1120" s="6">
        <v>0</v>
      </c>
      <c r="AJ1120" s="6">
        <v>8990352.3966754004</v>
      </c>
      <c r="AK1120" s="6">
        <v>12539.071500618</v>
      </c>
      <c r="AL1120" s="6">
        <v>330.98244656580999</v>
      </c>
      <c r="AM1120" s="6">
        <v>93035.839999999997</v>
      </c>
      <c r="AN1120" s="6">
        <v>4055.2802051069998</v>
      </c>
      <c r="AO1120" s="6">
        <v>12539.071500618</v>
      </c>
      <c r="AP1120" s="6">
        <v>330.98244656580999</v>
      </c>
      <c r="AQ1120" s="6">
        <v>40734.411818744898</v>
      </c>
      <c r="AR1120" s="6">
        <v>12539.071500618</v>
      </c>
      <c r="AS1120" s="6">
        <v>12539.071500618</v>
      </c>
      <c r="AT1120" s="6">
        <v>0</v>
      </c>
      <c r="AU1120" t="s">
        <v>2973</v>
      </c>
      <c r="AV1120" t="s">
        <v>2973</v>
      </c>
    </row>
    <row r="1121" spans="1:48" x14ac:dyDescent="0.45">
      <c r="A1121" s="5" t="s">
        <v>2257</v>
      </c>
      <c r="B1121">
        <v>1944</v>
      </c>
      <c r="C1121" t="s">
        <v>2249</v>
      </c>
      <c r="D1121">
        <v>161</v>
      </c>
      <c r="E1121" t="s">
        <v>2258</v>
      </c>
      <c r="F1121" t="s">
        <v>2739</v>
      </c>
      <c r="G1121" t="s">
        <v>2747</v>
      </c>
      <c r="H1121" t="s">
        <v>2741</v>
      </c>
      <c r="I1121" t="s">
        <v>2742</v>
      </c>
      <c r="J1121">
        <v>312.00375415247697</v>
      </c>
      <c r="K1121">
        <v>1</v>
      </c>
      <c r="L1121">
        <v>1</v>
      </c>
      <c r="M1121">
        <v>1</v>
      </c>
      <c r="N1121" s="6">
        <v>1906376.6371482301</v>
      </c>
      <c r="O1121" s="6">
        <v>551118.21175556805</v>
      </c>
      <c r="P1121" s="6">
        <v>835924.52618021599</v>
      </c>
      <c r="Q1121" s="6">
        <v>141428.18880133599</v>
      </c>
      <c r="R1121" s="6">
        <v>53502.691452875602</v>
      </c>
      <c r="S1121" s="6">
        <v>83246.312795384307</v>
      </c>
      <c r="T1121" s="6">
        <v>2306333.92</v>
      </c>
      <c r="U1121" s="6">
        <v>1182016.33533823</v>
      </c>
      <c r="V1121" s="6">
        <v>3247407.0256815902</v>
      </c>
      <c r="W1121" s="6">
        <v>240943.22965663599</v>
      </c>
      <c r="X1121" s="6">
        <v>0</v>
      </c>
      <c r="Y1121" s="6">
        <v>0</v>
      </c>
      <c r="Z1121" s="6">
        <v>0</v>
      </c>
      <c r="AA1121" s="6">
        <v>0</v>
      </c>
      <c r="AB1121" s="6">
        <v>0</v>
      </c>
      <c r="AC1121" s="6">
        <v>83246.312795384307</v>
      </c>
      <c r="AD1121" s="6">
        <v>0</v>
      </c>
      <c r="AE1121" s="6">
        <v>0</v>
      </c>
      <c r="AF1121" s="6">
        <v>0</v>
      </c>
      <c r="AG1121" s="6">
        <v>0</v>
      </c>
      <c r="AH1121" s="6">
        <v>0</v>
      </c>
      <c r="AI1121" s="6">
        <v>0</v>
      </c>
      <c r="AJ1121" s="6">
        <v>3571596.5681336098</v>
      </c>
      <c r="AK1121" s="6">
        <v>11447.2871579236</v>
      </c>
      <c r="AL1121" s="6">
        <v>330.98244656580999</v>
      </c>
      <c r="AM1121" s="6">
        <v>93035.839999999997</v>
      </c>
      <c r="AN1121" s="6">
        <v>4055.2802051069998</v>
      </c>
      <c r="AO1121" s="6">
        <v>12539.071500618</v>
      </c>
      <c r="AP1121" s="6">
        <v>3753.1860850462999</v>
      </c>
      <c r="AQ1121" s="6">
        <v>20687.885194392002</v>
      </c>
      <c r="AR1121" s="6">
        <v>11447.2871579236</v>
      </c>
      <c r="AS1121" s="6">
        <v>11447.2871579236</v>
      </c>
      <c r="AT1121" s="6">
        <v>0</v>
      </c>
      <c r="AU1121" t="s">
        <v>2973</v>
      </c>
      <c r="AV1121" t="s">
        <v>2973</v>
      </c>
    </row>
    <row r="1122" spans="1:48" x14ac:dyDescent="0.45">
      <c r="A1122" s="5" t="s">
        <v>2259</v>
      </c>
      <c r="B1122">
        <v>1944</v>
      </c>
      <c r="C1122" t="s">
        <v>2249</v>
      </c>
      <c r="D1122">
        <v>1944</v>
      </c>
      <c r="E1122" t="s">
        <v>2249</v>
      </c>
      <c r="F1122" t="s">
        <v>1</v>
      </c>
      <c r="G1122" t="s">
        <v>1</v>
      </c>
      <c r="H1122" t="s">
        <v>2743</v>
      </c>
      <c r="I1122" t="s">
        <v>2742</v>
      </c>
      <c r="J1122">
        <v>39.862989939999501</v>
      </c>
      <c r="K1122">
        <v>1</v>
      </c>
      <c r="L1122">
        <v>1</v>
      </c>
      <c r="M1122">
        <v>1</v>
      </c>
      <c r="N1122" s="6">
        <v>55864.536599882798</v>
      </c>
      <c r="O1122" s="6">
        <v>10573.2410541359</v>
      </c>
      <c r="P1122" s="6">
        <v>59676.658605951503</v>
      </c>
      <c r="Q1122" s="6">
        <v>18069.495614674001</v>
      </c>
      <c r="R1122" s="6">
        <v>6835.7422715708199</v>
      </c>
      <c r="S1122" s="6">
        <v>10635.919873844599</v>
      </c>
      <c r="T1122" s="6">
        <v>0</v>
      </c>
      <c r="U1122" s="6">
        <v>151019.67414621499</v>
      </c>
      <c r="V1122" s="6">
        <v>124033.360325414</v>
      </c>
      <c r="W1122" s="6">
        <v>26986.3138208005</v>
      </c>
      <c r="X1122" s="6">
        <v>0</v>
      </c>
      <c r="Y1122" s="6">
        <v>0</v>
      </c>
      <c r="Z1122" s="6">
        <v>0</v>
      </c>
      <c r="AA1122" s="6">
        <v>0</v>
      </c>
      <c r="AB1122" s="6">
        <v>0</v>
      </c>
      <c r="AC1122" s="6">
        <v>10635.919873844599</v>
      </c>
      <c r="AD1122" s="6">
        <v>0</v>
      </c>
      <c r="AE1122" s="6">
        <v>0</v>
      </c>
      <c r="AF1122" s="6">
        <v>0</v>
      </c>
      <c r="AG1122" s="6">
        <v>0</v>
      </c>
      <c r="AH1122" s="6">
        <v>0</v>
      </c>
      <c r="AI1122" s="6">
        <v>0</v>
      </c>
      <c r="AJ1122" s="6">
        <v>161655.59402006</v>
      </c>
      <c r="AK1122" s="6">
        <v>4055.2802051069998</v>
      </c>
      <c r="AL1122" s="6">
        <v>330.98244656580999</v>
      </c>
      <c r="AM1122" s="6">
        <v>93035.839999999997</v>
      </c>
      <c r="AN1122" s="6">
        <v>4055.2802051069998</v>
      </c>
      <c r="AO1122" s="6">
        <v>12539.071500618</v>
      </c>
      <c r="AP1122" s="6">
        <v>634.54287297753501</v>
      </c>
      <c r="AQ1122" s="6">
        <v>40331.279999999999</v>
      </c>
      <c r="AR1122" s="6">
        <v>4055.2802051069998</v>
      </c>
      <c r="AS1122" s="6">
        <v>4055.2802051069998</v>
      </c>
      <c r="AT1122" s="6">
        <v>0</v>
      </c>
      <c r="AU1122" t="s">
        <v>2973</v>
      </c>
      <c r="AV1122" t="s">
        <v>2977</v>
      </c>
    </row>
    <row r="1123" spans="1:48" x14ac:dyDescent="0.45">
      <c r="A1123" s="5" t="s">
        <v>2260</v>
      </c>
      <c r="B1123">
        <v>1944</v>
      </c>
      <c r="C1123" t="s">
        <v>2249</v>
      </c>
      <c r="D1123">
        <v>4221</v>
      </c>
      <c r="E1123" t="s">
        <v>2261</v>
      </c>
      <c r="F1123" t="s">
        <v>3</v>
      </c>
      <c r="G1123" t="s">
        <v>2740</v>
      </c>
      <c r="H1123" t="s">
        <v>2741</v>
      </c>
      <c r="I1123" t="s">
        <v>2742</v>
      </c>
      <c r="J1123">
        <v>69.135593220326001</v>
      </c>
      <c r="K1123">
        <v>1</v>
      </c>
      <c r="L1123">
        <v>1</v>
      </c>
      <c r="M1123">
        <v>1</v>
      </c>
      <c r="N1123" s="6">
        <v>96887.561209653795</v>
      </c>
      <c r="O1123" s="6">
        <v>18337.492838330701</v>
      </c>
      <c r="P1123" s="6">
        <v>103499.04009557</v>
      </c>
      <c r="Q1123" s="6">
        <v>31338.4746200144</v>
      </c>
      <c r="R1123" s="6">
        <v>11855.4352736119</v>
      </c>
      <c r="S1123" s="6">
        <v>18446.1986175368</v>
      </c>
      <c r="T1123" s="6">
        <v>0</v>
      </c>
      <c r="U1123" s="6">
        <v>261918.004037181</v>
      </c>
      <c r="V1123" s="6">
        <v>215114.82099348199</v>
      </c>
      <c r="W1123" s="6">
        <v>46803.183043698999</v>
      </c>
      <c r="X1123" s="6">
        <v>0</v>
      </c>
      <c r="Y1123" s="6">
        <v>0</v>
      </c>
      <c r="Z1123" s="6">
        <v>0</v>
      </c>
      <c r="AA1123" s="6">
        <v>0</v>
      </c>
      <c r="AB1123" s="6">
        <v>0</v>
      </c>
      <c r="AC1123" s="6">
        <v>18446.1986175368</v>
      </c>
      <c r="AD1123" s="6">
        <v>0</v>
      </c>
      <c r="AE1123" s="6">
        <v>0</v>
      </c>
      <c r="AF1123" s="6">
        <v>0</v>
      </c>
      <c r="AG1123" s="6">
        <v>0</v>
      </c>
      <c r="AH1123" s="6">
        <v>0</v>
      </c>
      <c r="AI1123" s="6">
        <v>0</v>
      </c>
      <c r="AJ1123" s="6">
        <v>280364.20265471801</v>
      </c>
      <c r="AK1123" s="6">
        <v>4055.2802051069998</v>
      </c>
      <c r="AL1123" s="6">
        <v>330.98244656580999</v>
      </c>
      <c r="AM1123" s="6">
        <v>93035.839999999997</v>
      </c>
      <c r="AN1123" s="6">
        <v>4055.2802051069998</v>
      </c>
      <c r="AO1123" s="6">
        <v>12539.071500618</v>
      </c>
      <c r="AP1123" s="6">
        <v>330.98244656580999</v>
      </c>
      <c r="AQ1123" s="6">
        <v>93035.839999999997</v>
      </c>
      <c r="AR1123" s="6">
        <v>4055.2802051069998</v>
      </c>
      <c r="AS1123" s="6">
        <v>11220.4473085587</v>
      </c>
      <c r="AT1123" s="6">
        <v>0</v>
      </c>
      <c r="AU1123" t="s">
        <v>2973</v>
      </c>
      <c r="AV1123" t="s">
        <v>2976</v>
      </c>
    </row>
    <row r="1124" spans="1:48" x14ac:dyDescent="0.45">
      <c r="A1124" s="5" t="s">
        <v>2262</v>
      </c>
      <c r="B1124">
        <v>1944</v>
      </c>
      <c r="C1124" t="s">
        <v>2249</v>
      </c>
      <c r="D1124">
        <v>160</v>
      </c>
      <c r="E1124" t="s">
        <v>2263</v>
      </c>
      <c r="F1124" t="s">
        <v>2739</v>
      </c>
      <c r="G1124" t="s">
        <v>2740</v>
      </c>
      <c r="H1124" t="s">
        <v>2741</v>
      </c>
      <c r="I1124" t="s">
        <v>2742</v>
      </c>
      <c r="J1124">
        <v>187.34016256974101</v>
      </c>
      <c r="K1124">
        <v>1</v>
      </c>
      <c r="L1124">
        <v>1</v>
      </c>
      <c r="M1124">
        <v>1</v>
      </c>
      <c r="N1124" s="6">
        <v>1114674.38334943</v>
      </c>
      <c r="O1124" s="6">
        <v>374490.97825884901</v>
      </c>
      <c r="P1124" s="6">
        <v>445845.78719339898</v>
      </c>
      <c r="Q1124" s="6">
        <v>84919.426543303605</v>
      </c>
      <c r="R1124" s="6">
        <v>32125.263819107899</v>
      </c>
      <c r="S1124" s="6">
        <v>49984.583726506396</v>
      </c>
      <c r="T1124" s="6">
        <v>1342323.57</v>
      </c>
      <c r="U1124" s="6">
        <v>709732.26916409202</v>
      </c>
      <c r="V1124" s="6">
        <v>1923990.5414658401</v>
      </c>
      <c r="W1124" s="6">
        <v>128065.297698255</v>
      </c>
      <c r="X1124" s="6">
        <v>0</v>
      </c>
      <c r="Y1124" s="6">
        <v>0</v>
      </c>
      <c r="Z1124" s="6">
        <v>0</v>
      </c>
      <c r="AA1124" s="6">
        <v>0</v>
      </c>
      <c r="AB1124" s="6">
        <v>0</v>
      </c>
      <c r="AC1124" s="6">
        <v>49984.583726506396</v>
      </c>
      <c r="AD1124" s="6">
        <v>0</v>
      </c>
      <c r="AE1124" s="6">
        <v>0</v>
      </c>
      <c r="AF1124" s="6">
        <v>0</v>
      </c>
      <c r="AG1124" s="6">
        <v>0</v>
      </c>
      <c r="AH1124" s="6">
        <v>0</v>
      </c>
      <c r="AI1124" s="6">
        <v>0</v>
      </c>
      <c r="AJ1124" s="6">
        <v>2102040.4228905998</v>
      </c>
      <c r="AK1124" s="6">
        <v>11220.4473085587</v>
      </c>
      <c r="AL1124" s="6">
        <v>330.98244656580999</v>
      </c>
      <c r="AM1124" s="6">
        <v>93035.839999999997</v>
      </c>
      <c r="AN1124" s="6">
        <v>4055.2802051069998</v>
      </c>
      <c r="AO1124" s="6">
        <v>12539.071500618</v>
      </c>
      <c r="AP1124" s="6">
        <v>330.98244656580999</v>
      </c>
      <c r="AQ1124" s="6">
        <v>93035.839999999997</v>
      </c>
      <c r="AR1124" s="6">
        <v>4055.2802051069998</v>
      </c>
      <c r="AS1124" s="6">
        <v>11220.4473085587</v>
      </c>
      <c r="AT1124" s="6">
        <v>0</v>
      </c>
      <c r="AU1124" t="s">
        <v>2973</v>
      </c>
      <c r="AV1124" t="s">
        <v>2973</v>
      </c>
    </row>
    <row r="1125" spans="1:48" x14ac:dyDescent="0.45">
      <c r="A1125" s="5" t="s">
        <v>2264</v>
      </c>
      <c r="B1125">
        <v>2103</v>
      </c>
      <c r="C1125" t="s">
        <v>2265</v>
      </c>
      <c r="D1125">
        <v>676</v>
      </c>
      <c r="E1125" t="s">
        <v>2266</v>
      </c>
      <c r="F1125" t="s">
        <v>2739</v>
      </c>
      <c r="G1125" t="s">
        <v>2740</v>
      </c>
      <c r="H1125" t="s">
        <v>2741</v>
      </c>
      <c r="I1125" t="s">
        <v>2742</v>
      </c>
      <c r="J1125">
        <v>317.52023121384599</v>
      </c>
      <c r="K1125">
        <v>1</v>
      </c>
      <c r="L1125">
        <v>1</v>
      </c>
      <c r="M1125">
        <v>2</v>
      </c>
      <c r="N1125" s="6">
        <v>1431131.91222448</v>
      </c>
      <c r="O1125" s="6">
        <v>347649.75294938899</v>
      </c>
      <c r="P1125" s="6">
        <v>776395.89123145596</v>
      </c>
      <c r="Q1125" s="6">
        <v>243155.58995254501</v>
      </c>
      <c r="R1125" s="6">
        <v>310010.49752952298</v>
      </c>
      <c r="S1125" s="6">
        <v>195151.396624616</v>
      </c>
      <c r="T1125" s="6">
        <v>1750366.4</v>
      </c>
      <c r="U1125" s="6">
        <v>1357977.24388739</v>
      </c>
      <c r="V1125" s="6">
        <v>2822013.1638911902</v>
      </c>
      <c r="W1125" s="6">
        <v>286330.47999620298</v>
      </c>
      <c r="X1125" s="6">
        <v>0</v>
      </c>
      <c r="Y1125" s="6">
        <v>0</v>
      </c>
      <c r="Z1125" s="6">
        <v>0</v>
      </c>
      <c r="AA1125" s="6">
        <v>0</v>
      </c>
      <c r="AB1125" s="6">
        <v>0</v>
      </c>
      <c r="AC1125" s="6">
        <v>195151.396624616</v>
      </c>
      <c r="AD1125" s="6">
        <v>0</v>
      </c>
      <c r="AE1125" s="6">
        <v>0</v>
      </c>
      <c r="AF1125" s="6">
        <v>0</v>
      </c>
      <c r="AG1125" s="6">
        <v>0</v>
      </c>
      <c r="AH1125" s="6">
        <v>0</v>
      </c>
      <c r="AI1125" s="6">
        <v>0</v>
      </c>
      <c r="AJ1125" s="6">
        <v>3303495.04051201</v>
      </c>
      <c r="AK1125" s="6">
        <v>10404.0458394827</v>
      </c>
      <c r="AL1125" s="6">
        <v>330.98244656580999</v>
      </c>
      <c r="AM1125" s="6">
        <v>93035.839999999997</v>
      </c>
      <c r="AN1125" s="6">
        <v>4891.4320658389597</v>
      </c>
      <c r="AO1125" s="6">
        <v>15029.065245837101</v>
      </c>
      <c r="AP1125" s="6">
        <v>330.98244656580999</v>
      </c>
      <c r="AQ1125" s="6">
        <v>93035.839999999997</v>
      </c>
      <c r="AR1125" s="6">
        <v>5104.8914871749103</v>
      </c>
      <c r="AS1125" s="6">
        <v>10404.0458394827</v>
      </c>
      <c r="AT1125" s="6">
        <v>0</v>
      </c>
      <c r="AU1125" t="s">
        <v>2973</v>
      </c>
      <c r="AV1125" t="s">
        <v>2973</v>
      </c>
    </row>
    <row r="1126" spans="1:48" x14ac:dyDescent="0.45">
      <c r="A1126" s="5" t="s">
        <v>2267</v>
      </c>
      <c r="B1126">
        <v>2103</v>
      </c>
      <c r="C1126" t="s">
        <v>2265</v>
      </c>
      <c r="D1126">
        <v>2994</v>
      </c>
      <c r="E1126" t="s">
        <v>2268</v>
      </c>
      <c r="F1126" t="s">
        <v>3</v>
      </c>
      <c r="G1126" t="s">
        <v>2740</v>
      </c>
      <c r="H1126" t="s">
        <v>2741</v>
      </c>
      <c r="I1126" t="s">
        <v>2742</v>
      </c>
      <c r="J1126">
        <v>47.801169590641997</v>
      </c>
      <c r="K1126">
        <v>1</v>
      </c>
      <c r="L1126">
        <v>1</v>
      </c>
      <c r="M1126">
        <v>2</v>
      </c>
      <c r="N1126" s="6">
        <v>26111.982148856401</v>
      </c>
      <c r="O1126" s="6">
        <v>5911.5474525542504</v>
      </c>
      <c r="P1126" s="6">
        <v>99340.594891481407</v>
      </c>
      <c r="Q1126" s="6">
        <v>36605.924440783703</v>
      </c>
      <c r="R1126" s="6">
        <v>46670.614690084702</v>
      </c>
      <c r="S1126" s="6">
        <v>29379.120096512201</v>
      </c>
      <c r="T1126" s="6">
        <v>10203.61</v>
      </c>
      <c r="U1126" s="6">
        <v>204437.05362376</v>
      </c>
      <c r="V1126" s="6">
        <v>179748.373426401</v>
      </c>
      <c r="W1126" s="6">
        <v>34892.290197359704</v>
      </c>
      <c r="X1126" s="6">
        <v>0</v>
      </c>
      <c r="Y1126" s="6">
        <v>0</v>
      </c>
      <c r="Z1126" s="6">
        <v>0</v>
      </c>
      <c r="AA1126" s="6">
        <v>0</v>
      </c>
      <c r="AB1126" s="6">
        <v>0</v>
      </c>
      <c r="AC1126" s="6">
        <v>29379.120096512201</v>
      </c>
      <c r="AD1126" s="6">
        <v>0</v>
      </c>
      <c r="AE1126" s="6">
        <v>0</v>
      </c>
      <c r="AF1126" s="6">
        <v>0</v>
      </c>
      <c r="AG1126" s="6">
        <v>0</v>
      </c>
      <c r="AH1126" s="6">
        <v>0</v>
      </c>
      <c r="AI1126" s="6">
        <v>0</v>
      </c>
      <c r="AJ1126" s="6">
        <v>244019.783720273</v>
      </c>
      <c r="AK1126" s="6">
        <v>5104.8914871749103</v>
      </c>
      <c r="AL1126" s="6">
        <v>330.98244656580999</v>
      </c>
      <c r="AM1126" s="6">
        <v>93035.839999999997</v>
      </c>
      <c r="AN1126" s="6">
        <v>4891.4320658389597</v>
      </c>
      <c r="AO1126" s="6">
        <v>15029.065245837101</v>
      </c>
      <c r="AP1126" s="6">
        <v>330.98244656580999</v>
      </c>
      <c r="AQ1126" s="6">
        <v>93035.839999999997</v>
      </c>
      <c r="AR1126" s="6">
        <v>5104.8914871749103</v>
      </c>
      <c r="AS1126" s="6">
        <v>10404.0458394827</v>
      </c>
      <c r="AT1126" s="6">
        <v>0</v>
      </c>
      <c r="AU1126" t="s">
        <v>2973</v>
      </c>
      <c r="AV1126" t="s">
        <v>2973</v>
      </c>
    </row>
    <row r="1127" spans="1:48" x14ac:dyDescent="0.45">
      <c r="A1127" s="5" t="s">
        <v>2780</v>
      </c>
      <c r="B1127">
        <v>2103</v>
      </c>
      <c r="C1127" t="s">
        <v>2265</v>
      </c>
      <c r="D1127">
        <v>5061</v>
      </c>
      <c r="E1127" t="s">
        <v>828</v>
      </c>
      <c r="F1127" t="s">
        <v>3</v>
      </c>
      <c r="G1127" t="s">
        <v>2748</v>
      </c>
      <c r="H1127" t="s">
        <v>2743</v>
      </c>
      <c r="I1127" t="s">
        <v>2742</v>
      </c>
      <c r="J1127">
        <v>31.180833333307501</v>
      </c>
      <c r="K1127">
        <v>1</v>
      </c>
      <c r="L1127">
        <v>1</v>
      </c>
      <c r="M1127">
        <v>2</v>
      </c>
      <c r="N1127" s="6">
        <v>10377.0745533145</v>
      </c>
      <c r="O1127" s="6">
        <v>3856.11853095992</v>
      </c>
      <c r="P1127" s="6">
        <v>64800.141064943702</v>
      </c>
      <c r="Q1127" s="6">
        <v>23878.144379613201</v>
      </c>
      <c r="R1127" s="6">
        <v>30443.3692873371</v>
      </c>
      <c r="S1127" s="6">
        <v>19164.080189952299</v>
      </c>
      <c r="T1127" s="6">
        <v>0</v>
      </c>
      <c r="U1127" s="6">
        <v>133354.84781616801</v>
      </c>
      <c r="V1127" s="6">
        <v>110594.511728613</v>
      </c>
      <c r="W1127" s="6">
        <v>22760.336087555999</v>
      </c>
      <c r="X1127" s="6">
        <v>0</v>
      </c>
      <c r="Y1127" s="6">
        <v>0</v>
      </c>
      <c r="Z1127" s="6">
        <v>0</v>
      </c>
      <c r="AA1127" s="6">
        <v>0</v>
      </c>
      <c r="AB1127" s="6">
        <v>0</v>
      </c>
      <c r="AC1127" s="6">
        <v>19164.080189952299</v>
      </c>
      <c r="AD1127" s="6">
        <v>0</v>
      </c>
      <c r="AE1127" s="6">
        <v>0</v>
      </c>
      <c r="AF1127" s="6">
        <v>0</v>
      </c>
      <c r="AG1127" s="6">
        <v>0</v>
      </c>
      <c r="AH1127" s="6">
        <v>0</v>
      </c>
      <c r="AI1127" s="6">
        <v>0</v>
      </c>
      <c r="AJ1127" s="6">
        <v>152518.92800612099</v>
      </c>
      <c r="AK1127" s="6">
        <v>4891.4320658389597</v>
      </c>
      <c r="AL1127" s="6">
        <v>330.98244656580999</v>
      </c>
      <c r="AM1127" s="6">
        <v>93035.839999999997</v>
      </c>
      <c r="AN1127" s="6">
        <v>4891.4320658389597</v>
      </c>
      <c r="AO1127" s="6">
        <v>15029.065245837101</v>
      </c>
      <c r="AP1127" s="6">
        <v>330.98244656580999</v>
      </c>
      <c r="AQ1127" s="6">
        <v>56162.493707719797</v>
      </c>
      <c r="AR1127" s="6">
        <v>4891.4320658389597</v>
      </c>
      <c r="AS1127" s="6">
        <v>4891.4320658389597</v>
      </c>
      <c r="AT1127" s="6">
        <v>0</v>
      </c>
      <c r="AU1127" t="s">
        <v>2973</v>
      </c>
      <c r="AV1127" t="s">
        <v>2976</v>
      </c>
    </row>
    <row r="1128" spans="1:48" x14ac:dyDescent="0.45">
      <c r="A1128" s="5" t="s">
        <v>2269</v>
      </c>
      <c r="B1128">
        <v>2103</v>
      </c>
      <c r="C1128" t="s">
        <v>2265</v>
      </c>
      <c r="D1128">
        <v>678</v>
      </c>
      <c r="E1128" t="s">
        <v>2270</v>
      </c>
      <c r="F1128" t="s">
        <v>2739</v>
      </c>
      <c r="G1128" t="s">
        <v>2744</v>
      </c>
      <c r="H1128" t="s">
        <v>2741</v>
      </c>
      <c r="I1128" t="s">
        <v>2742</v>
      </c>
      <c r="J1128">
        <v>230.82181594584199</v>
      </c>
      <c r="K1128">
        <v>1</v>
      </c>
      <c r="L1128">
        <v>1</v>
      </c>
      <c r="M1128">
        <v>2</v>
      </c>
      <c r="N1128" s="6">
        <v>1442869.4104247801</v>
      </c>
      <c r="O1128" s="6">
        <v>784379.41199489997</v>
      </c>
      <c r="P1128" s="6">
        <v>673819.04417038604</v>
      </c>
      <c r="Q1128" s="6">
        <v>176762.32665763301</v>
      </c>
      <c r="R1128" s="6">
        <v>249340.33360003799</v>
      </c>
      <c r="S1128" s="6">
        <v>141865.60516493101</v>
      </c>
      <c r="T1128" s="6">
        <v>2339986.9</v>
      </c>
      <c r="U1128" s="6">
        <v>987183.62684774003</v>
      </c>
      <c r="V1128" s="6">
        <v>2760784.4903120399</v>
      </c>
      <c r="W1128" s="6">
        <v>566386.03653569298</v>
      </c>
      <c r="X1128" s="6">
        <v>0</v>
      </c>
      <c r="Y1128" s="6">
        <v>0</v>
      </c>
      <c r="Z1128" s="6">
        <v>0</v>
      </c>
      <c r="AA1128" s="6">
        <v>0</v>
      </c>
      <c r="AB1128" s="6">
        <v>0</v>
      </c>
      <c r="AC1128" s="6">
        <v>141865.60516493101</v>
      </c>
      <c r="AD1128" s="6">
        <v>0</v>
      </c>
      <c r="AE1128" s="6">
        <v>0</v>
      </c>
      <c r="AF1128" s="6">
        <v>0</v>
      </c>
      <c r="AG1128" s="6">
        <v>0</v>
      </c>
      <c r="AH1128" s="6">
        <v>0</v>
      </c>
      <c r="AI1128" s="6">
        <v>0</v>
      </c>
      <c r="AJ1128" s="6">
        <v>3469036.1320126699</v>
      </c>
      <c r="AK1128" s="6">
        <v>15029.065245837101</v>
      </c>
      <c r="AL1128" s="6">
        <v>330.98244656580999</v>
      </c>
      <c r="AM1128" s="6">
        <v>93035.839999999997</v>
      </c>
      <c r="AN1128" s="6">
        <v>4891.4320658389597</v>
      </c>
      <c r="AO1128" s="6">
        <v>15029.065245837101</v>
      </c>
      <c r="AP1128" s="6">
        <v>330.98244656580999</v>
      </c>
      <c r="AQ1128" s="6">
        <v>40734.411818744898</v>
      </c>
      <c r="AR1128" s="6">
        <v>15029.065245837101</v>
      </c>
      <c r="AS1128" s="6">
        <v>15029.065245837101</v>
      </c>
      <c r="AT1128" s="6">
        <v>0</v>
      </c>
      <c r="AU1128" t="s">
        <v>2973</v>
      </c>
      <c r="AV1128" t="s">
        <v>2973</v>
      </c>
    </row>
    <row r="1129" spans="1:48" x14ac:dyDescent="0.45">
      <c r="A1129" s="5" t="s">
        <v>2271</v>
      </c>
      <c r="B1129">
        <v>2103</v>
      </c>
      <c r="C1129" t="s">
        <v>2265</v>
      </c>
      <c r="D1129">
        <v>677</v>
      </c>
      <c r="E1129" t="s">
        <v>2272</v>
      </c>
      <c r="F1129" t="s">
        <v>2739</v>
      </c>
      <c r="G1129" t="s">
        <v>2747</v>
      </c>
      <c r="H1129" t="s">
        <v>2741</v>
      </c>
      <c r="I1129" t="s">
        <v>2742</v>
      </c>
      <c r="J1129">
        <v>150.69501238641899</v>
      </c>
      <c r="K1129">
        <v>1</v>
      </c>
      <c r="L1129">
        <v>1</v>
      </c>
      <c r="M1129">
        <v>2</v>
      </c>
      <c r="N1129" s="6">
        <v>741600.49064856605</v>
      </c>
      <c r="O1129" s="6">
        <v>318681.38907219702</v>
      </c>
      <c r="P1129" s="6">
        <v>397457.77864173398</v>
      </c>
      <c r="Q1129" s="6">
        <v>115401.57456942501</v>
      </c>
      <c r="R1129" s="6">
        <v>147130.89489301899</v>
      </c>
      <c r="S1129" s="6">
        <v>92618.797923988997</v>
      </c>
      <c r="T1129" s="6">
        <v>1075776.51</v>
      </c>
      <c r="U1129" s="6">
        <v>644495.61782494001</v>
      </c>
      <c r="V1129" s="6">
        <v>1555048.29064175</v>
      </c>
      <c r="W1129" s="6">
        <v>165223.837183189</v>
      </c>
      <c r="X1129" s="6">
        <v>0</v>
      </c>
      <c r="Y1129" s="6">
        <v>0</v>
      </c>
      <c r="Z1129" s="6">
        <v>0</v>
      </c>
      <c r="AA1129" s="6">
        <v>0</v>
      </c>
      <c r="AB1129" s="6">
        <v>0</v>
      </c>
      <c r="AC1129" s="6">
        <v>92618.797923988997</v>
      </c>
      <c r="AD1129" s="6">
        <v>0</v>
      </c>
      <c r="AE1129" s="6">
        <v>0</v>
      </c>
      <c r="AF1129" s="6">
        <v>0</v>
      </c>
      <c r="AG1129" s="6">
        <v>0</v>
      </c>
      <c r="AH1129" s="6">
        <v>0</v>
      </c>
      <c r="AI1129" s="6">
        <v>0</v>
      </c>
      <c r="AJ1129" s="6">
        <v>1812890.9257489301</v>
      </c>
      <c r="AK1129" s="6">
        <v>12030.1985914453</v>
      </c>
      <c r="AL1129" s="6">
        <v>330.98244656580999</v>
      </c>
      <c r="AM1129" s="6">
        <v>93035.839999999997</v>
      </c>
      <c r="AN1129" s="6">
        <v>4891.4320658389597</v>
      </c>
      <c r="AO1129" s="6">
        <v>15029.065245837101</v>
      </c>
      <c r="AP1129" s="6">
        <v>3753.1860850462999</v>
      </c>
      <c r="AQ1129" s="6">
        <v>20687.885194392002</v>
      </c>
      <c r="AR1129" s="6">
        <v>12030.1985914453</v>
      </c>
      <c r="AS1129" s="6">
        <v>12030.1985914453</v>
      </c>
      <c r="AT1129" s="6">
        <v>0</v>
      </c>
      <c r="AU1129" t="s">
        <v>2973</v>
      </c>
      <c r="AV1129" t="s">
        <v>2973</v>
      </c>
    </row>
    <row r="1130" spans="1:48" x14ac:dyDescent="0.45">
      <c r="A1130" s="5" t="s">
        <v>2273</v>
      </c>
      <c r="B1130">
        <v>1935</v>
      </c>
      <c r="C1130" t="s">
        <v>2274</v>
      </c>
      <c r="D1130">
        <v>150</v>
      </c>
      <c r="E1130" t="s">
        <v>2275</v>
      </c>
      <c r="F1130" t="s">
        <v>2739</v>
      </c>
      <c r="G1130" t="s">
        <v>2747</v>
      </c>
      <c r="H1130" t="s">
        <v>2741</v>
      </c>
      <c r="I1130" t="s">
        <v>2742</v>
      </c>
      <c r="J1130">
        <v>390.80714774904499</v>
      </c>
      <c r="K1130">
        <v>1</v>
      </c>
      <c r="L1130">
        <v>1</v>
      </c>
      <c r="M1130">
        <v>2</v>
      </c>
      <c r="N1130" s="6">
        <v>2344615.1750753401</v>
      </c>
      <c r="O1130" s="6">
        <v>861974.22226629499</v>
      </c>
      <c r="P1130" s="6">
        <v>879014.246061048</v>
      </c>
      <c r="Q1130" s="6">
        <v>267000.620152338</v>
      </c>
      <c r="R1130" s="6">
        <v>96279.749076738197</v>
      </c>
      <c r="S1130" s="6">
        <v>144598.55975702399</v>
      </c>
      <c r="T1130" s="6">
        <v>3163654.09</v>
      </c>
      <c r="U1130" s="6">
        <v>1285229.9226317599</v>
      </c>
      <c r="V1130" s="6">
        <v>3996046.5131689901</v>
      </c>
      <c r="W1130" s="6">
        <v>452837.49946276599</v>
      </c>
      <c r="X1130" s="6">
        <v>0</v>
      </c>
      <c r="Y1130" s="6">
        <v>0</v>
      </c>
      <c r="Z1130" s="6">
        <v>0</v>
      </c>
      <c r="AA1130" s="6">
        <v>0</v>
      </c>
      <c r="AB1130" s="6">
        <v>0</v>
      </c>
      <c r="AC1130" s="6">
        <v>144598.55975702399</v>
      </c>
      <c r="AD1130" s="6">
        <v>0</v>
      </c>
      <c r="AE1130" s="6">
        <v>0</v>
      </c>
      <c r="AF1130" s="6">
        <v>0</v>
      </c>
      <c r="AG1130" s="6">
        <v>0</v>
      </c>
      <c r="AH1130" s="6">
        <v>0</v>
      </c>
      <c r="AI1130" s="6">
        <v>0</v>
      </c>
      <c r="AJ1130" s="6">
        <v>4593482.5723887896</v>
      </c>
      <c r="AK1130" s="6">
        <v>11753.8345929601</v>
      </c>
      <c r="AL1130" s="6">
        <v>330.98244656580999</v>
      </c>
      <c r="AM1130" s="6">
        <v>93035.839999999997</v>
      </c>
      <c r="AN1130" s="6">
        <v>3658.6548905879799</v>
      </c>
      <c r="AO1130" s="6">
        <v>15427.538602451301</v>
      </c>
      <c r="AP1130" s="6">
        <v>3753.1860850462999</v>
      </c>
      <c r="AQ1130" s="6">
        <v>20687.885194392002</v>
      </c>
      <c r="AR1130" s="6">
        <v>11753.8345929601</v>
      </c>
      <c r="AS1130" s="6">
        <v>11753.8345929601</v>
      </c>
      <c r="AT1130" s="6">
        <v>0</v>
      </c>
      <c r="AU1130" t="s">
        <v>2973</v>
      </c>
      <c r="AV1130" t="s">
        <v>2973</v>
      </c>
    </row>
    <row r="1131" spans="1:48" x14ac:dyDescent="0.45">
      <c r="A1131" s="5" t="s">
        <v>2276</v>
      </c>
      <c r="B1131">
        <v>1935</v>
      </c>
      <c r="C1131" t="s">
        <v>2274</v>
      </c>
      <c r="D1131">
        <v>153</v>
      </c>
      <c r="E1131" t="s">
        <v>1192</v>
      </c>
      <c r="F1131" t="s">
        <v>2739</v>
      </c>
      <c r="G1131" t="s">
        <v>2740</v>
      </c>
      <c r="H1131" t="s">
        <v>2741</v>
      </c>
      <c r="I1131" t="s">
        <v>2742</v>
      </c>
      <c r="J1131">
        <v>300.67630057800898</v>
      </c>
      <c r="K1131">
        <v>1</v>
      </c>
      <c r="L1131">
        <v>1</v>
      </c>
      <c r="M1131">
        <v>2</v>
      </c>
      <c r="N1131" s="6">
        <v>2247018.8307864298</v>
      </c>
      <c r="O1131" s="6">
        <v>516565.45304698299</v>
      </c>
      <c r="P1131" s="6">
        <v>599920.21569580003</v>
      </c>
      <c r="Q1131" s="6">
        <v>205422.953960379</v>
      </c>
      <c r="R1131" s="6">
        <v>74074.998217693996</v>
      </c>
      <c r="S1131" s="6">
        <v>111250.165886344</v>
      </c>
      <c r="T1131" s="6">
        <v>2654181.7999999998</v>
      </c>
      <c r="U1131" s="6">
        <v>988820.65170729195</v>
      </c>
      <c r="V1131" s="6">
        <v>3343102.5668929499</v>
      </c>
      <c r="W1131" s="6">
        <v>299899.884814338</v>
      </c>
      <c r="X1131" s="6">
        <v>0</v>
      </c>
      <c r="Y1131" s="6">
        <v>0</v>
      </c>
      <c r="Z1131" s="6">
        <v>0</v>
      </c>
      <c r="AA1131" s="6">
        <v>0</v>
      </c>
      <c r="AB1131" s="6">
        <v>0</v>
      </c>
      <c r="AC1131" s="6">
        <v>111250.165886344</v>
      </c>
      <c r="AD1131" s="6">
        <v>0</v>
      </c>
      <c r="AE1131" s="6">
        <v>0</v>
      </c>
      <c r="AF1131" s="6">
        <v>0</v>
      </c>
      <c r="AG1131" s="6">
        <v>0</v>
      </c>
      <c r="AH1131" s="6">
        <v>0</v>
      </c>
      <c r="AI1131" s="6">
        <v>0</v>
      </c>
      <c r="AJ1131" s="6">
        <v>3754252.61759364</v>
      </c>
      <c r="AK1131" s="6">
        <v>12486.0276994781</v>
      </c>
      <c r="AL1131" s="6">
        <v>330.98244656580999</v>
      </c>
      <c r="AM1131" s="6">
        <v>93035.839999999997</v>
      </c>
      <c r="AN1131" s="6">
        <v>3658.6548905879799</v>
      </c>
      <c r="AO1131" s="6">
        <v>15427.538602451301</v>
      </c>
      <c r="AP1131" s="6">
        <v>330.98244656580999</v>
      </c>
      <c r="AQ1131" s="6">
        <v>93035.839999999997</v>
      </c>
      <c r="AR1131" s="6">
        <v>3658.6548905879799</v>
      </c>
      <c r="AS1131" s="6">
        <v>13376.7901702074</v>
      </c>
      <c r="AT1131" s="6">
        <v>0</v>
      </c>
      <c r="AU1131" t="s">
        <v>2973</v>
      </c>
      <c r="AV1131" t="s">
        <v>2973</v>
      </c>
    </row>
    <row r="1132" spans="1:48" x14ac:dyDescent="0.45">
      <c r="A1132" s="5" t="s">
        <v>2277</v>
      </c>
      <c r="B1132">
        <v>1935</v>
      </c>
      <c r="C1132" t="s">
        <v>2274</v>
      </c>
      <c r="D1132">
        <v>152</v>
      </c>
      <c r="E1132" t="s">
        <v>2278</v>
      </c>
      <c r="F1132" t="s">
        <v>2739</v>
      </c>
      <c r="G1132" t="s">
        <v>2740</v>
      </c>
      <c r="H1132" t="s">
        <v>2741</v>
      </c>
      <c r="I1132" t="s">
        <v>2742</v>
      </c>
      <c r="J1132">
        <v>440.63005780340302</v>
      </c>
      <c r="K1132">
        <v>3</v>
      </c>
      <c r="L1132">
        <v>1</v>
      </c>
      <c r="M1132">
        <v>2</v>
      </c>
      <c r="N1132" s="6">
        <v>3607145.7744652499</v>
      </c>
      <c r="O1132" s="6">
        <v>784835.66798157897</v>
      </c>
      <c r="P1132" s="6">
        <v>902067.39053238404</v>
      </c>
      <c r="Q1132" s="6">
        <v>301039.78232971398</v>
      </c>
      <c r="R1132" s="6">
        <v>136094.184961383</v>
      </c>
      <c r="S1132" s="6">
        <v>163033.025652182</v>
      </c>
      <c r="T1132" s="6">
        <v>4282102.51</v>
      </c>
      <c r="U1132" s="6">
        <v>1449080.2902703001</v>
      </c>
      <c r="V1132" s="6">
        <v>5187787.5059545804</v>
      </c>
      <c r="W1132" s="6">
        <v>543395.29431572999</v>
      </c>
      <c r="X1132" s="6">
        <v>0</v>
      </c>
      <c r="Y1132" s="6">
        <v>0</v>
      </c>
      <c r="Z1132" s="6">
        <v>0</v>
      </c>
      <c r="AA1132" s="6">
        <v>0</v>
      </c>
      <c r="AB1132" s="6">
        <v>0</v>
      </c>
      <c r="AC1132" s="6">
        <v>163033.025652182</v>
      </c>
      <c r="AD1132" s="6">
        <v>0</v>
      </c>
      <c r="AE1132" s="6">
        <v>0</v>
      </c>
      <c r="AF1132" s="6">
        <v>0</v>
      </c>
      <c r="AG1132" s="6">
        <v>0</v>
      </c>
      <c r="AH1132" s="6">
        <v>0</v>
      </c>
      <c r="AI1132" s="6">
        <v>0</v>
      </c>
      <c r="AJ1132" s="6">
        <v>5894215.8259224901</v>
      </c>
      <c r="AK1132" s="6">
        <v>13376.7901702074</v>
      </c>
      <c r="AL1132" s="6">
        <v>330.98244656580999</v>
      </c>
      <c r="AM1132" s="6">
        <v>93035.839999999997</v>
      </c>
      <c r="AN1132" s="6">
        <v>3658.6548905879799</v>
      </c>
      <c r="AO1132" s="6">
        <v>15427.538602451301</v>
      </c>
      <c r="AP1132" s="6">
        <v>330.98244656580999</v>
      </c>
      <c r="AQ1132" s="6">
        <v>93035.839999999997</v>
      </c>
      <c r="AR1132" s="6">
        <v>3658.6548905879799</v>
      </c>
      <c r="AS1132" s="6">
        <v>13376.7901702074</v>
      </c>
      <c r="AT1132" s="6">
        <v>0</v>
      </c>
      <c r="AU1132" t="s">
        <v>2973</v>
      </c>
      <c r="AV1132" t="s">
        <v>2973</v>
      </c>
    </row>
    <row r="1133" spans="1:48" x14ac:dyDescent="0.45">
      <c r="A1133" s="5" t="s">
        <v>2279</v>
      </c>
      <c r="B1133">
        <v>1935</v>
      </c>
      <c r="C1133" t="s">
        <v>2274</v>
      </c>
      <c r="D1133">
        <v>154</v>
      </c>
      <c r="E1133" t="s">
        <v>2280</v>
      </c>
      <c r="F1133" t="s">
        <v>2739</v>
      </c>
      <c r="G1133" t="s">
        <v>2744</v>
      </c>
      <c r="H1133" t="s">
        <v>2741</v>
      </c>
      <c r="I1133" t="s">
        <v>2742</v>
      </c>
      <c r="J1133">
        <v>460.39601993332502</v>
      </c>
      <c r="K1133">
        <v>1</v>
      </c>
      <c r="L1133">
        <v>1</v>
      </c>
      <c r="M1133">
        <v>2</v>
      </c>
      <c r="N1133" s="6">
        <v>3537364.1643978902</v>
      </c>
      <c r="O1133" s="6">
        <v>1871871.5622928201</v>
      </c>
      <c r="P1133" s="6">
        <v>1068650.39603482</v>
      </c>
      <c r="Q1133" s="6">
        <v>314543.94717673399</v>
      </c>
      <c r="R1133" s="6">
        <v>140000.87268830501</v>
      </c>
      <c r="S1133" s="6">
        <v>170346.427345731</v>
      </c>
      <c r="T1133" s="6">
        <v>5418347.2199999997</v>
      </c>
      <c r="U1133" s="6">
        <v>1514083.7225905701</v>
      </c>
      <c r="V1133" s="6">
        <v>5910077.5913003003</v>
      </c>
      <c r="W1133" s="6">
        <v>1022353.35129028</v>
      </c>
      <c r="X1133" s="6">
        <v>0</v>
      </c>
      <c r="Y1133" s="6">
        <v>0</v>
      </c>
      <c r="Z1133" s="6">
        <v>0</v>
      </c>
      <c r="AA1133" s="6">
        <v>0</v>
      </c>
      <c r="AB1133" s="6">
        <v>0</v>
      </c>
      <c r="AC1133" s="6">
        <v>170346.427345731</v>
      </c>
      <c r="AD1133" s="6">
        <v>0</v>
      </c>
      <c r="AE1133" s="6">
        <v>0</v>
      </c>
      <c r="AF1133" s="6">
        <v>0</v>
      </c>
      <c r="AG1133" s="6">
        <v>0</v>
      </c>
      <c r="AH1133" s="6">
        <v>0</v>
      </c>
      <c r="AI1133" s="6">
        <v>0</v>
      </c>
      <c r="AJ1133" s="6">
        <v>7102777.3699363004</v>
      </c>
      <c r="AK1133" s="6">
        <v>15427.538602451301</v>
      </c>
      <c r="AL1133" s="6">
        <v>330.98244656580999</v>
      </c>
      <c r="AM1133" s="6">
        <v>93035.839999999997</v>
      </c>
      <c r="AN1133" s="6">
        <v>3658.6548905879799</v>
      </c>
      <c r="AO1133" s="6">
        <v>15427.538602451301</v>
      </c>
      <c r="AP1133" s="6">
        <v>330.98244656580999</v>
      </c>
      <c r="AQ1133" s="6">
        <v>40734.411818744898</v>
      </c>
      <c r="AR1133" s="6">
        <v>15427.538602451301</v>
      </c>
      <c r="AS1133" s="6">
        <v>15427.538602451301</v>
      </c>
      <c r="AT1133" s="6">
        <v>0</v>
      </c>
      <c r="AU1133" t="s">
        <v>2973</v>
      </c>
      <c r="AV1133" t="s">
        <v>2973</v>
      </c>
    </row>
    <row r="1134" spans="1:48" x14ac:dyDescent="0.45">
      <c r="A1134" s="5" t="s">
        <v>2281</v>
      </c>
      <c r="B1134">
        <v>1935</v>
      </c>
      <c r="C1134" t="s">
        <v>2274</v>
      </c>
      <c r="D1134">
        <v>1935</v>
      </c>
      <c r="E1134" t="s">
        <v>2274</v>
      </c>
      <c r="F1134" t="s">
        <v>1</v>
      </c>
      <c r="G1134" t="s">
        <v>1</v>
      </c>
      <c r="H1134" t="s">
        <v>2743</v>
      </c>
      <c r="I1134" t="s">
        <v>2742</v>
      </c>
      <c r="J1134">
        <v>7.6316136970727699</v>
      </c>
      <c r="K1134">
        <v>0</v>
      </c>
      <c r="L1134">
        <v>0</v>
      </c>
      <c r="M1134">
        <v>2</v>
      </c>
      <c r="N1134" s="6">
        <v>2889.5902072666499</v>
      </c>
      <c r="O1134" s="6">
        <v>3683.5190798210601</v>
      </c>
      <c r="P1134" s="6">
        <v>11430.5605032002</v>
      </c>
      <c r="Q1134" s="6">
        <v>5213.9414583838898</v>
      </c>
      <c r="R1134" s="6">
        <v>1880.1341173948899</v>
      </c>
      <c r="S1134" s="6">
        <v>2823.69540980689</v>
      </c>
      <c r="T1134" s="6">
        <v>0</v>
      </c>
      <c r="U1134" s="6">
        <v>25097.745366066702</v>
      </c>
      <c r="V1134" s="6">
        <v>20495.684697440702</v>
      </c>
      <c r="W1134" s="6">
        <v>4602.0606686259198</v>
      </c>
      <c r="X1134" s="6">
        <v>0</v>
      </c>
      <c r="Y1134" s="6">
        <v>0</v>
      </c>
      <c r="Z1134" s="6">
        <v>0</v>
      </c>
      <c r="AA1134" s="6">
        <v>0</v>
      </c>
      <c r="AB1134" s="6">
        <v>0</v>
      </c>
      <c r="AC1134" s="6">
        <v>2823.69540980689</v>
      </c>
      <c r="AD1134" s="6">
        <v>0</v>
      </c>
      <c r="AE1134" s="6">
        <v>0</v>
      </c>
      <c r="AF1134" s="6">
        <v>0</v>
      </c>
      <c r="AG1134" s="6">
        <v>0</v>
      </c>
      <c r="AH1134" s="6">
        <v>0</v>
      </c>
      <c r="AI1134" s="6">
        <v>0</v>
      </c>
      <c r="AJ1134" s="6">
        <v>27921.440775873602</v>
      </c>
      <c r="AK1134" s="6">
        <v>3658.6548905879899</v>
      </c>
      <c r="AL1134" s="6">
        <v>330.98244656580999</v>
      </c>
      <c r="AM1134" s="6">
        <v>93035.839999999997</v>
      </c>
      <c r="AN1134" s="6">
        <v>3658.6548905879799</v>
      </c>
      <c r="AO1134" s="6">
        <v>15427.538602451301</v>
      </c>
      <c r="AP1134" s="6">
        <v>634.54287297753501</v>
      </c>
      <c r="AQ1134" s="6">
        <v>40331.279999999999</v>
      </c>
      <c r="AR1134" s="6">
        <v>3658.6548905879899</v>
      </c>
      <c r="AS1134" s="6">
        <v>3658.6548905879899</v>
      </c>
      <c r="AT1134" s="6">
        <v>0</v>
      </c>
      <c r="AU1134" t="s">
        <v>2973</v>
      </c>
      <c r="AV1134" t="s">
        <v>2977</v>
      </c>
    </row>
    <row r="1135" spans="1:48" x14ac:dyDescent="0.45">
      <c r="A1135" s="5" t="s">
        <v>2818</v>
      </c>
      <c r="B1135">
        <v>1935</v>
      </c>
      <c r="C1135" t="s">
        <v>2274</v>
      </c>
      <c r="D1135">
        <v>5385</v>
      </c>
      <c r="E1135" t="s">
        <v>2819</v>
      </c>
      <c r="F1135" t="s">
        <v>3</v>
      </c>
      <c r="G1135" t="s">
        <v>2740</v>
      </c>
      <c r="H1135" t="s">
        <v>2741</v>
      </c>
      <c r="I1135" t="s">
        <v>2742</v>
      </c>
      <c r="J1135">
        <v>32.213872832366</v>
      </c>
      <c r="K1135">
        <v>2</v>
      </c>
      <c r="L1135">
        <v>1</v>
      </c>
      <c r="M1135">
        <v>2</v>
      </c>
      <c r="N1135" s="6">
        <v>12197.275067819801</v>
      </c>
      <c r="O1135" s="6">
        <v>15548.535332502999</v>
      </c>
      <c r="P1135" s="6">
        <v>48249.641172743599</v>
      </c>
      <c r="Q1135" s="6">
        <v>22008.614922451299</v>
      </c>
      <c r="R1135" s="6">
        <v>7936.2509384853702</v>
      </c>
      <c r="S1135" s="6">
        <v>11919.1259489123</v>
      </c>
      <c r="T1135" s="6">
        <v>0</v>
      </c>
      <c r="U1135" s="6">
        <v>105940.31743400299</v>
      </c>
      <c r="V1135" s="6">
        <v>86514.517985740502</v>
      </c>
      <c r="W1135" s="6">
        <v>19425.7994482625</v>
      </c>
      <c r="X1135" s="6">
        <v>0</v>
      </c>
      <c r="Y1135" s="6">
        <v>0</v>
      </c>
      <c r="Z1135" s="6">
        <v>0</v>
      </c>
      <c r="AA1135" s="6">
        <v>0</v>
      </c>
      <c r="AB1135" s="6">
        <v>0</v>
      </c>
      <c r="AC1135" s="6">
        <v>11919.1259489123</v>
      </c>
      <c r="AD1135" s="6">
        <v>0</v>
      </c>
      <c r="AE1135" s="6">
        <v>0</v>
      </c>
      <c r="AF1135" s="6">
        <v>0</v>
      </c>
      <c r="AG1135" s="6">
        <v>0</v>
      </c>
      <c r="AH1135" s="6">
        <v>0</v>
      </c>
      <c r="AI1135" s="6">
        <v>0</v>
      </c>
      <c r="AJ1135" s="6">
        <v>117859.44338291499</v>
      </c>
      <c r="AK1135" s="6">
        <v>3658.6548905879799</v>
      </c>
      <c r="AL1135" s="6">
        <v>330.98244656580999</v>
      </c>
      <c r="AM1135" s="6">
        <v>93035.839999999997</v>
      </c>
      <c r="AN1135" s="6">
        <v>3658.6548905879799</v>
      </c>
      <c r="AO1135" s="6">
        <v>15427.538602451301</v>
      </c>
      <c r="AP1135" s="6">
        <v>330.98244656580999</v>
      </c>
      <c r="AQ1135" s="6">
        <v>93035.839999999997</v>
      </c>
      <c r="AR1135" s="6">
        <v>3658.6548905879799</v>
      </c>
      <c r="AS1135" s="6">
        <v>13376.7901702074</v>
      </c>
      <c r="AT1135" s="6">
        <v>0</v>
      </c>
      <c r="AU1135" t="s">
        <v>2973</v>
      </c>
      <c r="AV1135" t="s">
        <v>2976</v>
      </c>
    </row>
    <row r="1136" spans="1:48" x14ac:dyDescent="0.45">
      <c r="A1136" s="5" t="s">
        <v>2282</v>
      </c>
      <c r="B1136">
        <v>2257</v>
      </c>
      <c r="C1136" t="s">
        <v>2283</v>
      </c>
      <c r="D1136">
        <v>1235</v>
      </c>
      <c r="E1136" t="s">
        <v>2284</v>
      </c>
      <c r="F1136" t="s">
        <v>2739</v>
      </c>
      <c r="G1136" t="s">
        <v>2740</v>
      </c>
      <c r="H1136" t="s">
        <v>2741</v>
      </c>
      <c r="I1136" t="s">
        <v>2742</v>
      </c>
      <c r="J1136">
        <v>471.442882962645</v>
      </c>
      <c r="K1136">
        <v>1</v>
      </c>
      <c r="L1136">
        <v>1</v>
      </c>
      <c r="M1136">
        <v>2</v>
      </c>
      <c r="N1136" s="6">
        <v>3208274.8153849798</v>
      </c>
      <c r="O1136" s="6">
        <v>1091835.7788170599</v>
      </c>
      <c r="P1136" s="6">
        <v>1072296.88150388</v>
      </c>
      <c r="Q1136" s="6">
        <v>336303.03379823302</v>
      </c>
      <c r="R1136" s="6">
        <v>290448.93179428298</v>
      </c>
      <c r="S1136" s="6">
        <v>245291.98403909701</v>
      </c>
      <c r="T1136" s="6">
        <v>4478934.7300000004</v>
      </c>
      <c r="U1136" s="6">
        <v>1520224.7112984399</v>
      </c>
      <c r="V1136" s="6">
        <v>4722724.0097885402</v>
      </c>
      <c r="W1136" s="6">
        <v>1265242.00082421</v>
      </c>
      <c r="X1136" s="6">
        <v>0</v>
      </c>
      <c r="Y1136" s="6">
        <v>0</v>
      </c>
      <c r="Z1136" s="6">
        <v>0</v>
      </c>
      <c r="AA1136" s="6">
        <v>11193.430685687699</v>
      </c>
      <c r="AB1136" s="6">
        <v>0</v>
      </c>
      <c r="AC1136" s="6">
        <v>113968.31591183</v>
      </c>
      <c r="AD1136" s="6">
        <v>131323.66812726599</v>
      </c>
      <c r="AE1136" s="6">
        <v>0</v>
      </c>
      <c r="AF1136" s="6">
        <v>0</v>
      </c>
      <c r="AG1136" s="6">
        <v>0</v>
      </c>
      <c r="AH1136" s="6">
        <v>0</v>
      </c>
      <c r="AI1136" s="6">
        <v>0</v>
      </c>
      <c r="AJ1136" s="6">
        <v>6244451.4253375297</v>
      </c>
      <c r="AK1136" s="6">
        <v>13245.4039524281</v>
      </c>
      <c r="AL1136" s="6">
        <v>330.98244656580999</v>
      </c>
      <c r="AM1136" s="6">
        <v>93035.839999999997</v>
      </c>
      <c r="AN1136" s="6">
        <v>3744.9217267692302</v>
      </c>
      <c r="AO1136" s="6">
        <v>14272.3276011574</v>
      </c>
      <c r="AP1136" s="6">
        <v>330.98244656580999</v>
      </c>
      <c r="AQ1136" s="6">
        <v>93035.839999999997</v>
      </c>
      <c r="AR1136" s="6">
        <v>13245.4039524281</v>
      </c>
      <c r="AS1136" s="6">
        <v>13245.4039524281</v>
      </c>
      <c r="AT1136" s="6">
        <v>0</v>
      </c>
      <c r="AU1136" t="s">
        <v>2973</v>
      </c>
      <c r="AV1136" t="s">
        <v>2973</v>
      </c>
    </row>
    <row r="1137" spans="1:48" x14ac:dyDescent="0.45">
      <c r="A1137" s="5" t="s">
        <v>2285</v>
      </c>
      <c r="B1137">
        <v>2257</v>
      </c>
      <c r="C1137" t="s">
        <v>2283</v>
      </c>
      <c r="D1137">
        <v>4833</v>
      </c>
      <c r="E1137" t="s">
        <v>2286</v>
      </c>
      <c r="F1137" t="s">
        <v>3</v>
      </c>
      <c r="G1137" t="s">
        <v>2748</v>
      </c>
      <c r="H1137" t="s">
        <v>2743</v>
      </c>
      <c r="I1137" t="s">
        <v>2742</v>
      </c>
      <c r="J1137">
        <v>141.24187900499501</v>
      </c>
      <c r="K1137">
        <v>1</v>
      </c>
      <c r="L1137">
        <v>1</v>
      </c>
      <c r="M1137">
        <v>2</v>
      </c>
      <c r="N1137" s="6">
        <v>83131.187439008994</v>
      </c>
      <c r="O1137" s="6">
        <v>52382.449610407501</v>
      </c>
      <c r="P1137" s="6">
        <v>132837.32512271</v>
      </c>
      <c r="Q1137" s="6">
        <v>100754.670661782</v>
      </c>
      <c r="R1137" s="6">
        <v>86345.923427318499</v>
      </c>
      <c r="S1137" s="6">
        <v>73488.225154287196</v>
      </c>
      <c r="T1137" s="6">
        <v>0</v>
      </c>
      <c r="U1137" s="6">
        <v>455451.55626122799</v>
      </c>
      <c r="V1137" s="6">
        <v>349585.98918995302</v>
      </c>
      <c r="W1137" s="6">
        <v>102512.07242814099</v>
      </c>
      <c r="X1137" s="6">
        <v>0</v>
      </c>
      <c r="Y1137" s="6">
        <v>0</v>
      </c>
      <c r="Z1137" s="6">
        <v>0</v>
      </c>
      <c r="AA1137" s="6">
        <v>3353.4946431336102</v>
      </c>
      <c r="AB1137" s="6">
        <v>0</v>
      </c>
      <c r="AC1137" s="6">
        <v>34144.3251518916</v>
      </c>
      <c r="AD1137" s="6">
        <v>39343.900002395603</v>
      </c>
      <c r="AE1137" s="6">
        <v>0</v>
      </c>
      <c r="AF1137" s="6">
        <v>0</v>
      </c>
      <c r="AG1137" s="6">
        <v>0</v>
      </c>
      <c r="AH1137" s="6">
        <v>0</v>
      </c>
      <c r="AI1137" s="6">
        <v>0</v>
      </c>
      <c r="AJ1137" s="6">
        <v>528939.781415515</v>
      </c>
      <c r="AK1137" s="6">
        <v>3744.9217267692302</v>
      </c>
      <c r="AL1137" s="6">
        <v>330.98244656580999</v>
      </c>
      <c r="AM1137" s="6">
        <v>93035.839999999997</v>
      </c>
      <c r="AN1137" s="6">
        <v>3744.9217267692302</v>
      </c>
      <c r="AO1137" s="6">
        <v>14272.3276011574</v>
      </c>
      <c r="AP1137" s="6">
        <v>330.98244656580999</v>
      </c>
      <c r="AQ1137" s="6">
        <v>56162.493707719797</v>
      </c>
      <c r="AR1137" s="6">
        <v>3744.9217267692302</v>
      </c>
      <c r="AS1137" s="6">
        <v>3744.9217267692302</v>
      </c>
      <c r="AT1137" s="6">
        <v>0</v>
      </c>
      <c r="AU1137" t="s">
        <v>2973</v>
      </c>
      <c r="AV1137" t="s">
        <v>2976</v>
      </c>
    </row>
    <row r="1138" spans="1:48" x14ac:dyDescent="0.45">
      <c r="A1138" s="5" t="s">
        <v>2287</v>
      </c>
      <c r="B1138">
        <v>2257</v>
      </c>
      <c r="C1138" t="s">
        <v>2283</v>
      </c>
      <c r="D1138">
        <v>1237</v>
      </c>
      <c r="E1138" t="s">
        <v>2288</v>
      </c>
      <c r="F1138" t="s">
        <v>2739</v>
      </c>
      <c r="G1138" t="s">
        <v>2744</v>
      </c>
      <c r="H1138" t="s">
        <v>2741</v>
      </c>
      <c r="I1138" t="s">
        <v>2742</v>
      </c>
      <c r="J1138">
        <v>238.96904327783599</v>
      </c>
      <c r="K1138">
        <v>1</v>
      </c>
      <c r="L1138">
        <v>1</v>
      </c>
      <c r="M1138">
        <v>2</v>
      </c>
      <c r="N1138" s="6">
        <v>1549861.6691371701</v>
      </c>
      <c r="O1138" s="6">
        <v>853097.984187008</v>
      </c>
      <c r="P1138" s="6">
        <v>557981.07501819194</v>
      </c>
      <c r="Q1138" s="6">
        <v>170468.188496474</v>
      </c>
      <c r="R1138" s="6">
        <v>154899.83438713601</v>
      </c>
      <c r="S1138" s="6">
        <v>124335.720970444</v>
      </c>
      <c r="T1138" s="6">
        <v>2515724.11</v>
      </c>
      <c r="U1138" s="6">
        <v>770584.64122597896</v>
      </c>
      <c r="V1138" s="6">
        <v>2796437.7180456598</v>
      </c>
      <c r="W1138" s="6">
        <v>484197.21028761799</v>
      </c>
      <c r="X1138" s="6">
        <v>0</v>
      </c>
      <c r="Y1138" s="6">
        <v>0</v>
      </c>
      <c r="Z1138" s="6">
        <v>0</v>
      </c>
      <c r="AA1138" s="6">
        <v>5673.8228927034397</v>
      </c>
      <c r="AB1138" s="6">
        <v>0</v>
      </c>
      <c r="AC1138" s="6">
        <v>57769.245017098299</v>
      </c>
      <c r="AD1138" s="6">
        <v>66566.475953345696</v>
      </c>
      <c r="AE1138" s="6">
        <v>0</v>
      </c>
      <c r="AF1138" s="6">
        <v>0</v>
      </c>
      <c r="AG1138" s="6">
        <v>0</v>
      </c>
      <c r="AH1138" s="6">
        <v>0</v>
      </c>
      <c r="AI1138" s="6">
        <v>0</v>
      </c>
      <c r="AJ1138" s="6">
        <v>3410644.4721964202</v>
      </c>
      <c r="AK1138" s="6">
        <v>14272.3276011574</v>
      </c>
      <c r="AL1138" s="6">
        <v>330.98244656580999</v>
      </c>
      <c r="AM1138" s="6">
        <v>93035.839999999997</v>
      </c>
      <c r="AN1138" s="6">
        <v>3744.9217267692302</v>
      </c>
      <c r="AO1138" s="6">
        <v>14272.3276011574</v>
      </c>
      <c r="AP1138" s="6">
        <v>330.98244656580999</v>
      </c>
      <c r="AQ1138" s="6">
        <v>40734.411818744898</v>
      </c>
      <c r="AR1138" s="6">
        <v>14272.3276011574</v>
      </c>
      <c r="AS1138" s="6">
        <v>14272.3276011574</v>
      </c>
      <c r="AT1138" s="6">
        <v>0</v>
      </c>
      <c r="AU1138" t="s">
        <v>2973</v>
      </c>
      <c r="AV1138" t="s">
        <v>2973</v>
      </c>
    </row>
    <row r="1139" spans="1:48" x14ac:dyDescent="0.45">
      <c r="A1139" s="5" t="s">
        <v>2289</v>
      </c>
      <c r="B1139">
        <v>2257</v>
      </c>
      <c r="C1139" t="s">
        <v>2283</v>
      </c>
      <c r="D1139">
        <v>2728</v>
      </c>
      <c r="E1139" t="s">
        <v>2290</v>
      </c>
      <c r="F1139" t="s">
        <v>3</v>
      </c>
      <c r="G1139" t="s">
        <v>2748</v>
      </c>
      <c r="H1139" t="s">
        <v>2741</v>
      </c>
      <c r="I1139" t="s">
        <v>2742</v>
      </c>
      <c r="J1139">
        <v>87.504803516010895</v>
      </c>
      <c r="K1139">
        <v>1</v>
      </c>
      <c r="L1139">
        <v>1</v>
      </c>
      <c r="M1139">
        <v>2</v>
      </c>
      <c r="N1139" s="6">
        <v>51502.983917722602</v>
      </c>
      <c r="O1139" s="6">
        <v>32452.952291040801</v>
      </c>
      <c r="P1139" s="6">
        <v>82297.857521735394</v>
      </c>
      <c r="Q1139" s="6">
        <v>62421.412980974899</v>
      </c>
      <c r="R1139" s="6">
        <v>53494.637122810098</v>
      </c>
      <c r="S1139" s="6">
        <v>45528.796049498</v>
      </c>
      <c r="T1139" s="6">
        <v>0</v>
      </c>
      <c r="U1139" s="6">
        <v>282169.84383428399</v>
      </c>
      <c r="V1139" s="6">
        <v>216582.03297433699</v>
      </c>
      <c r="W1139" s="6">
        <v>63510.191304707798</v>
      </c>
      <c r="X1139" s="6">
        <v>0</v>
      </c>
      <c r="Y1139" s="6">
        <v>0</v>
      </c>
      <c r="Z1139" s="6">
        <v>0</v>
      </c>
      <c r="AA1139" s="6">
        <v>2077.6195552384602</v>
      </c>
      <c r="AB1139" s="6">
        <v>0</v>
      </c>
      <c r="AC1139" s="6">
        <v>21153.729224300499</v>
      </c>
      <c r="AD1139" s="6">
        <v>24375.066825197599</v>
      </c>
      <c r="AE1139" s="6">
        <v>0</v>
      </c>
      <c r="AF1139" s="6">
        <v>0</v>
      </c>
      <c r="AG1139" s="6">
        <v>0</v>
      </c>
      <c r="AH1139" s="6">
        <v>0</v>
      </c>
      <c r="AI1139" s="6">
        <v>0</v>
      </c>
      <c r="AJ1139" s="6">
        <v>327698.63988378202</v>
      </c>
      <c r="AK1139" s="6">
        <v>3744.9217267692302</v>
      </c>
      <c r="AL1139" s="6">
        <v>330.98244656580999</v>
      </c>
      <c r="AM1139" s="6">
        <v>93035.839999999997</v>
      </c>
      <c r="AN1139" s="6">
        <v>3744.9217267692302</v>
      </c>
      <c r="AO1139" s="6">
        <v>14272.3276011574</v>
      </c>
      <c r="AP1139" s="6">
        <v>330.98244656580999</v>
      </c>
      <c r="AQ1139" s="6">
        <v>56162.493707719797</v>
      </c>
      <c r="AR1139" s="6">
        <v>3744.9217267692302</v>
      </c>
      <c r="AS1139" s="6">
        <v>3744.9217267692302</v>
      </c>
      <c r="AT1139" s="6">
        <v>0</v>
      </c>
      <c r="AU1139" t="s">
        <v>2973</v>
      </c>
      <c r="AV1139" t="s">
        <v>2976</v>
      </c>
    </row>
    <row r="1140" spans="1:48" x14ac:dyDescent="0.45">
      <c r="A1140" s="5" t="s">
        <v>2291</v>
      </c>
      <c r="B1140">
        <v>2257</v>
      </c>
      <c r="C1140" t="s">
        <v>2283</v>
      </c>
      <c r="D1140">
        <v>2257</v>
      </c>
      <c r="E1140" t="s">
        <v>2283</v>
      </c>
      <c r="F1140" t="s">
        <v>1</v>
      </c>
      <c r="G1140" t="s">
        <v>1</v>
      </c>
      <c r="H1140" t="s">
        <v>2743</v>
      </c>
      <c r="I1140" t="s">
        <v>2742</v>
      </c>
      <c r="J1140">
        <v>9.8767220960470006</v>
      </c>
      <c r="K1140">
        <v>0</v>
      </c>
      <c r="L1140">
        <v>0</v>
      </c>
      <c r="M1140">
        <v>2</v>
      </c>
      <c r="N1140" s="6">
        <v>5813.1741211149601</v>
      </c>
      <c r="O1140" s="6">
        <v>3662.9850944837999</v>
      </c>
      <c r="P1140" s="6">
        <v>9289.0108334855704</v>
      </c>
      <c r="Q1140" s="6">
        <v>7045.54406253668</v>
      </c>
      <c r="R1140" s="6">
        <v>6037.9732684526398</v>
      </c>
      <c r="S1140" s="6">
        <v>5138.8637866744803</v>
      </c>
      <c r="T1140" s="6">
        <v>0</v>
      </c>
      <c r="U1140" s="6">
        <v>31848.687380073701</v>
      </c>
      <c r="V1140" s="6">
        <v>24445.7500015187</v>
      </c>
      <c r="W1140" s="6">
        <v>7168.4351553181496</v>
      </c>
      <c r="X1140" s="6">
        <v>0</v>
      </c>
      <c r="Y1140" s="6">
        <v>0</v>
      </c>
      <c r="Z1140" s="6">
        <v>0</v>
      </c>
      <c r="AA1140" s="6">
        <v>234.50222323679</v>
      </c>
      <c r="AB1140" s="6">
        <v>0</v>
      </c>
      <c r="AC1140" s="6">
        <v>2387.6346948795199</v>
      </c>
      <c r="AD1140" s="6">
        <v>2751.2290917949599</v>
      </c>
      <c r="AE1140" s="6">
        <v>0</v>
      </c>
      <c r="AF1140" s="6">
        <v>0</v>
      </c>
      <c r="AG1140" s="6">
        <v>0</v>
      </c>
      <c r="AH1140" s="6">
        <v>0</v>
      </c>
      <c r="AI1140" s="6">
        <v>0</v>
      </c>
      <c r="AJ1140" s="6">
        <v>36987.551166748097</v>
      </c>
      <c r="AK1140" s="6">
        <v>3744.9217267692302</v>
      </c>
      <c r="AL1140" s="6">
        <v>330.98244656580999</v>
      </c>
      <c r="AM1140" s="6">
        <v>93035.839999999997</v>
      </c>
      <c r="AN1140" s="6">
        <v>3744.9217267692302</v>
      </c>
      <c r="AO1140" s="6">
        <v>14272.3276011574</v>
      </c>
      <c r="AP1140" s="6">
        <v>634.54287297753501</v>
      </c>
      <c r="AQ1140" s="6">
        <v>40331.279999999999</v>
      </c>
      <c r="AR1140" s="6">
        <v>3744.9217267692302</v>
      </c>
      <c r="AS1140" s="6">
        <v>3744.9217267692302</v>
      </c>
      <c r="AT1140" s="6">
        <v>0</v>
      </c>
      <c r="AU1140" t="s">
        <v>2973</v>
      </c>
      <c r="AV1140" t="s">
        <v>2977</v>
      </c>
    </row>
    <row r="1141" spans="1:48" x14ac:dyDescent="0.45">
      <c r="A1141" s="5" t="s">
        <v>2293</v>
      </c>
      <c r="B1141">
        <v>2195</v>
      </c>
      <c r="C1141" t="s">
        <v>2292</v>
      </c>
      <c r="D1141">
        <v>1010</v>
      </c>
      <c r="E1141" t="s">
        <v>2294</v>
      </c>
      <c r="F1141" t="s">
        <v>2739</v>
      </c>
      <c r="G1141" t="s">
        <v>2748</v>
      </c>
      <c r="H1141" t="s">
        <v>2745</v>
      </c>
      <c r="I1141" t="s">
        <v>2742</v>
      </c>
      <c r="J1141">
        <v>265.59055369923999</v>
      </c>
      <c r="K1141">
        <v>1</v>
      </c>
      <c r="L1141">
        <v>1</v>
      </c>
      <c r="M1141">
        <v>2</v>
      </c>
      <c r="N1141" s="6">
        <v>1646227.26</v>
      </c>
      <c r="O1141" s="6">
        <v>517115.58</v>
      </c>
      <c r="P1141" s="6">
        <v>1081519.24</v>
      </c>
      <c r="Q1141" s="6">
        <v>276871.21000000002</v>
      </c>
      <c r="R1141" s="6">
        <v>676872.88</v>
      </c>
      <c r="S1141" s="6">
        <v>290641</v>
      </c>
      <c r="T1141" s="6">
        <v>2465503.56</v>
      </c>
      <c r="U1141" s="6">
        <v>1733102.61</v>
      </c>
      <c r="V1141" s="6">
        <v>3291743.11</v>
      </c>
      <c r="W1141" s="6">
        <v>807504.58</v>
      </c>
      <c r="X1141" s="6">
        <v>0</v>
      </c>
      <c r="Y1141" s="6">
        <v>0</v>
      </c>
      <c r="Z1141" s="6">
        <v>0</v>
      </c>
      <c r="AA1141" s="6">
        <v>0</v>
      </c>
      <c r="AB1141" s="6">
        <v>99358.48</v>
      </c>
      <c r="AC1141" s="6">
        <v>290641</v>
      </c>
      <c r="AD1141" s="6">
        <v>0</v>
      </c>
      <c r="AE1141" s="6">
        <v>0</v>
      </c>
      <c r="AF1141" s="6">
        <v>0</v>
      </c>
      <c r="AG1141" s="6">
        <v>0</v>
      </c>
      <c r="AH1141" s="6">
        <v>0</v>
      </c>
      <c r="AI1141" s="6">
        <v>0</v>
      </c>
      <c r="AJ1141" s="6">
        <v>4489247.17</v>
      </c>
      <c r="AK1141" s="6">
        <v>16902.8871978772</v>
      </c>
      <c r="AL1141" s="6">
        <v>330.98244656580999</v>
      </c>
      <c r="AM1141" s="6">
        <v>93035.839999999997</v>
      </c>
      <c r="AN1141" s="6">
        <v>16902.8871978772</v>
      </c>
      <c r="AO1141" s="6">
        <v>16902.8871978772</v>
      </c>
      <c r="AP1141" s="6">
        <v>330.98244656580999</v>
      </c>
      <c r="AQ1141" s="6">
        <v>56162.493707719797</v>
      </c>
      <c r="AR1141" s="6">
        <v>16902.8871978772</v>
      </c>
      <c r="AS1141" s="6">
        <v>16902.8871978772</v>
      </c>
      <c r="AT1141" s="6">
        <v>0</v>
      </c>
      <c r="AU1141" t="s">
        <v>2973</v>
      </c>
      <c r="AV1141" t="s">
        <v>2973</v>
      </c>
    </row>
    <row r="1142" spans="1:48" x14ac:dyDescent="0.45">
      <c r="A1142" s="5" t="s">
        <v>2295</v>
      </c>
      <c r="B1142">
        <v>2244</v>
      </c>
      <c r="C1142" t="s">
        <v>2296</v>
      </c>
      <c r="D1142">
        <v>1334</v>
      </c>
      <c r="E1142" t="s">
        <v>2297</v>
      </c>
      <c r="F1142" t="s">
        <v>2739</v>
      </c>
      <c r="G1142" t="s">
        <v>2740</v>
      </c>
      <c r="H1142" t="s">
        <v>2741</v>
      </c>
      <c r="I1142" t="s">
        <v>2742</v>
      </c>
      <c r="J1142">
        <v>582.15233695599898</v>
      </c>
      <c r="K1142">
        <v>1</v>
      </c>
      <c r="L1142">
        <v>1</v>
      </c>
      <c r="M1142">
        <v>1</v>
      </c>
      <c r="N1142" s="6">
        <v>3756786.5535414801</v>
      </c>
      <c r="O1142" s="6">
        <v>1081269.1063480601</v>
      </c>
      <c r="P1142" s="6">
        <v>1086765.0979228001</v>
      </c>
      <c r="Q1142" s="6">
        <v>221417.627750007</v>
      </c>
      <c r="R1142" s="6">
        <v>153044.830102943</v>
      </c>
      <c r="S1142" s="6">
        <v>158128.32633159301</v>
      </c>
      <c r="T1142" s="6">
        <v>4361196.12</v>
      </c>
      <c r="U1142" s="6">
        <v>1938087.09566529</v>
      </c>
      <c r="V1142" s="6">
        <v>5702969.0064954199</v>
      </c>
      <c r="W1142" s="6">
        <v>596314.20916987897</v>
      </c>
      <c r="X1142" s="6">
        <v>0</v>
      </c>
      <c r="Y1142" s="6">
        <v>0</v>
      </c>
      <c r="Z1142" s="6">
        <v>0</v>
      </c>
      <c r="AA1142" s="6">
        <v>0</v>
      </c>
      <c r="AB1142" s="6">
        <v>0</v>
      </c>
      <c r="AC1142" s="6">
        <v>158128.32633159301</v>
      </c>
      <c r="AD1142" s="6">
        <v>0</v>
      </c>
      <c r="AE1142" s="6">
        <v>0</v>
      </c>
      <c r="AF1142" s="6">
        <v>0</v>
      </c>
      <c r="AG1142" s="6">
        <v>0</v>
      </c>
      <c r="AH1142" s="6">
        <v>0</v>
      </c>
      <c r="AI1142" s="6">
        <v>0</v>
      </c>
      <c r="AJ1142" s="6">
        <v>6457411.5419968897</v>
      </c>
      <c r="AK1142" s="6">
        <v>11092.305453520799</v>
      </c>
      <c r="AL1142" s="6">
        <v>330.98244656580999</v>
      </c>
      <c r="AM1142" s="6">
        <v>93035.839999999997</v>
      </c>
      <c r="AN1142" s="6">
        <v>3600.8022109088101</v>
      </c>
      <c r="AO1142" s="6">
        <v>12705.787667733201</v>
      </c>
      <c r="AP1142" s="6">
        <v>330.98244656580999</v>
      </c>
      <c r="AQ1142" s="6">
        <v>93035.839999999997</v>
      </c>
      <c r="AR1142" s="6">
        <v>3600.8022109088101</v>
      </c>
      <c r="AS1142" s="6">
        <v>12705.787667733201</v>
      </c>
      <c r="AT1142" s="6">
        <v>0</v>
      </c>
      <c r="AU1142" t="s">
        <v>2973</v>
      </c>
      <c r="AV1142" t="s">
        <v>2973</v>
      </c>
    </row>
    <row r="1143" spans="1:48" x14ac:dyDescent="0.45">
      <c r="A1143" s="5" t="s">
        <v>2298</v>
      </c>
      <c r="B1143">
        <v>2244</v>
      </c>
      <c r="C1143" t="s">
        <v>2296</v>
      </c>
      <c r="D1143">
        <v>4730</v>
      </c>
      <c r="E1143" t="s">
        <v>2299</v>
      </c>
      <c r="F1143" t="s">
        <v>2739</v>
      </c>
      <c r="G1143" t="s">
        <v>2740</v>
      </c>
      <c r="H1143" t="s">
        <v>2741</v>
      </c>
      <c r="I1143" t="s">
        <v>2742</v>
      </c>
      <c r="J1143">
        <v>583.15976331358002</v>
      </c>
      <c r="K1143">
        <v>1</v>
      </c>
      <c r="L1143">
        <v>1</v>
      </c>
      <c r="M1143">
        <v>1</v>
      </c>
      <c r="N1143" s="6">
        <v>3735941.9417846599</v>
      </c>
      <c r="O1143" s="6">
        <v>978724.12998400698</v>
      </c>
      <c r="P1143" s="6">
        <v>1040821.67000823</v>
      </c>
      <c r="Q1143" s="6">
        <v>221800.795419478</v>
      </c>
      <c r="R1143" s="6">
        <v>153309.67726742101</v>
      </c>
      <c r="S1143" s="6">
        <v>158401.97058879901</v>
      </c>
      <c r="T1143" s="6">
        <v>4189157.22</v>
      </c>
      <c r="U1143" s="6">
        <v>1941440.99446379</v>
      </c>
      <c r="V1143" s="6">
        <v>5577343.8568777898</v>
      </c>
      <c r="W1143" s="6">
        <v>553254.35758600698</v>
      </c>
      <c r="X1143" s="6">
        <v>0</v>
      </c>
      <c r="Y1143" s="6">
        <v>0</v>
      </c>
      <c r="Z1143" s="6">
        <v>0</v>
      </c>
      <c r="AA1143" s="6">
        <v>0</v>
      </c>
      <c r="AB1143" s="6">
        <v>0</v>
      </c>
      <c r="AC1143" s="6">
        <v>158401.97058879901</v>
      </c>
      <c r="AD1143" s="6">
        <v>0</v>
      </c>
      <c r="AE1143" s="6">
        <v>0</v>
      </c>
      <c r="AF1143" s="6">
        <v>0</v>
      </c>
      <c r="AG1143" s="6">
        <v>0</v>
      </c>
      <c r="AH1143" s="6">
        <v>0</v>
      </c>
      <c r="AI1143" s="6">
        <v>0</v>
      </c>
      <c r="AJ1143" s="6">
        <v>6289000.1850525904</v>
      </c>
      <c r="AK1143" s="6">
        <v>10784.3520432853</v>
      </c>
      <c r="AL1143" s="6">
        <v>330.98244656580999</v>
      </c>
      <c r="AM1143" s="6">
        <v>93035.839999999997</v>
      </c>
      <c r="AN1143" s="6">
        <v>3600.8022109088101</v>
      </c>
      <c r="AO1143" s="6">
        <v>12705.787667733201</v>
      </c>
      <c r="AP1143" s="6">
        <v>330.98244656580999</v>
      </c>
      <c r="AQ1143" s="6">
        <v>93035.839999999997</v>
      </c>
      <c r="AR1143" s="6">
        <v>3600.8022109088101</v>
      </c>
      <c r="AS1143" s="6">
        <v>12705.787667733201</v>
      </c>
      <c r="AT1143" s="6">
        <v>0</v>
      </c>
      <c r="AU1143" t="s">
        <v>2973</v>
      </c>
      <c r="AV1143" t="s">
        <v>2973</v>
      </c>
    </row>
    <row r="1144" spans="1:48" x14ac:dyDescent="0.45">
      <c r="A1144" s="5" t="s">
        <v>2300</v>
      </c>
      <c r="B1144">
        <v>2244</v>
      </c>
      <c r="C1144" t="s">
        <v>2296</v>
      </c>
      <c r="D1144">
        <v>1191</v>
      </c>
      <c r="E1144" t="s">
        <v>2301</v>
      </c>
      <c r="F1144" t="s">
        <v>2739</v>
      </c>
      <c r="G1144" t="s">
        <v>2740</v>
      </c>
      <c r="H1144" t="s">
        <v>2741</v>
      </c>
      <c r="I1144" t="s">
        <v>2742</v>
      </c>
      <c r="J1144">
        <v>462.87249002041602</v>
      </c>
      <c r="K1144">
        <v>1</v>
      </c>
      <c r="L1144">
        <v>1</v>
      </c>
      <c r="M1144">
        <v>1</v>
      </c>
      <c r="N1144" s="6">
        <v>3561788.2962324498</v>
      </c>
      <c r="O1144" s="6">
        <v>989633.89186358498</v>
      </c>
      <c r="P1144" s="6">
        <v>906271.55754118005</v>
      </c>
      <c r="Q1144" s="6">
        <v>176050.36033516101</v>
      </c>
      <c r="R1144" s="6">
        <v>121686.776978197</v>
      </c>
      <c r="S1144" s="6">
        <v>125728.69248379899</v>
      </c>
      <c r="T1144" s="6">
        <v>4214447.29</v>
      </c>
      <c r="U1144" s="6">
        <v>1540983.5929505799</v>
      </c>
      <c r="V1144" s="6">
        <v>5082359.2532438803</v>
      </c>
      <c r="W1144" s="6">
        <v>673071.62970669998</v>
      </c>
      <c r="X1144" s="6">
        <v>0</v>
      </c>
      <c r="Y1144" s="6">
        <v>0</v>
      </c>
      <c r="Z1144" s="6">
        <v>0</v>
      </c>
      <c r="AA1144" s="6">
        <v>0</v>
      </c>
      <c r="AB1144" s="6">
        <v>0</v>
      </c>
      <c r="AC1144" s="6">
        <v>125728.69248379899</v>
      </c>
      <c r="AD1144" s="6">
        <v>0</v>
      </c>
      <c r="AE1144" s="6">
        <v>0</v>
      </c>
      <c r="AF1144" s="6">
        <v>0</v>
      </c>
      <c r="AG1144" s="6">
        <v>0</v>
      </c>
      <c r="AH1144" s="6">
        <v>0</v>
      </c>
      <c r="AI1144" s="6">
        <v>0</v>
      </c>
      <c r="AJ1144" s="6">
        <v>5881159.5754343802</v>
      </c>
      <c r="AK1144" s="6">
        <v>12705.787667733201</v>
      </c>
      <c r="AL1144" s="6">
        <v>330.98244656580999</v>
      </c>
      <c r="AM1144" s="6">
        <v>93035.839999999997</v>
      </c>
      <c r="AN1144" s="6">
        <v>3600.8022109088101</v>
      </c>
      <c r="AO1144" s="6">
        <v>12705.787667733201</v>
      </c>
      <c r="AP1144" s="6">
        <v>330.98244656580999</v>
      </c>
      <c r="AQ1144" s="6">
        <v>93035.839999999997</v>
      </c>
      <c r="AR1144" s="6">
        <v>3600.8022109088101</v>
      </c>
      <c r="AS1144" s="6">
        <v>12705.787667733201</v>
      </c>
      <c r="AT1144" s="6">
        <v>0</v>
      </c>
      <c r="AU1144" t="s">
        <v>2973</v>
      </c>
      <c r="AV1144" t="s">
        <v>2973</v>
      </c>
    </row>
    <row r="1145" spans="1:48" x14ac:dyDescent="0.45">
      <c r="A1145" s="5" t="s">
        <v>2302</v>
      </c>
      <c r="B1145">
        <v>2244</v>
      </c>
      <c r="C1145" t="s">
        <v>2296</v>
      </c>
      <c r="D1145">
        <v>4731</v>
      </c>
      <c r="E1145" t="s">
        <v>2303</v>
      </c>
      <c r="F1145" t="s">
        <v>2739</v>
      </c>
      <c r="G1145" t="s">
        <v>2747</v>
      </c>
      <c r="H1145" t="s">
        <v>2741</v>
      </c>
      <c r="I1145" t="s">
        <v>2742</v>
      </c>
      <c r="J1145">
        <v>517.01052479118403</v>
      </c>
      <c r="K1145">
        <v>1</v>
      </c>
      <c r="L1145">
        <v>1</v>
      </c>
      <c r="M1145">
        <v>1</v>
      </c>
      <c r="N1145" s="6">
        <v>2968055.7405086001</v>
      </c>
      <c r="O1145" s="6">
        <v>1143081.54167086</v>
      </c>
      <c r="P1145" s="6">
        <v>935542.24683551898</v>
      </c>
      <c r="Q1145" s="6">
        <v>196543.06860908301</v>
      </c>
      <c r="R1145" s="6">
        <v>135919.38553719301</v>
      </c>
      <c r="S1145" s="6">
        <v>140434.04756997101</v>
      </c>
      <c r="T1145" s="6">
        <v>3657923.39</v>
      </c>
      <c r="U1145" s="6">
        <v>1721218.59316125</v>
      </c>
      <c r="V1145" s="6">
        <v>4931934.4046036396</v>
      </c>
      <c r="W1145" s="6">
        <v>447207.57855760702</v>
      </c>
      <c r="X1145" s="6">
        <v>0</v>
      </c>
      <c r="Y1145" s="6">
        <v>0</v>
      </c>
      <c r="Z1145" s="6">
        <v>0</v>
      </c>
      <c r="AA1145" s="6">
        <v>0</v>
      </c>
      <c r="AB1145" s="6">
        <v>0</v>
      </c>
      <c r="AC1145" s="6">
        <v>140434.04756997101</v>
      </c>
      <c r="AD1145" s="6">
        <v>0</v>
      </c>
      <c r="AE1145" s="6">
        <v>0</v>
      </c>
      <c r="AF1145" s="6">
        <v>0</v>
      </c>
      <c r="AG1145" s="6">
        <v>0</v>
      </c>
      <c r="AH1145" s="6">
        <v>0</v>
      </c>
      <c r="AI1145" s="6">
        <v>0</v>
      </c>
      <c r="AJ1145" s="6">
        <v>5519576.0307312198</v>
      </c>
      <c r="AK1145" s="6">
        <v>10675.945200459</v>
      </c>
      <c r="AL1145" s="6">
        <v>330.98244656580999</v>
      </c>
      <c r="AM1145" s="6">
        <v>93035.839999999997</v>
      </c>
      <c r="AN1145" s="6">
        <v>3600.8022109088101</v>
      </c>
      <c r="AO1145" s="6">
        <v>12705.787667733201</v>
      </c>
      <c r="AP1145" s="6">
        <v>3753.1860850462999</v>
      </c>
      <c r="AQ1145" s="6">
        <v>20687.885194392002</v>
      </c>
      <c r="AR1145" s="6">
        <v>10675.945200459</v>
      </c>
      <c r="AS1145" s="6">
        <v>10899.104614600699</v>
      </c>
      <c r="AT1145" s="6">
        <v>0</v>
      </c>
      <c r="AU1145" t="s">
        <v>2973</v>
      </c>
      <c r="AV1145" t="s">
        <v>2973</v>
      </c>
    </row>
    <row r="1146" spans="1:48" x14ac:dyDescent="0.45">
      <c r="A1146" s="5" t="s">
        <v>2304</v>
      </c>
      <c r="B1146">
        <v>2244</v>
      </c>
      <c r="C1146" t="s">
        <v>2296</v>
      </c>
      <c r="D1146">
        <v>3222</v>
      </c>
      <c r="E1146" t="s">
        <v>2305</v>
      </c>
      <c r="F1146" t="s">
        <v>2739</v>
      </c>
      <c r="G1146" t="s">
        <v>2740</v>
      </c>
      <c r="H1146" t="s">
        <v>2741</v>
      </c>
      <c r="I1146" t="s">
        <v>2742</v>
      </c>
      <c r="J1146">
        <v>589.28402366862497</v>
      </c>
      <c r="K1146">
        <v>1</v>
      </c>
      <c r="L1146">
        <v>1</v>
      </c>
      <c r="M1146">
        <v>1</v>
      </c>
      <c r="N1146" s="6">
        <v>3957609.5007305099</v>
      </c>
      <c r="O1146" s="6">
        <v>1071968.6842245699</v>
      </c>
      <c r="P1146" s="6">
        <v>1028001.63574143</v>
      </c>
      <c r="Q1146" s="6">
        <v>224130.115622207</v>
      </c>
      <c r="R1146" s="6">
        <v>154919.71355181601</v>
      </c>
      <c r="S1146" s="6">
        <v>160065.485408693</v>
      </c>
      <c r="T1146" s="6">
        <v>4474799.92</v>
      </c>
      <c r="U1146" s="6">
        <v>1961829.7298705301</v>
      </c>
      <c r="V1146" s="6">
        <v>5957543.1063571898</v>
      </c>
      <c r="W1146" s="6">
        <v>479086.54351334</v>
      </c>
      <c r="X1146" s="6">
        <v>0</v>
      </c>
      <c r="Y1146" s="6">
        <v>0</v>
      </c>
      <c r="Z1146" s="6">
        <v>0</v>
      </c>
      <c r="AA1146" s="6">
        <v>0</v>
      </c>
      <c r="AB1146" s="6">
        <v>0</v>
      </c>
      <c r="AC1146" s="6">
        <v>160065.485408693</v>
      </c>
      <c r="AD1146" s="6">
        <v>0</v>
      </c>
      <c r="AE1146" s="6">
        <v>0</v>
      </c>
      <c r="AF1146" s="6">
        <v>0</v>
      </c>
      <c r="AG1146" s="6">
        <v>0</v>
      </c>
      <c r="AH1146" s="6">
        <v>0</v>
      </c>
      <c r="AI1146" s="6">
        <v>0</v>
      </c>
      <c r="AJ1146" s="6">
        <v>6596695.1352792196</v>
      </c>
      <c r="AK1146" s="6">
        <v>11194.4238606896</v>
      </c>
      <c r="AL1146" s="6">
        <v>330.98244656580999</v>
      </c>
      <c r="AM1146" s="6">
        <v>93035.839999999997</v>
      </c>
      <c r="AN1146" s="6">
        <v>3600.8022109088101</v>
      </c>
      <c r="AO1146" s="6">
        <v>12705.787667733201</v>
      </c>
      <c r="AP1146" s="6">
        <v>330.98244656580999</v>
      </c>
      <c r="AQ1146" s="6">
        <v>93035.839999999997</v>
      </c>
      <c r="AR1146" s="6">
        <v>3600.8022109088101</v>
      </c>
      <c r="AS1146" s="6">
        <v>12705.787667733201</v>
      </c>
      <c r="AT1146" s="6">
        <v>0</v>
      </c>
      <c r="AU1146" t="s">
        <v>2973</v>
      </c>
      <c r="AV1146" t="s">
        <v>2973</v>
      </c>
    </row>
    <row r="1147" spans="1:48" x14ac:dyDescent="0.45">
      <c r="A1147" s="5" t="s">
        <v>2306</v>
      </c>
      <c r="B1147">
        <v>2244</v>
      </c>
      <c r="C1147" t="s">
        <v>2296</v>
      </c>
      <c r="D1147">
        <v>4220</v>
      </c>
      <c r="E1147" t="s">
        <v>2307</v>
      </c>
      <c r="F1147" t="s">
        <v>3</v>
      </c>
      <c r="G1147" t="s">
        <v>2740</v>
      </c>
      <c r="H1147" t="s">
        <v>2741</v>
      </c>
      <c r="I1147" t="s">
        <v>2742</v>
      </c>
      <c r="J1147">
        <v>210.23863636356401</v>
      </c>
      <c r="K1147">
        <v>1</v>
      </c>
      <c r="L1147">
        <v>1</v>
      </c>
      <c r="M1147">
        <v>1</v>
      </c>
      <c r="N1147" s="6">
        <v>229962.21198766699</v>
      </c>
      <c r="O1147" s="6">
        <v>127728.76233928101</v>
      </c>
      <c r="P1147" s="6">
        <v>206996.80715143401</v>
      </c>
      <c r="Q1147" s="6">
        <v>79962.815864355303</v>
      </c>
      <c r="R1147" s="6">
        <v>55270.647115461099</v>
      </c>
      <c r="S1147" s="6">
        <v>57106.502178173898</v>
      </c>
      <c r="T1147" s="6">
        <v>0</v>
      </c>
      <c r="U1147" s="6">
        <v>699921.24445819797</v>
      </c>
      <c r="V1147" s="6">
        <v>580731.03181581898</v>
      </c>
      <c r="W1147" s="6">
        <v>119190.212642379</v>
      </c>
      <c r="X1147" s="6">
        <v>0</v>
      </c>
      <c r="Y1147" s="6">
        <v>0</v>
      </c>
      <c r="Z1147" s="6">
        <v>0</v>
      </c>
      <c r="AA1147" s="6">
        <v>0</v>
      </c>
      <c r="AB1147" s="6">
        <v>0</v>
      </c>
      <c r="AC1147" s="6">
        <v>57106.502178173898</v>
      </c>
      <c r="AD1147" s="6">
        <v>0</v>
      </c>
      <c r="AE1147" s="6">
        <v>0</v>
      </c>
      <c r="AF1147" s="6">
        <v>0</v>
      </c>
      <c r="AG1147" s="6">
        <v>0</v>
      </c>
      <c r="AH1147" s="6">
        <v>0</v>
      </c>
      <c r="AI1147" s="6">
        <v>0</v>
      </c>
      <c r="AJ1147" s="6">
        <v>757027.74663637101</v>
      </c>
      <c r="AK1147" s="6">
        <v>3600.8022109088101</v>
      </c>
      <c r="AL1147" s="6">
        <v>330.98244656580999</v>
      </c>
      <c r="AM1147" s="6">
        <v>93035.839999999997</v>
      </c>
      <c r="AN1147" s="6">
        <v>3600.8022109088101</v>
      </c>
      <c r="AO1147" s="6">
        <v>12705.787667733201</v>
      </c>
      <c r="AP1147" s="6">
        <v>330.98244656580999</v>
      </c>
      <c r="AQ1147" s="6">
        <v>93035.839999999997</v>
      </c>
      <c r="AR1147" s="6">
        <v>3600.8022109088101</v>
      </c>
      <c r="AS1147" s="6">
        <v>12705.787667733201</v>
      </c>
      <c r="AT1147" s="6">
        <v>0</v>
      </c>
      <c r="AU1147" t="s">
        <v>2973</v>
      </c>
      <c r="AV1147" t="s">
        <v>2976</v>
      </c>
    </row>
    <row r="1148" spans="1:48" x14ac:dyDescent="0.45">
      <c r="A1148" s="5" t="s">
        <v>2308</v>
      </c>
      <c r="B1148">
        <v>2244</v>
      </c>
      <c r="C1148" t="s">
        <v>2296</v>
      </c>
      <c r="D1148">
        <v>1193</v>
      </c>
      <c r="E1148" t="s">
        <v>2309</v>
      </c>
      <c r="F1148" t="s">
        <v>2739</v>
      </c>
      <c r="G1148" t="s">
        <v>2744</v>
      </c>
      <c r="H1148" t="s">
        <v>2741</v>
      </c>
      <c r="I1148" t="s">
        <v>2742</v>
      </c>
      <c r="J1148">
        <v>1663.6613620091</v>
      </c>
      <c r="K1148">
        <v>1</v>
      </c>
      <c r="L1148">
        <v>1</v>
      </c>
      <c r="M1148">
        <v>1</v>
      </c>
      <c r="N1148" s="6">
        <v>9919766.7530210298</v>
      </c>
      <c r="O1148" s="6">
        <v>4989518.9804120697</v>
      </c>
      <c r="P1148" s="6">
        <v>2879777.6139032701</v>
      </c>
      <c r="Q1148" s="6">
        <v>634282.049035726</v>
      </c>
      <c r="R1148" s="6">
        <v>769778.42363630398</v>
      </c>
      <c r="S1148" s="6">
        <v>451895.440517526</v>
      </c>
      <c r="T1148" s="6">
        <v>13654503.75</v>
      </c>
      <c r="U1148" s="6">
        <v>5538620.0700083897</v>
      </c>
      <c r="V1148" s="6">
        <v>15135518.821051599</v>
      </c>
      <c r="W1148" s="6">
        <v>4057604.99895682</v>
      </c>
      <c r="X1148" s="6">
        <v>0</v>
      </c>
      <c r="Y1148" s="6">
        <v>0</v>
      </c>
      <c r="Z1148" s="6">
        <v>0</v>
      </c>
      <c r="AA1148" s="6">
        <v>0</v>
      </c>
      <c r="AB1148" s="6">
        <v>0</v>
      </c>
      <c r="AC1148" s="6">
        <v>451895.440517526</v>
      </c>
      <c r="AD1148" s="6">
        <v>0</v>
      </c>
      <c r="AE1148" s="6">
        <v>0</v>
      </c>
      <c r="AF1148" s="6">
        <v>0</v>
      </c>
      <c r="AG1148" s="6">
        <v>0</v>
      </c>
      <c r="AH1148" s="6">
        <v>0</v>
      </c>
      <c r="AI1148" s="6">
        <v>0</v>
      </c>
      <c r="AJ1148" s="6">
        <v>19645019.260525901</v>
      </c>
      <c r="AK1148" s="6">
        <v>11808.304087078001</v>
      </c>
      <c r="AL1148" s="6">
        <v>330.98244656580999</v>
      </c>
      <c r="AM1148" s="6">
        <v>93035.839999999997</v>
      </c>
      <c r="AN1148" s="6">
        <v>3600.8022109088101</v>
      </c>
      <c r="AO1148" s="6">
        <v>12705.787667733201</v>
      </c>
      <c r="AP1148" s="6">
        <v>330.98244656580999</v>
      </c>
      <c r="AQ1148" s="6">
        <v>40734.411818744898</v>
      </c>
      <c r="AR1148" s="6">
        <v>11808.304087078001</v>
      </c>
      <c r="AS1148" s="6">
        <v>11808.304087078001</v>
      </c>
      <c r="AT1148" s="6">
        <v>0</v>
      </c>
      <c r="AU1148" t="s">
        <v>2973</v>
      </c>
      <c r="AV1148" t="s">
        <v>2973</v>
      </c>
    </row>
    <row r="1149" spans="1:48" x14ac:dyDescent="0.45">
      <c r="A1149" s="5" t="s">
        <v>2310</v>
      </c>
      <c r="B1149">
        <v>2244</v>
      </c>
      <c r="C1149" t="s">
        <v>2296</v>
      </c>
      <c r="D1149">
        <v>1192</v>
      </c>
      <c r="E1149" t="s">
        <v>2311</v>
      </c>
      <c r="F1149" t="s">
        <v>2739</v>
      </c>
      <c r="G1149" t="s">
        <v>2747</v>
      </c>
      <c r="H1149" t="s">
        <v>2741</v>
      </c>
      <c r="I1149" t="s">
        <v>2742</v>
      </c>
      <c r="J1149">
        <v>700.69513115996597</v>
      </c>
      <c r="K1149">
        <v>1</v>
      </c>
      <c r="L1149">
        <v>1</v>
      </c>
      <c r="M1149">
        <v>1</v>
      </c>
      <c r="N1149" s="6">
        <v>4152248.9813838098</v>
      </c>
      <c r="O1149" s="6">
        <v>1601656.7604795599</v>
      </c>
      <c r="P1149" s="6">
        <v>1240268.75074867</v>
      </c>
      <c r="Q1149" s="6">
        <v>268238.17223994498</v>
      </c>
      <c r="R1149" s="6">
        <v>184209.115887208</v>
      </c>
      <c r="S1149" s="6">
        <v>190327.75671464199</v>
      </c>
      <c r="T1149" s="6">
        <v>5113884.96</v>
      </c>
      <c r="U1149" s="6">
        <v>2332736.8207391901</v>
      </c>
      <c r="V1149" s="6">
        <v>6755614.5280879298</v>
      </c>
      <c r="W1149" s="6">
        <v>691007.25265125697</v>
      </c>
      <c r="X1149" s="6">
        <v>0</v>
      </c>
      <c r="Y1149" s="6">
        <v>0</v>
      </c>
      <c r="Z1149" s="6">
        <v>0</v>
      </c>
      <c r="AA1149" s="6">
        <v>0</v>
      </c>
      <c r="AB1149" s="6">
        <v>0</v>
      </c>
      <c r="AC1149" s="6">
        <v>190327.75671464199</v>
      </c>
      <c r="AD1149" s="6">
        <v>0</v>
      </c>
      <c r="AE1149" s="6">
        <v>0</v>
      </c>
      <c r="AF1149" s="6">
        <v>0</v>
      </c>
      <c r="AG1149" s="6">
        <v>0</v>
      </c>
      <c r="AH1149" s="6">
        <v>0</v>
      </c>
      <c r="AI1149" s="6">
        <v>0</v>
      </c>
      <c r="AJ1149" s="6">
        <v>7636949.5374538396</v>
      </c>
      <c r="AK1149" s="6">
        <v>10899.104614600699</v>
      </c>
      <c r="AL1149" s="6">
        <v>330.98244656580999</v>
      </c>
      <c r="AM1149" s="6">
        <v>93035.839999999997</v>
      </c>
      <c r="AN1149" s="6">
        <v>3600.8022109088101</v>
      </c>
      <c r="AO1149" s="6">
        <v>12705.787667733201</v>
      </c>
      <c r="AP1149" s="6">
        <v>3753.1860850462999</v>
      </c>
      <c r="AQ1149" s="6">
        <v>20687.885194392002</v>
      </c>
      <c r="AR1149" s="6">
        <v>10675.945200459</v>
      </c>
      <c r="AS1149" s="6">
        <v>10899.104614600699</v>
      </c>
      <c r="AT1149" s="6">
        <v>0</v>
      </c>
      <c r="AU1149" t="s">
        <v>2973</v>
      </c>
      <c r="AV1149" t="s">
        <v>2973</v>
      </c>
    </row>
    <row r="1150" spans="1:48" x14ac:dyDescent="0.45">
      <c r="A1150" s="5" t="s">
        <v>2312</v>
      </c>
      <c r="B1150">
        <v>2244</v>
      </c>
      <c r="C1150" t="s">
        <v>2296</v>
      </c>
      <c r="D1150">
        <v>2244</v>
      </c>
      <c r="E1150" t="s">
        <v>2296</v>
      </c>
      <c r="F1150" t="s">
        <v>1</v>
      </c>
      <c r="G1150" t="s">
        <v>1</v>
      </c>
      <c r="H1150" t="s">
        <v>2743</v>
      </c>
      <c r="I1150" t="s">
        <v>2742</v>
      </c>
      <c r="J1150">
        <v>21.090602160677701</v>
      </c>
      <c r="K1150">
        <v>1</v>
      </c>
      <c r="L1150">
        <v>5</v>
      </c>
      <c r="M1150">
        <v>1</v>
      </c>
      <c r="N1150" s="6">
        <v>23069.220809795199</v>
      </c>
      <c r="O1150" s="6">
        <v>12813.422678004001</v>
      </c>
      <c r="P1150" s="6">
        <v>20765.390147469701</v>
      </c>
      <c r="Q1150" s="6">
        <v>8021.6651240367401</v>
      </c>
      <c r="R1150" s="6">
        <v>5544.60992345659</v>
      </c>
      <c r="S1150" s="6">
        <v>5728.7782068038196</v>
      </c>
      <c r="T1150" s="6">
        <v>0</v>
      </c>
      <c r="U1150" s="6">
        <v>70214.308682762305</v>
      </c>
      <c r="V1150" s="6">
        <v>58257.451466756</v>
      </c>
      <c r="W1150" s="6">
        <v>11956.857216006199</v>
      </c>
      <c r="X1150" s="6">
        <v>0</v>
      </c>
      <c r="Y1150" s="6">
        <v>0</v>
      </c>
      <c r="Z1150" s="6">
        <v>0</v>
      </c>
      <c r="AA1150" s="6">
        <v>0</v>
      </c>
      <c r="AB1150" s="6">
        <v>0</v>
      </c>
      <c r="AC1150" s="6">
        <v>5728.7782068038196</v>
      </c>
      <c r="AD1150" s="6">
        <v>0</v>
      </c>
      <c r="AE1150" s="6">
        <v>0</v>
      </c>
      <c r="AF1150" s="6">
        <v>0</v>
      </c>
      <c r="AG1150" s="6">
        <v>0</v>
      </c>
      <c r="AH1150" s="6">
        <v>0</v>
      </c>
      <c r="AI1150" s="6">
        <v>0</v>
      </c>
      <c r="AJ1150" s="6">
        <v>75943.086889566097</v>
      </c>
      <c r="AK1150" s="6">
        <v>3600.8022109088101</v>
      </c>
      <c r="AL1150" s="6">
        <v>330.98244656580999</v>
      </c>
      <c r="AM1150" s="6">
        <v>93035.839999999997</v>
      </c>
      <c r="AN1150" s="6">
        <v>3600.8022109088101</v>
      </c>
      <c r="AO1150" s="6">
        <v>12705.787667733201</v>
      </c>
      <c r="AP1150" s="6">
        <v>634.54287297753501</v>
      </c>
      <c r="AQ1150" s="6">
        <v>40331.279999999999</v>
      </c>
      <c r="AR1150" s="6">
        <v>3600.8022109088101</v>
      </c>
      <c r="AS1150" s="6">
        <v>3600.8022109088101</v>
      </c>
      <c r="AT1150" s="6">
        <v>0</v>
      </c>
      <c r="AU1150" t="s">
        <v>2973</v>
      </c>
      <c r="AV1150" t="s">
        <v>2977</v>
      </c>
    </row>
    <row r="1151" spans="1:48" x14ac:dyDescent="0.45">
      <c r="A1151" s="5" t="s">
        <v>2313</v>
      </c>
      <c r="B1151">
        <v>2138</v>
      </c>
      <c r="C1151" t="s">
        <v>2314</v>
      </c>
      <c r="D1151">
        <v>784</v>
      </c>
      <c r="E1151" t="s">
        <v>2315</v>
      </c>
      <c r="F1151" t="s">
        <v>3</v>
      </c>
      <c r="G1151" t="s">
        <v>2740</v>
      </c>
      <c r="H1151" t="s">
        <v>2741</v>
      </c>
      <c r="I1151" t="s">
        <v>2742</v>
      </c>
      <c r="J1151">
        <v>136.59031638001801</v>
      </c>
      <c r="K1151">
        <v>1</v>
      </c>
      <c r="L1151">
        <v>1</v>
      </c>
      <c r="M1151">
        <v>1</v>
      </c>
      <c r="N1151" s="6">
        <v>208501.114332998</v>
      </c>
      <c r="O1151" s="6">
        <v>86541.345783725294</v>
      </c>
      <c r="P1151" s="6">
        <v>214149.82094179699</v>
      </c>
      <c r="Q1151" s="6">
        <v>61249.709136089499</v>
      </c>
      <c r="R1151" s="6">
        <v>984296.05315219401</v>
      </c>
      <c r="S1151" s="6">
        <v>68341.689414160806</v>
      </c>
      <c r="T1151" s="6">
        <v>977422.12</v>
      </c>
      <c r="U1151" s="6">
        <v>577315.92334680399</v>
      </c>
      <c r="V1151" s="6">
        <v>465745.11584647198</v>
      </c>
      <c r="W1151" s="6">
        <v>112029.163269811</v>
      </c>
      <c r="X1151" s="6">
        <v>0</v>
      </c>
      <c r="Y1151" s="6">
        <v>0</v>
      </c>
      <c r="Z1151" s="6">
        <v>0</v>
      </c>
      <c r="AA1151" s="6">
        <v>1348.56423052113</v>
      </c>
      <c r="AB1151" s="6">
        <v>975615.2</v>
      </c>
      <c r="AC1151" s="6">
        <v>43246.162511641698</v>
      </c>
      <c r="AD1151" s="6">
        <v>25095.526902519101</v>
      </c>
      <c r="AE1151" s="6">
        <v>0</v>
      </c>
      <c r="AF1151" s="6">
        <v>0</v>
      </c>
      <c r="AG1151" s="6">
        <v>0</v>
      </c>
      <c r="AH1151" s="6">
        <v>0</v>
      </c>
      <c r="AI1151" s="6">
        <v>0</v>
      </c>
      <c r="AJ1151" s="6">
        <v>1623079.73276096</v>
      </c>
      <c r="AK1151" s="6">
        <v>11882.8316367998</v>
      </c>
      <c r="AL1151" s="6">
        <v>330.98244656580999</v>
      </c>
      <c r="AM1151" s="6">
        <v>93035.839999999997</v>
      </c>
      <c r="AN1151" s="6">
        <v>11128.6539835897</v>
      </c>
      <c r="AO1151" s="6">
        <v>13565.1979403306</v>
      </c>
      <c r="AP1151" s="6">
        <v>330.98244656580999</v>
      </c>
      <c r="AQ1151" s="6">
        <v>93035.839999999997</v>
      </c>
      <c r="AR1151" s="6">
        <v>11128.6539835897</v>
      </c>
      <c r="AS1151" s="6">
        <v>13565.1979403306</v>
      </c>
      <c r="AT1151" s="6">
        <v>0</v>
      </c>
      <c r="AU1151" t="s">
        <v>2973</v>
      </c>
      <c r="AV1151" t="s">
        <v>2973</v>
      </c>
    </row>
    <row r="1152" spans="1:48" x14ac:dyDescent="0.45">
      <c r="A1152" s="5" t="s">
        <v>2316</v>
      </c>
      <c r="B1152">
        <v>2138</v>
      </c>
      <c r="C1152" t="s">
        <v>2314</v>
      </c>
      <c r="D1152">
        <v>119</v>
      </c>
      <c r="E1152" t="s">
        <v>2317</v>
      </c>
      <c r="F1152" t="s">
        <v>2739</v>
      </c>
      <c r="G1152" t="s">
        <v>2740</v>
      </c>
      <c r="H1152" t="s">
        <v>2741</v>
      </c>
      <c r="I1152" t="s">
        <v>2742</v>
      </c>
      <c r="J1152">
        <v>298.59687557778398</v>
      </c>
      <c r="K1152">
        <v>2</v>
      </c>
      <c r="L1152">
        <v>1</v>
      </c>
      <c r="M1152">
        <v>1</v>
      </c>
      <c r="N1152" s="6">
        <v>2123032.4083476402</v>
      </c>
      <c r="O1152" s="6">
        <v>767558.03900905803</v>
      </c>
      <c r="P1152" s="6">
        <v>773344.56762522704</v>
      </c>
      <c r="Q1152" s="6">
        <v>133988.76744778</v>
      </c>
      <c r="R1152" s="6">
        <v>18977.008746235901</v>
      </c>
      <c r="S1152" s="6">
        <v>149400.15860275901</v>
      </c>
      <c r="T1152" s="6">
        <v>2554844.04</v>
      </c>
      <c r="U1152" s="6">
        <v>1262056.75117594</v>
      </c>
      <c r="V1152" s="6">
        <v>3375393.28977051</v>
      </c>
      <c r="W1152" s="6">
        <v>438559.43688356999</v>
      </c>
      <c r="X1152" s="6">
        <v>0</v>
      </c>
      <c r="Y1152" s="6">
        <v>0</v>
      </c>
      <c r="Z1152" s="6">
        <v>0</v>
      </c>
      <c r="AA1152" s="6">
        <v>2948.0645218600398</v>
      </c>
      <c r="AB1152" s="6">
        <v>0</v>
      </c>
      <c r="AC1152" s="6">
        <v>94539.417939253195</v>
      </c>
      <c r="AD1152" s="6">
        <v>54860.740663506302</v>
      </c>
      <c r="AE1152" s="6">
        <v>0</v>
      </c>
      <c r="AF1152" s="6">
        <v>0</v>
      </c>
      <c r="AG1152" s="6">
        <v>0</v>
      </c>
      <c r="AH1152" s="6">
        <v>0</v>
      </c>
      <c r="AI1152" s="6">
        <v>0</v>
      </c>
      <c r="AJ1152" s="6">
        <v>3966300.9497786998</v>
      </c>
      <c r="AK1152" s="6">
        <v>13283.129443681901</v>
      </c>
      <c r="AL1152" s="6">
        <v>330.98244656580999</v>
      </c>
      <c r="AM1152" s="6">
        <v>93035.839999999997</v>
      </c>
      <c r="AN1152" s="6">
        <v>11128.6539835897</v>
      </c>
      <c r="AO1152" s="6">
        <v>13565.1979403306</v>
      </c>
      <c r="AP1152" s="6">
        <v>330.98244656580999</v>
      </c>
      <c r="AQ1152" s="6">
        <v>93035.839999999997</v>
      </c>
      <c r="AR1152" s="6">
        <v>11128.6539835897</v>
      </c>
      <c r="AS1152" s="6">
        <v>13565.1979403306</v>
      </c>
      <c r="AT1152" s="6">
        <v>0</v>
      </c>
      <c r="AU1152" t="s">
        <v>2973</v>
      </c>
      <c r="AV1152" t="s">
        <v>2973</v>
      </c>
    </row>
    <row r="1153" spans="1:48" x14ac:dyDescent="0.45">
      <c r="A1153" s="5" t="s">
        <v>2318</v>
      </c>
      <c r="B1153">
        <v>2138</v>
      </c>
      <c r="C1153" t="s">
        <v>2314</v>
      </c>
      <c r="D1153">
        <v>807</v>
      </c>
      <c r="E1153" t="s">
        <v>2319</v>
      </c>
      <c r="F1153" t="s">
        <v>2739</v>
      </c>
      <c r="G1153" t="s">
        <v>2740</v>
      </c>
      <c r="H1153" t="s">
        <v>2741</v>
      </c>
      <c r="I1153" t="s">
        <v>2742</v>
      </c>
      <c r="J1153">
        <v>182.820268397381</v>
      </c>
      <c r="K1153">
        <v>1</v>
      </c>
      <c r="L1153">
        <v>1</v>
      </c>
      <c r="M1153">
        <v>1</v>
      </c>
      <c r="N1153" s="6">
        <v>1146108.75103382</v>
      </c>
      <c r="O1153" s="6">
        <v>309426.84214848402</v>
      </c>
      <c r="P1153" s="6">
        <v>410527.74730586802</v>
      </c>
      <c r="Q1153" s="6">
        <v>82078.153423785203</v>
      </c>
      <c r="R1153" s="6">
        <v>13591.4888776567</v>
      </c>
      <c r="S1153" s="6">
        <v>91472.414242501502</v>
      </c>
      <c r="T1153" s="6">
        <v>1189020.43</v>
      </c>
      <c r="U1153" s="6">
        <v>772712.55278961395</v>
      </c>
      <c r="V1153" s="6">
        <v>1793218.5470282601</v>
      </c>
      <c r="W1153" s="6">
        <v>164736.90049442099</v>
      </c>
      <c r="X1153" s="6">
        <v>0</v>
      </c>
      <c r="Y1153" s="6">
        <v>0</v>
      </c>
      <c r="Z1153" s="6">
        <v>0</v>
      </c>
      <c r="AA1153" s="6">
        <v>3777.5352669342301</v>
      </c>
      <c r="AB1153" s="6">
        <v>0</v>
      </c>
      <c r="AC1153" s="6">
        <v>57883.129983669402</v>
      </c>
      <c r="AD1153" s="6">
        <v>33589.2842588321</v>
      </c>
      <c r="AE1153" s="6">
        <v>0</v>
      </c>
      <c r="AF1153" s="6">
        <v>0</v>
      </c>
      <c r="AG1153" s="6">
        <v>0</v>
      </c>
      <c r="AH1153" s="6">
        <v>0</v>
      </c>
      <c r="AI1153" s="6">
        <v>0</v>
      </c>
      <c r="AJ1153" s="6">
        <v>2053205.39703212</v>
      </c>
      <c r="AK1153" s="6">
        <v>11230.7317729631</v>
      </c>
      <c r="AL1153" s="6">
        <v>330.98244656580999</v>
      </c>
      <c r="AM1153" s="6">
        <v>93035.839999999997</v>
      </c>
      <c r="AN1153" s="6">
        <v>11128.6539835897</v>
      </c>
      <c r="AO1153" s="6">
        <v>13565.1979403306</v>
      </c>
      <c r="AP1153" s="6">
        <v>330.98244656580999</v>
      </c>
      <c r="AQ1153" s="6">
        <v>93035.839999999997</v>
      </c>
      <c r="AR1153" s="6">
        <v>11128.6539835897</v>
      </c>
      <c r="AS1153" s="6">
        <v>13565.1979403306</v>
      </c>
      <c r="AT1153" s="6">
        <v>0</v>
      </c>
      <c r="AU1153" t="s">
        <v>2973</v>
      </c>
      <c r="AV1153" t="s">
        <v>2973</v>
      </c>
    </row>
    <row r="1154" spans="1:48" x14ac:dyDescent="0.45">
      <c r="A1154" s="5" t="s">
        <v>2320</v>
      </c>
      <c r="B1154">
        <v>2138</v>
      </c>
      <c r="C1154" t="s">
        <v>2314</v>
      </c>
      <c r="D1154">
        <v>718</v>
      </c>
      <c r="E1154" t="s">
        <v>2321</v>
      </c>
      <c r="F1154" t="s">
        <v>2739</v>
      </c>
      <c r="G1154" t="s">
        <v>2740</v>
      </c>
      <c r="H1154" t="s">
        <v>2741</v>
      </c>
      <c r="I1154" t="s">
        <v>2742</v>
      </c>
      <c r="J1154">
        <v>85.683290764885996</v>
      </c>
      <c r="K1154">
        <v>1</v>
      </c>
      <c r="L1154">
        <v>1</v>
      </c>
      <c r="M1154">
        <v>1</v>
      </c>
      <c r="N1154" s="6">
        <v>602246.43187565205</v>
      </c>
      <c r="O1154" s="6">
        <v>141635.03361293001</v>
      </c>
      <c r="P1154" s="6">
        <v>175059.01982715499</v>
      </c>
      <c r="Q1154" s="6">
        <v>38422.025632997298</v>
      </c>
      <c r="R1154" s="6">
        <v>5445.5109588979503</v>
      </c>
      <c r="S1154" s="6">
        <v>42870.834482478203</v>
      </c>
      <c r="T1154" s="6">
        <v>600656.96</v>
      </c>
      <c r="U1154" s="6">
        <v>362151.06190763199</v>
      </c>
      <c r="V1154" s="6">
        <v>878838.63963738806</v>
      </c>
      <c r="W1154" s="6">
        <v>83123.426098962998</v>
      </c>
      <c r="X1154" s="6">
        <v>0</v>
      </c>
      <c r="Y1154" s="6">
        <v>0</v>
      </c>
      <c r="Z1154" s="6">
        <v>0</v>
      </c>
      <c r="AA1154" s="6">
        <v>845.95617128075503</v>
      </c>
      <c r="AB1154" s="6">
        <v>0</v>
      </c>
      <c r="AC1154" s="6">
        <v>27128.3764117014</v>
      </c>
      <c r="AD1154" s="6">
        <v>15742.4580707767</v>
      </c>
      <c r="AE1154" s="6">
        <v>0</v>
      </c>
      <c r="AF1154" s="6">
        <v>0</v>
      </c>
      <c r="AG1154" s="6">
        <v>0</v>
      </c>
      <c r="AH1154" s="6">
        <v>0</v>
      </c>
      <c r="AI1154" s="6">
        <v>0</v>
      </c>
      <c r="AJ1154" s="6">
        <v>1005678.85639011</v>
      </c>
      <c r="AK1154" s="6">
        <v>11737.1642406882</v>
      </c>
      <c r="AL1154" s="6">
        <v>330.98244656580999</v>
      </c>
      <c r="AM1154" s="6">
        <v>93035.839999999997</v>
      </c>
      <c r="AN1154" s="6">
        <v>11128.6539835897</v>
      </c>
      <c r="AO1154" s="6">
        <v>13565.1979403306</v>
      </c>
      <c r="AP1154" s="6">
        <v>330.98244656580999</v>
      </c>
      <c r="AQ1154" s="6">
        <v>93035.839999999997</v>
      </c>
      <c r="AR1154" s="6">
        <v>11128.6539835897</v>
      </c>
      <c r="AS1154" s="6">
        <v>13565.1979403306</v>
      </c>
      <c r="AT1154" s="6">
        <v>0</v>
      </c>
      <c r="AU1154" t="s">
        <v>2973</v>
      </c>
      <c r="AV1154" t="s">
        <v>2973</v>
      </c>
    </row>
    <row r="1155" spans="1:48" x14ac:dyDescent="0.45">
      <c r="A1155" s="5" t="s">
        <v>2322</v>
      </c>
      <c r="B1155">
        <v>2138</v>
      </c>
      <c r="C1155" t="s">
        <v>2314</v>
      </c>
      <c r="D1155">
        <v>714</v>
      </c>
      <c r="E1155" t="s">
        <v>2323</v>
      </c>
      <c r="F1155" t="s">
        <v>2739</v>
      </c>
      <c r="G1155" t="s">
        <v>2740</v>
      </c>
      <c r="H1155" t="s">
        <v>2741</v>
      </c>
      <c r="I1155" t="s">
        <v>2742</v>
      </c>
      <c r="J1155">
        <v>331.04977820766499</v>
      </c>
      <c r="K1155">
        <v>2</v>
      </c>
      <c r="L1155">
        <v>1</v>
      </c>
      <c r="M1155">
        <v>1</v>
      </c>
      <c r="N1155" s="6">
        <v>2580256.7729798201</v>
      </c>
      <c r="O1155" s="6">
        <v>718877.73671821097</v>
      </c>
      <c r="P1155" s="6">
        <v>758041.27385162201</v>
      </c>
      <c r="Q1155" s="6">
        <v>149756.69940679101</v>
      </c>
      <c r="R1155" s="6">
        <v>21039.518663180901</v>
      </c>
      <c r="S1155" s="6">
        <v>165637.66541069999</v>
      </c>
      <c r="T1155" s="6">
        <v>2828749.03</v>
      </c>
      <c r="U1155" s="6">
        <v>1399222.97161962</v>
      </c>
      <c r="V1155" s="6">
        <v>3759663.3561443598</v>
      </c>
      <c r="W1155" s="6">
        <v>465040.17153622501</v>
      </c>
      <c r="X1155" s="6">
        <v>0</v>
      </c>
      <c r="Y1155" s="6">
        <v>0</v>
      </c>
      <c r="Z1155" s="6">
        <v>0</v>
      </c>
      <c r="AA1155" s="6">
        <v>3268.4739390363002</v>
      </c>
      <c r="AB1155" s="6">
        <v>0</v>
      </c>
      <c r="AC1155" s="6">
        <v>104814.403299135</v>
      </c>
      <c r="AD1155" s="6">
        <v>60823.262111565098</v>
      </c>
      <c r="AE1155" s="6">
        <v>0</v>
      </c>
      <c r="AF1155" s="6">
        <v>0</v>
      </c>
      <c r="AG1155" s="6">
        <v>0</v>
      </c>
      <c r="AH1155" s="6">
        <v>0</v>
      </c>
      <c r="AI1155" s="6">
        <v>0</v>
      </c>
      <c r="AJ1155" s="6">
        <v>4393609.6670303196</v>
      </c>
      <c r="AK1155" s="6">
        <v>13271.7493146129</v>
      </c>
      <c r="AL1155" s="6">
        <v>330.98244656580999</v>
      </c>
      <c r="AM1155" s="6">
        <v>93035.839999999997</v>
      </c>
      <c r="AN1155" s="6">
        <v>11128.6539835897</v>
      </c>
      <c r="AO1155" s="6">
        <v>13565.1979403306</v>
      </c>
      <c r="AP1155" s="6">
        <v>330.98244656580999</v>
      </c>
      <c r="AQ1155" s="6">
        <v>93035.839999999997</v>
      </c>
      <c r="AR1155" s="6">
        <v>11128.6539835897</v>
      </c>
      <c r="AS1155" s="6">
        <v>13565.1979403306</v>
      </c>
      <c r="AT1155" s="6">
        <v>0</v>
      </c>
      <c r="AU1155" t="s">
        <v>2973</v>
      </c>
      <c r="AV1155" t="s">
        <v>2973</v>
      </c>
    </row>
    <row r="1156" spans="1:48" x14ac:dyDescent="0.45">
      <c r="A1156" s="5" t="s">
        <v>2324</v>
      </c>
      <c r="B1156">
        <v>2138</v>
      </c>
      <c r="C1156" t="s">
        <v>2314</v>
      </c>
      <c r="D1156">
        <v>780</v>
      </c>
      <c r="E1156" t="s">
        <v>2325</v>
      </c>
      <c r="F1156" t="s">
        <v>2739</v>
      </c>
      <c r="G1156" t="s">
        <v>2740</v>
      </c>
      <c r="H1156" t="s">
        <v>2741</v>
      </c>
      <c r="I1156" t="s">
        <v>2742</v>
      </c>
      <c r="J1156">
        <v>74.473988439305998</v>
      </c>
      <c r="K1156">
        <v>1</v>
      </c>
      <c r="L1156">
        <v>1</v>
      </c>
      <c r="M1156">
        <v>1</v>
      </c>
      <c r="N1156" s="6">
        <v>565094.08043334703</v>
      </c>
      <c r="O1156" s="6">
        <v>163710.23665917901</v>
      </c>
      <c r="P1156" s="6">
        <v>175432.121660192</v>
      </c>
      <c r="Q1156" s="6">
        <v>33395.5601758845</v>
      </c>
      <c r="R1156" s="6">
        <v>4733.1156002388198</v>
      </c>
      <c r="S1156" s="6">
        <v>37262.364728642198</v>
      </c>
      <c r="T1156" s="6">
        <v>627591.56000000006</v>
      </c>
      <c r="U1156" s="6">
        <v>314773.55452884</v>
      </c>
      <c r="V1156" s="6">
        <v>850462.50041677395</v>
      </c>
      <c r="W1156" s="6">
        <v>91167.328042195499</v>
      </c>
      <c r="X1156" s="6">
        <v>0</v>
      </c>
      <c r="Y1156" s="6">
        <v>0</v>
      </c>
      <c r="Z1156" s="6">
        <v>0</v>
      </c>
      <c r="AA1156" s="6">
        <v>735.28606987094497</v>
      </c>
      <c r="AB1156" s="6">
        <v>0</v>
      </c>
      <c r="AC1156" s="6">
        <v>23579.374382410599</v>
      </c>
      <c r="AD1156" s="6">
        <v>13682.9903462316</v>
      </c>
      <c r="AE1156" s="6">
        <v>0</v>
      </c>
      <c r="AF1156" s="6">
        <v>0</v>
      </c>
      <c r="AG1156" s="6">
        <v>0</v>
      </c>
      <c r="AH1156" s="6">
        <v>0</v>
      </c>
      <c r="AI1156" s="6">
        <v>0</v>
      </c>
      <c r="AJ1156" s="6">
        <v>979627.47925748199</v>
      </c>
      <c r="AK1156" s="6">
        <v>13153.954820827799</v>
      </c>
      <c r="AL1156" s="6">
        <v>330.98244656580999</v>
      </c>
      <c r="AM1156" s="6">
        <v>93035.839999999997</v>
      </c>
      <c r="AN1156" s="6">
        <v>11128.6539835897</v>
      </c>
      <c r="AO1156" s="6">
        <v>13565.1979403306</v>
      </c>
      <c r="AP1156" s="6">
        <v>330.98244656580999</v>
      </c>
      <c r="AQ1156" s="6">
        <v>93035.839999999997</v>
      </c>
      <c r="AR1156" s="6">
        <v>11128.6539835897</v>
      </c>
      <c r="AS1156" s="6">
        <v>13565.1979403306</v>
      </c>
      <c r="AT1156" s="6">
        <v>0</v>
      </c>
      <c r="AU1156" t="s">
        <v>2973</v>
      </c>
      <c r="AV1156" t="s">
        <v>2973</v>
      </c>
    </row>
    <row r="1157" spans="1:48" x14ac:dyDescent="0.45">
      <c r="A1157" s="5" t="s">
        <v>2326</v>
      </c>
      <c r="B1157">
        <v>2138</v>
      </c>
      <c r="C1157" t="s">
        <v>2314</v>
      </c>
      <c r="D1157">
        <v>716</v>
      </c>
      <c r="E1157" t="s">
        <v>2327</v>
      </c>
      <c r="F1157" t="s">
        <v>2739</v>
      </c>
      <c r="G1157" t="s">
        <v>2740</v>
      </c>
      <c r="H1157" t="s">
        <v>2741</v>
      </c>
      <c r="I1157" t="s">
        <v>2742</v>
      </c>
      <c r="J1157">
        <v>423.51688396610098</v>
      </c>
      <c r="K1157">
        <v>1</v>
      </c>
      <c r="L1157">
        <v>1</v>
      </c>
      <c r="M1157">
        <v>1</v>
      </c>
      <c r="N1157" s="6">
        <v>2543018.47960161</v>
      </c>
      <c r="O1157" s="6">
        <v>831166.37233972701</v>
      </c>
      <c r="P1157" s="6">
        <v>910256.05235809495</v>
      </c>
      <c r="Q1157" s="6">
        <v>189913.06737277299</v>
      </c>
      <c r="R1157" s="6">
        <v>26916.167812042699</v>
      </c>
      <c r="S1157" s="6">
        <v>211902.71838259499</v>
      </c>
      <c r="T1157" s="6">
        <v>2711223.47</v>
      </c>
      <c r="U1157" s="6">
        <v>1790046.66948425</v>
      </c>
      <c r="V1157" s="6">
        <v>4004332.1296468601</v>
      </c>
      <c r="W1157" s="6">
        <v>492756.60272248602</v>
      </c>
      <c r="X1157" s="6">
        <v>0</v>
      </c>
      <c r="Y1157" s="6">
        <v>0</v>
      </c>
      <c r="Z1157" s="6">
        <v>0</v>
      </c>
      <c r="AA1157" s="6">
        <v>4181.4071149044203</v>
      </c>
      <c r="AB1157" s="6">
        <v>0</v>
      </c>
      <c r="AC1157" s="6">
        <v>134090.61839687999</v>
      </c>
      <c r="AD1157" s="6">
        <v>77812.099985714594</v>
      </c>
      <c r="AE1157" s="6">
        <v>0</v>
      </c>
      <c r="AF1157" s="6">
        <v>0</v>
      </c>
      <c r="AG1157" s="6">
        <v>0</v>
      </c>
      <c r="AH1157" s="6">
        <v>0</v>
      </c>
      <c r="AI1157" s="6">
        <v>0</v>
      </c>
      <c r="AJ1157" s="6">
        <v>4713172.8578668498</v>
      </c>
      <c r="AK1157" s="6">
        <v>11128.6539835897</v>
      </c>
      <c r="AL1157" s="6">
        <v>330.98244656580999</v>
      </c>
      <c r="AM1157" s="6">
        <v>93035.839999999997</v>
      </c>
      <c r="AN1157" s="6">
        <v>11128.6539835897</v>
      </c>
      <c r="AO1157" s="6">
        <v>13565.1979403306</v>
      </c>
      <c r="AP1157" s="6">
        <v>330.98244656580999</v>
      </c>
      <c r="AQ1157" s="6">
        <v>93035.839999999997</v>
      </c>
      <c r="AR1157" s="6">
        <v>11128.6539835897</v>
      </c>
      <c r="AS1157" s="6">
        <v>13565.1979403306</v>
      </c>
      <c r="AT1157" s="6">
        <v>0</v>
      </c>
      <c r="AU1157" t="s">
        <v>2973</v>
      </c>
      <c r="AV1157" t="s">
        <v>2973</v>
      </c>
    </row>
    <row r="1158" spans="1:48" x14ac:dyDescent="0.45">
      <c r="A1158" s="5" t="s">
        <v>2328</v>
      </c>
      <c r="B1158">
        <v>2138</v>
      </c>
      <c r="C1158" t="s">
        <v>2314</v>
      </c>
      <c r="D1158">
        <v>785</v>
      </c>
      <c r="E1158" t="s">
        <v>2329</v>
      </c>
      <c r="F1158" t="s">
        <v>2739</v>
      </c>
      <c r="G1158" t="s">
        <v>2740</v>
      </c>
      <c r="H1158" t="s">
        <v>2741</v>
      </c>
      <c r="I1158" t="s">
        <v>2742</v>
      </c>
      <c r="J1158">
        <v>153.04347231247499</v>
      </c>
      <c r="K1158">
        <v>1</v>
      </c>
      <c r="L1158">
        <v>1</v>
      </c>
      <c r="M1158">
        <v>1</v>
      </c>
      <c r="N1158" s="6">
        <v>1192954.7946027501</v>
      </c>
      <c r="O1158" s="6">
        <v>337358.430901949</v>
      </c>
      <c r="P1158" s="6">
        <v>374153.708381353</v>
      </c>
      <c r="Q1158" s="6">
        <v>68726.938800124495</v>
      </c>
      <c r="R1158" s="6">
        <v>9726.5160829573906</v>
      </c>
      <c r="S1158" s="6">
        <v>76573.872356693595</v>
      </c>
      <c r="T1158" s="6">
        <v>1336063.1599999999</v>
      </c>
      <c r="U1158" s="6">
        <v>646857.22876913298</v>
      </c>
      <c r="V1158" s="6">
        <v>1743920.46651361</v>
      </c>
      <c r="W1158" s="6">
        <v>237488.91504838399</v>
      </c>
      <c r="X1158" s="6">
        <v>0</v>
      </c>
      <c r="Y1158" s="6">
        <v>0</v>
      </c>
      <c r="Z1158" s="6">
        <v>0</v>
      </c>
      <c r="AA1158" s="6">
        <v>1511.0072071371801</v>
      </c>
      <c r="AB1158" s="6">
        <v>0</v>
      </c>
      <c r="AC1158" s="6">
        <v>48455.432642511099</v>
      </c>
      <c r="AD1158" s="6">
        <v>28118.439714182499</v>
      </c>
      <c r="AE1158" s="6">
        <v>0</v>
      </c>
      <c r="AF1158" s="6">
        <v>0</v>
      </c>
      <c r="AG1158" s="6">
        <v>0</v>
      </c>
      <c r="AH1158" s="6">
        <v>0</v>
      </c>
      <c r="AI1158" s="6">
        <v>0</v>
      </c>
      <c r="AJ1158" s="6">
        <v>2059494.26112583</v>
      </c>
      <c r="AK1158" s="6">
        <v>13456.9232519821</v>
      </c>
      <c r="AL1158" s="6">
        <v>330.98244656580999</v>
      </c>
      <c r="AM1158" s="6">
        <v>93035.839999999997</v>
      </c>
      <c r="AN1158" s="6">
        <v>11128.6539835897</v>
      </c>
      <c r="AO1158" s="6">
        <v>13565.1979403306</v>
      </c>
      <c r="AP1158" s="6">
        <v>330.98244656580999</v>
      </c>
      <c r="AQ1158" s="6">
        <v>93035.839999999997</v>
      </c>
      <c r="AR1158" s="6">
        <v>11128.6539835897</v>
      </c>
      <c r="AS1158" s="6">
        <v>13565.1979403306</v>
      </c>
      <c r="AT1158" s="6">
        <v>0</v>
      </c>
      <c r="AU1158" t="s">
        <v>2973</v>
      </c>
      <c r="AV1158" t="s">
        <v>2973</v>
      </c>
    </row>
    <row r="1159" spans="1:48" x14ac:dyDescent="0.45">
      <c r="A1159" s="5" t="s">
        <v>2330</v>
      </c>
      <c r="B1159">
        <v>2138</v>
      </c>
      <c r="C1159" t="s">
        <v>2314</v>
      </c>
      <c r="D1159">
        <v>795</v>
      </c>
      <c r="E1159" t="s">
        <v>2331</v>
      </c>
      <c r="F1159" t="s">
        <v>2739</v>
      </c>
      <c r="G1159" t="s">
        <v>2740</v>
      </c>
      <c r="H1159" t="s">
        <v>2741</v>
      </c>
      <c r="I1159" t="s">
        <v>2742</v>
      </c>
      <c r="J1159">
        <v>137.143852843308</v>
      </c>
      <c r="K1159">
        <v>1</v>
      </c>
      <c r="L1159">
        <v>1</v>
      </c>
      <c r="M1159">
        <v>1</v>
      </c>
      <c r="N1159" s="6">
        <v>1083179.4415194099</v>
      </c>
      <c r="O1159" s="6">
        <v>297875.31725246698</v>
      </c>
      <c r="P1159" s="6">
        <v>335456.227086748</v>
      </c>
      <c r="Q1159" s="6">
        <v>61497.925468486101</v>
      </c>
      <c r="R1159" s="6">
        <v>13755.952576911401</v>
      </c>
      <c r="S1159" s="6">
        <v>68618.646215024593</v>
      </c>
      <c r="T1159" s="6">
        <v>1212109.3500000001</v>
      </c>
      <c r="U1159" s="6">
        <v>579655.51390402496</v>
      </c>
      <c r="V1159" s="6">
        <v>1633286.86967165</v>
      </c>
      <c r="W1159" s="6">
        <v>152084.04490378601</v>
      </c>
      <c r="X1159" s="6">
        <v>0</v>
      </c>
      <c r="Y1159" s="6">
        <v>0</v>
      </c>
      <c r="Z1159" s="6">
        <v>0</v>
      </c>
      <c r="AA1159" s="6">
        <v>6393.9493285929802</v>
      </c>
      <c r="AB1159" s="6">
        <v>0</v>
      </c>
      <c r="AC1159" s="6">
        <v>43421.418916941802</v>
      </c>
      <c r="AD1159" s="6">
        <v>25197.227298082798</v>
      </c>
      <c r="AE1159" s="6">
        <v>0</v>
      </c>
      <c r="AF1159" s="6">
        <v>0</v>
      </c>
      <c r="AG1159" s="6">
        <v>0</v>
      </c>
      <c r="AH1159" s="6">
        <v>0</v>
      </c>
      <c r="AI1159" s="6">
        <v>0</v>
      </c>
      <c r="AJ1159" s="6">
        <v>1860383.51011905</v>
      </c>
      <c r="AK1159" s="6">
        <v>13565.1979403306</v>
      </c>
      <c r="AL1159" s="6">
        <v>330.98244656580999</v>
      </c>
      <c r="AM1159" s="6">
        <v>93035.839999999997</v>
      </c>
      <c r="AN1159" s="6">
        <v>11128.6539835897</v>
      </c>
      <c r="AO1159" s="6">
        <v>13565.1979403306</v>
      </c>
      <c r="AP1159" s="6">
        <v>330.98244656580999</v>
      </c>
      <c r="AQ1159" s="6">
        <v>93035.839999999997</v>
      </c>
      <c r="AR1159" s="6">
        <v>11128.6539835897</v>
      </c>
      <c r="AS1159" s="6">
        <v>13565.1979403306</v>
      </c>
      <c r="AT1159" s="6">
        <v>0</v>
      </c>
      <c r="AU1159" t="s">
        <v>2973</v>
      </c>
      <c r="AV1159" t="s">
        <v>2973</v>
      </c>
    </row>
    <row r="1160" spans="1:48" x14ac:dyDescent="0.45">
      <c r="A1160" s="5" t="s">
        <v>2332</v>
      </c>
      <c r="B1160">
        <v>2138</v>
      </c>
      <c r="C1160" t="s">
        <v>2314</v>
      </c>
      <c r="D1160">
        <v>812</v>
      </c>
      <c r="E1160" t="s">
        <v>2333</v>
      </c>
      <c r="F1160" t="s">
        <v>2739</v>
      </c>
      <c r="G1160" t="s">
        <v>2744</v>
      </c>
      <c r="H1160" t="s">
        <v>2745</v>
      </c>
      <c r="I1160" t="s">
        <v>2742</v>
      </c>
      <c r="J1160">
        <v>1303.17505256545</v>
      </c>
      <c r="K1160">
        <v>1</v>
      </c>
      <c r="L1160">
        <v>1</v>
      </c>
      <c r="M1160">
        <v>1</v>
      </c>
      <c r="N1160" s="6">
        <v>8202237.3501640996</v>
      </c>
      <c r="O1160" s="6">
        <v>3946621.9530237201</v>
      </c>
      <c r="P1160" s="6">
        <v>2963306.8136410401</v>
      </c>
      <c r="Q1160" s="6">
        <v>584958.92707586102</v>
      </c>
      <c r="R1160" s="6">
        <v>221464.892729521</v>
      </c>
      <c r="S1160" s="6">
        <v>652031.469397343</v>
      </c>
      <c r="T1160" s="6">
        <v>10410558.85</v>
      </c>
      <c r="U1160" s="6">
        <v>5508031.0866342504</v>
      </c>
      <c r="V1160" s="6">
        <v>13468710.539932</v>
      </c>
      <c r="W1160" s="6">
        <v>2387000.5527301799</v>
      </c>
      <c r="X1160" s="6">
        <v>0</v>
      </c>
      <c r="Y1160" s="6">
        <v>0</v>
      </c>
      <c r="Z1160" s="6">
        <v>0</v>
      </c>
      <c r="AA1160" s="6">
        <v>62878.843972102302</v>
      </c>
      <c r="AB1160" s="6">
        <v>0</v>
      </c>
      <c r="AC1160" s="6">
        <v>412601.13892383903</v>
      </c>
      <c r="AD1160" s="6">
        <v>239430.33047350301</v>
      </c>
      <c r="AE1160" s="6">
        <v>0</v>
      </c>
      <c r="AF1160" s="6">
        <v>0</v>
      </c>
      <c r="AG1160" s="6">
        <v>0</v>
      </c>
      <c r="AH1160" s="6">
        <v>0</v>
      </c>
      <c r="AI1160" s="6">
        <v>0</v>
      </c>
      <c r="AJ1160" s="6">
        <v>16570621.406031599</v>
      </c>
      <c r="AK1160" s="6">
        <v>12715.575987593</v>
      </c>
      <c r="AL1160" s="6">
        <v>330.98244656580999</v>
      </c>
      <c r="AM1160" s="6">
        <v>93035.839999999997</v>
      </c>
      <c r="AN1160" s="6">
        <v>11128.6539835897</v>
      </c>
      <c r="AO1160" s="6">
        <v>13565.1979403306</v>
      </c>
      <c r="AP1160" s="6">
        <v>330.98244656580999</v>
      </c>
      <c r="AQ1160" s="6">
        <v>40734.411818744898</v>
      </c>
      <c r="AR1160" s="6">
        <v>12715.575987593</v>
      </c>
      <c r="AS1160" s="6">
        <v>12715.575987593</v>
      </c>
      <c r="AT1160" s="6">
        <v>0</v>
      </c>
      <c r="AU1160" t="s">
        <v>2973</v>
      </c>
      <c r="AV1160" t="s">
        <v>2973</v>
      </c>
    </row>
    <row r="1161" spans="1:48" x14ac:dyDescent="0.45">
      <c r="A1161" s="5" t="s">
        <v>2334</v>
      </c>
      <c r="B1161">
        <v>2138</v>
      </c>
      <c r="C1161" t="s">
        <v>2314</v>
      </c>
      <c r="D1161">
        <v>715</v>
      </c>
      <c r="E1161" t="s">
        <v>2335</v>
      </c>
      <c r="F1161" t="s">
        <v>2739</v>
      </c>
      <c r="G1161" t="s">
        <v>2747</v>
      </c>
      <c r="H1161" t="s">
        <v>2741</v>
      </c>
      <c r="I1161" t="s">
        <v>2742</v>
      </c>
      <c r="J1161">
        <v>463.47143903098203</v>
      </c>
      <c r="K1161">
        <v>1</v>
      </c>
      <c r="L1161">
        <v>1</v>
      </c>
      <c r="M1161">
        <v>1</v>
      </c>
      <c r="N1161" s="6">
        <v>2834473.7267936599</v>
      </c>
      <c r="O1161" s="6">
        <v>1162299.6818850101</v>
      </c>
      <c r="P1161" s="6">
        <v>1088646.7152223601</v>
      </c>
      <c r="Q1161" s="6">
        <v>207829.453696802</v>
      </c>
      <c r="R1161" s="6">
        <v>29455.4373186343</v>
      </c>
      <c r="S1161" s="6">
        <v>231893.606941109</v>
      </c>
      <c r="T1161" s="6">
        <v>3363785.46</v>
      </c>
      <c r="U1161" s="6">
        <v>1958919.5549164601</v>
      </c>
      <c r="V1161" s="6">
        <v>4692014.5430332301</v>
      </c>
      <c r="W1161" s="6">
        <v>626114.59109526803</v>
      </c>
      <c r="X1161" s="6">
        <v>0</v>
      </c>
      <c r="Y1161" s="6">
        <v>0</v>
      </c>
      <c r="Z1161" s="6">
        <v>0</v>
      </c>
      <c r="AA1161" s="6">
        <v>4575.8807879646602</v>
      </c>
      <c r="AB1161" s="6">
        <v>0</v>
      </c>
      <c r="AC1161" s="6">
        <v>146740.71854460199</v>
      </c>
      <c r="AD1161" s="6">
        <v>85152.888396506998</v>
      </c>
      <c r="AE1161" s="6">
        <v>0</v>
      </c>
      <c r="AF1161" s="6">
        <v>0</v>
      </c>
      <c r="AG1161" s="6">
        <v>0</v>
      </c>
      <c r="AH1161" s="6">
        <v>0</v>
      </c>
      <c r="AI1161" s="6">
        <v>0</v>
      </c>
      <c r="AJ1161" s="6">
        <v>5554598.6218575602</v>
      </c>
      <c r="AK1161" s="6">
        <v>11984.770050709099</v>
      </c>
      <c r="AL1161" s="6">
        <v>330.98244656580999</v>
      </c>
      <c r="AM1161" s="6">
        <v>93035.839999999997</v>
      </c>
      <c r="AN1161" s="6">
        <v>11128.6539835897</v>
      </c>
      <c r="AO1161" s="6">
        <v>13565.1979403306</v>
      </c>
      <c r="AP1161" s="6">
        <v>3753.1860850462999</v>
      </c>
      <c r="AQ1161" s="6">
        <v>20687.885194392002</v>
      </c>
      <c r="AR1161" s="6">
        <v>11984.770050709099</v>
      </c>
      <c r="AS1161" s="6">
        <v>11984.770050709099</v>
      </c>
      <c r="AT1161" s="6">
        <v>0</v>
      </c>
      <c r="AU1161" t="s">
        <v>2973</v>
      </c>
      <c r="AV1161" t="s">
        <v>2973</v>
      </c>
    </row>
    <row r="1162" spans="1:48" x14ac:dyDescent="0.45">
      <c r="A1162" s="5" t="s">
        <v>2336</v>
      </c>
      <c r="B1162">
        <v>2138</v>
      </c>
      <c r="C1162" t="s">
        <v>2314</v>
      </c>
      <c r="D1162">
        <v>4746</v>
      </c>
      <c r="E1162" t="s">
        <v>2337</v>
      </c>
      <c r="F1162" t="s">
        <v>3</v>
      </c>
      <c r="G1162" t="s">
        <v>2740</v>
      </c>
      <c r="H1162" t="s">
        <v>2741</v>
      </c>
      <c r="I1162" t="s">
        <v>2742</v>
      </c>
      <c r="J1162">
        <v>128.06217473546499</v>
      </c>
      <c r="K1162">
        <v>1</v>
      </c>
      <c r="L1162">
        <v>1</v>
      </c>
      <c r="M1162">
        <v>1</v>
      </c>
      <c r="N1162" s="6">
        <v>196247.55608234199</v>
      </c>
      <c r="O1162" s="6">
        <v>81138.057508878002</v>
      </c>
      <c r="P1162" s="6">
        <v>199085.07722163899</v>
      </c>
      <c r="Q1162" s="6">
        <v>57425.5273855548</v>
      </c>
      <c r="R1162" s="6">
        <v>1026078.90612605</v>
      </c>
      <c r="S1162" s="6">
        <v>64074.713372239501</v>
      </c>
      <c r="T1162" s="6">
        <v>1018704.45</v>
      </c>
      <c r="U1162" s="6">
        <v>541270.67432446801</v>
      </c>
      <c r="V1162" s="6">
        <v>434971.78919807402</v>
      </c>
      <c r="W1162" s="6">
        <v>105798.919740122</v>
      </c>
      <c r="X1162" s="6">
        <v>0</v>
      </c>
      <c r="Y1162" s="6">
        <v>0</v>
      </c>
      <c r="Z1162" s="6">
        <v>0</v>
      </c>
      <c r="AA1162" s="6">
        <v>1264.3653862731701</v>
      </c>
      <c r="AB1162" s="6">
        <v>1017940.05</v>
      </c>
      <c r="AC1162" s="6">
        <v>40546.048702281099</v>
      </c>
      <c r="AD1162" s="6">
        <v>23528.664669958402</v>
      </c>
      <c r="AE1162" s="6">
        <v>0</v>
      </c>
      <c r="AF1162" s="6">
        <v>0</v>
      </c>
      <c r="AG1162" s="6">
        <v>0</v>
      </c>
      <c r="AH1162" s="6">
        <v>0</v>
      </c>
      <c r="AI1162" s="6">
        <v>0</v>
      </c>
      <c r="AJ1162" s="6">
        <v>1624049.8376967099</v>
      </c>
      <c r="AK1162" s="6">
        <v>12681.7293322674</v>
      </c>
      <c r="AL1162" s="6">
        <v>330.98244656580999</v>
      </c>
      <c r="AM1162" s="6">
        <v>93035.839999999997</v>
      </c>
      <c r="AN1162" s="6">
        <v>11128.6539835897</v>
      </c>
      <c r="AO1162" s="6">
        <v>13565.1979403306</v>
      </c>
      <c r="AP1162" s="6">
        <v>330.98244656580999</v>
      </c>
      <c r="AQ1162" s="6">
        <v>93035.839999999997</v>
      </c>
      <c r="AR1162" s="6">
        <v>11128.6539835897</v>
      </c>
      <c r="AS1162" s="6">
        <v>13565.1979403306</v>
      </c>
      <c r="AT1162" s="6">
        <v>0</v>
      </c>
      <c r="AU1162" t="s">
        <v>2973</v>
      </c>
      <c r="AV1162" t="s">
        <v>2973</v>
      </c>
    </row>
    <row r="1163" spans="1:48" x14ac:dyDescent="0.45">
      <c r="A1163" s="5" t="s">
        <v>2338</v>
      </c>
      <c r="B1163">
        <v>2138</v>
      </c>
      <c r="C1163" t="s">
        <v>2314</v>
      </c>
      <c r="D1163">
        <v>777</v>
      </c>
      <c r="E1163" t="s">
        <v>2339</v>
      </c>
      <c r="F1163" t="s">
        <v>2739</v>
      </c>
      <c r="G1163" t="s">
        <v>2740</v>
      </c>
      <c r="H1163" t="s">
        <v>2741</v>
      </c>
      <c r="I1163" t="s">
        <v>2742</v>
      </c>
      <c r="J1163">
        <v>221</v>
      </c>
      <c r="K1163">
        <v>1</v>
      </c>
      <c r="L1163">
        <v>1</v>
      </c>
      <c r="M1163">
        <v>1</v>
      </c>
      <c r="N1163" s="6">
        <v>1540704.5122328601</v>
      </c>
      <c r="O1163" s="6">
        <v>399451.55315665802</v>
      </c>
      <c r="P1163" s="6">
        <v>515302.46487691201</v>
      </c>
      <c r="Q1163" s="6">
        <v>99100.624977072104</v>
      </c>
      <c r="R1163" s="6">
        <v>14045.4213554743</v>
      </c>
      <c r="S1163" s="6">
        <v>110575.286453755</v>
      </c>
      <c r="T1163" s="6">
        <v>1634520.65</v>
      </c>
      <c r="U1163" s="6">
        <v>934083.926598978</v>
      </c>
      <c r="V1163" s="6">
        <v>2338270.37316086</v>
      </c>
      <c r="W1163" s="6">
        <v>228152.25743459101</v>
      </c>
      <c r="X1163" s="6">
        <v>0</v>
      </c>
      <c r="Y1163" s="6">
        <v>0</v>
      </c>
      <c r="Z1163" s="6">
        <v>0</v>
      </c>
      <c r="AA1163" s="6">
        <v>2181.9460035218899</v>
      </c>
      <c r="AB1163" s="6">
        <v>0</v>
      </c>
      <c r="AC1163" s="6">
        <v>69971.299345134306</v>
      </c>
      <c r="AD1163" s="6">
        <v>40603.987108620997</v>
      </c>
      <c r="AE1163" s="6">
        <v>0</v>
      </c>
      <c r="AF1163" s="6">
        <v>0</v>
      </c>
      <c r="AG1163" s="6">
        <v>0</v>
      </c>
      <c r="AH1163" s="6">
        <v>0</v>
      </c>
      <c r="AI1163" s="6">
        <v>0</v>
      </c>
      <c r="AJ1163" s="6">
        <v>2679179.8630527402</v>
      </c>
      <c r="AK1163" s="6">
        <v>12122.985805668501</v>
      </c>
      <c r="AL1163" s="6">
        <v>330.98244656580999</v>
      </c>
      <c r="AM1163" s="6">
        <v>93035.839999999997</v>
      </c>
      <c r="AN1163" s="6">
        <v>11128.6539835897</v>
      </c>
      <c r="AO1163" s="6">
        <v>13565.1979403306</v>
      </c>
      <c r="AP1163" s="6">
        <v>330.98244656580999</v>
      </c>
      <c r="AQ1163" s="6">
        <v>93035.839999999997</v>
      </c>
      <c r="AR1163" s="6">
        <v>11128.6539835897</v>
      </c>
      <c r="AS1163" s="6">
        <v>13565.1979403306</v>
      </c>
      <c r="AT1163" s="6">
        <v>0</v>
      </c>
      <c r="AU1163" t="s">
        <v>2973</v>
      </c>
      <c r="AV1163" t="s">
        <v>2973</v>
      </c>
    </row>
    <row r="1164" spans="1:48" x14ac:dyDescent="0.45">
      <c r="A1164" s="5" t="s">
        <v>2340</v>
      </c>
      <c r="B1164">
        <v>1978</v>
      </c>
      <c r="C1164" t="s">
        <v>2341</v>
      </c>
      <c r="D1164">
        <v>264</v>
      </c>
      <c r="E1164" t="s">
        <v>2342</v>
      </c>
      <c r="F1164" t="s">
        <v>2739</v>
      </c>
      <c r="G1164" t="s">
        <v>2740</v>
      </c>
      <c r="H1164" t="s">
        <v>2745</v>
      </c>
      <c r="I1164" t="s">
        <v>2742</v>
      </c>
      <c r="J1164">
        <v>312.063212584761</v>
      </c>
      <c r="K1164">
        <v>1</v>
      </c>
      <c r="L1164">
        <v>1</v>
      </c>
      <c r="M1164">
        <v>1</v>
      </c>
      <c r="N1164" s="6">
        <v>2079746.7765272299</v>
      </c>
      <c r="O1164" s="6">
        <v>470886.67550551501</v>
      </c>
      <c r="P1164" s="6">
        <v>812322.03509865899</v>
      </c>
      <c r="Q1164" s="6">
        <v>197408.455685077</v>
      </c>
      <c r="R1164" s="6">
        <v>678069.10673237406</v>
      </c>
      <c r="S1164" s="6">
        <v>113143.267722686</v>
      </c>
      <c r="T1164" s="6">
        <v>2074724.46</v>
      </c>
      <c r="U1164" s="6">
        <v>2163708.5895488602</v>
      </c>
      <c r="V1164" s="6">
        <v>3822538.76951499</v>
      </c>
      <c r="W1164" s="6">
        <v>386325.53809839499</v>
      </c>
      <c r="X1164" s="6">
        <v>0</v>
      </c>
      <c r="Y1164" s="6">
        <v>0</v>
      </c>
      <c r="Z1164" s="6">
        <v>0</v>
      </c>
      <c r="AA1164" s="6">
        <v>0</v>
      </c>
      <c r="AB1164" s="6">
        <v>29568.7419354757</v>
      </c>
      <c r="AC1164" s="6">
        <v>113143.267722686</v>
      </c>
      <c r="AD1164" s="6">
        <v>0</v>
      </c>
      <c r="AE1164" s="6">
        <v>0</v>
      </c>
      <c r="AF1164" s="6">
        <v>0</v>
      </c>
      <c r="AG1164" s="6">
        <v>0</v>
      </c>
      <c r="AH1164" s="6">
        <v>0</v>
      </c>
      <c r="AI1164" s="6">
        <v>0</v>
      </c>
      <c r="AJ1164" s="6">
        <v>4351576.3172715399</v>
      </c>
      <c r="AK1164" s="6">
        <v>13944.5347666207</v>
      </c>
      <c r="AL1164" s="6">
        <v>330.98244656580999</v>
      </c>
      <c r="AM1164" s="6">
        <v>93035.839999999997</v>
      </c>
      <c r="AN1164" s="6">
        <v>13944.5347666207</v>
      </c>
      <c r="AO1164" s="6">
        <v>14933.478284844499</v>
      </c>
      <c r="AP1164" s="6">
        <v>330.98244656580999</v>
      </c>
      <c r="AQ1164" s="6">
        <v>93035.839999999997</v>
      </c>
      <c r="AR1164" s="6">
        <v>13944.5347666207</v>
      </c>
      <c r="AS1164" s="6">
        <v>13944.5347666207</v>
      </c>
      <c r="AT1164" s="6">
        <v>0</v>
      </c>
      <c r="AU1164" t="s">
        <v>2973</v>
      </c>
      <c r="AV1164" t="s">
        <v>2973</v>
      </c>
    </row>
    <row r="1165" spans="1:48" x14ac:dyDescent="0.45">
      <c r="A1165" s="5" t="s">
        <v>2343</v>
      </c>
      <c r="B1165">
        <v>1978</v>
      </c>
      <c r="C1165" t="s">
        <v>2341</v>
      </c>
      <c r="D1165">
        <v>1294</v>
      </c>
      <c r="E1165" t="s">
        <v>2344</v>
      </c>
      <c r="F1165" t="s">
        <v>2739</v>
      </c>
      <c r="G1165" t="s">
        <v>2744</v>
      </c>
      <c r="H1165" t="s">
        <v>2745</v>
      </c>
      <c r="I1165" t="s">
        <v>2742</v>
      </c>
      <c r="J1165">
        <v>441.98335193975498</v>
      </c>
      <c r="K1165">
        <v>1</v>
      </c>
      <c r="L1165">
        <v>1</v>
      </c>
      <c r="M1165">
        <v>1</v>
      </c>
      <c r="N1165" s="6">
        <v>2568542.19987445</v>
      </c>
      <c r="O1165" s="6">
        <v>1386213.1727171501</v>
      </c>
      <c r="P1165" s="6">
        <v>1135035.58052309</v>
      </c>
      <c r="Q1165" s="6">
        <v>279594.7981893</v>
      </c>
      <c r="R1165" s="6">
        <v>1070715.2453551099</v>
      </c>
      <c r="S1165" s="6">
        <v>160247.791796053</v>
      </c>
      <c r="T1165" s="6">
        <v>3375583.5</v>
      </c>
      <c r="U1165" s="6">
        <v>3064517.4966590898</v>
      </c>
      <c r="V1165" s="6">
        <v>5533166.9491361296</v>
      </c>
      <c r="W1165" s="6">
        <v>865055.05908009096</v>
      </c>
      <c r="X1165" s="6">
        <v>0</v>
      </c>
      <c r="Y1165" s="6">
        <v>0</v>
      </c>
      <c r="Z1165" s="6">
        <v>0</v>
      </c>
      <c r="AA1165" s="6">
        <v>0</v>
      </c>
      <c r="AB1165" s="6">
        <v>41878.9884428734</v>
      </c>
      <c r="AC1165" s="6">
        <v>160247.791796053</v>
      </c>
      <c r="AD1165" s="6">
        <v>0</v>
      </c>
      <c r="AE1165" s="6">
        <v>0</v>
      </c>
      <c r="AF1165" s="6">
        <v>0</v>
      </c>
      <c r="AG1165" s="6">
        <v>0</v>
      </c>
      <c r="AH1165" s="6">
        <v>0</v>
      </c>
      <c r="AI1165" s="6">
        <v>0</v>
      </c>
      <c r="AJ1165" s="6">
        <v>6600348.7884551398</v>
      </c>
      <c r="AK1165" s="6">
        <v>14933.478284844499</v>
      </c>
      <c r="AL1165" s="6">
        <v>330.98244656580999</v>
      </c>
      <c r="AM1165" s="6">
        <v>93035.839999999997</v>
      </c>
      <c r="AN1165" s="6">
        <v>13944.5347666207</v>
      </c>
      <c r="AO1165" s="6">
        <v>14933.478284844499</v>
      </c>
      <c r="AP1165" s="6">
        <v>330.98244656580999</v>
      </c>
      <c r="AQ1165" s="6">
        <v>40734.411818744898</v>
      </c>
      <c r="AR1165" s="6">
        <v>14933.478284844499</v>
      </c>
      <c r="AS1165" s="6">
        <v>14933.478284844499</v>
      </c>
      <c r="AT1165" s="6">
        <v>0</v>
      </c>
      <c r="AU1165" t="s">
        <v>2973</v>
      </c>
      <c r="AV1165" t="s">
        <v>2973</v>
      </c>
    </row>
    <row r="1166" spans="1:48" x14ac:dyDescent="0.45">
      <c r="A1166" s="5" t="s">
        <v>2345</v>
      </c>
      <c r="B1166">
        <v>1978</v>
      </c>
      <c r="C1166" t="s">
        <v>2341</v>
      </c>
      <c r="D1166">
        <v>1293</v>
      </c>
      <c r="E1166" t="s">
        <v>2346</v>
      </c>
      <c r="F1166" t="s">
        <v>2739</v>
      </c>
      <c r="G1166" t="s">
        <v>2747</v>
      </c>
      <c r="H1166" t="s">
        <v>2745</v>
      </c>
      <c r="I1166" t="s">
        <v>2742</v>
      </c>
      <c r="J1166">
        <v>323.355671205509</v>
      </c>
      <c r="K1166">
        <v>1</v>
      </c>
      <c r="L1166">
        <v>1</v>
      </c>
      <c r="M1166">
        <v>1</v>
      </c>
      <c r="N1166" s="6">
        <v>2047997.3035983201</v>
      </c>
      <c r="O1166" s="6">
        <v>643854.42177733802</v>
      </c>
      <c r="P1166" s="6">
        <v>831331.20437825006</v>
      </c>
      <c r="Q1166" s="6">
        <v>204551.966125623</v>
      </c>
      <c r="R1166" s="6">
        <v>702606.017912518</v>
      </c>
      <c r="S1166" s="6">
        <v>117237.520481261</v>
      </c>
      <c r="T1166" s="6">
        <v>2188335.4</v>
      </c>
      <c r="U1166" s="6">
        <v>2242005.5137920501</v>
      </c>
      <c r="V1166" s="6">
        <v>4077204.8813488898</v>
      </c>
      <c r="W1166" s="6">
        <v>322497.30282151402</v>
      </c>
      <c r="X1166" s="6">
        <v>0</v>
      </c>
      <c r="Y1166" s="6">
        <v>0</v>
      </c>
      <c r="Z1166" s="6">
        <v>0</v>
      </c>
      <c r="AA1166" s="6">
        <v>0</v>
      </c>
      <c r="AB1166" s="6">
        <v>30638.7296216508</v>
      </c>
      <c r="AC1166" s="6">
        <v>117237.520481261</v>
      </c>
      <c r="AD1166" s="6">
        <v>0</v>
      </c>
      <c r="AE1166" s="6">
        <v>0</v>
      </c>
      <c r="AF1166" s="6">
        <v>0</v>
      </c>
      <c r="AG1166" s="6">
        <v>0</v>
      </c>
      <c r="AH1166" s="6">
        <v>0</v>
      </c>
      <c r="AI1166" s="6">
        <v>0</v>
      </c>
      <c r="AJ1166" s="6">
        <v>4547578.43427331</v>
      </c>
      <c r="AK1166" s="6">
        <v>14063.7039620162</v>
      </c>
      <c r="AL1166" s="6">
        <v>330.98244656580999</v>
      </c>
      <c r="AM1166" s="6">
        <v>93035.839999999997</v>
      </c>
      <c r="AN1166" s="6">
        <v>13944.5347666207</v>
      </c>
      <c r="AO1166" s="6">
        <v>14933.478284844499</v>
      </c>
      <c r="AP1166" s="6">
        <v>3753.1860850462999</v>
      </c>
      <c r="AQ1166" s="6">
        <v>20687.885194392002</v>
      </c>
      <c r="AR1166" s="6">
        <v>14063.7039620162</v>
      </c>
      <c r="AS1166" s="6">
        <v>14063.7039620162</v>
      </c>
      <c r="AT1166" s="6">
        <v>0</v>
      </c>
      <c r="AU1166" t="s">
        <v>2973</v>
      </c>
      <c r="AV1166" t="s">
        <v>2973</v>
      </c>
    </row>
    <row r="1167" spans="1:48" x14ac:dyDescent="0.45">
      <c r="A1167" s="5" t="s">
        <v>2347</v>
      </c>
      <c r="B1167">
        <v>2096</v>
      </c>
      <c r="C1167" t="s">
        <v>2348</v>
      </c>
      <c r="D1167">
        <v>609</v>
      </c>
      <c r="E1167" t="s">
        <v>2349</v>
      </c>
      <c r="F1167" t="s">
        <v>2739</v>
      </c>
      <c r="G1167" t="s">
        <v>2740</v>
      </c>
      <c r="H1167" t="s">
        <v>2741</v>
      </c>
      <c r="I1167" t="s">
        <v>2742</v>
      </c>
      <c r="J1167">
        <v>594.58946016278696</v>
      </c>
      <c r="K1167">
        <v>1</v>
      </c>
      <c r="L1167">
        <v>1</v>
      </c>
      <c r="M1167">
        <v>4</v>
      </c>
      <c r="N1167" s="6">
        <v>4185811.4509721398</v>
      </c>
      <c r="O1167" s="6">
        <v>788515.03411691403</v>
      </c>
      <c r="P1167" s="6">
        <v>1806574.3580746599</v>
      </c>
      <c r="Q1167" s="6">
        <v>320474.21729120798</v>
      </c>
      <c r="R1167" s="6">
        <v>291583.32636734803</v>
      </c>
      <c r="S1167" s="6">
        <v>327881.36820804299</v>
      </c>
      <c r="T1167" s="6">
        <v>3884802.89</v>
      </c>
      <c r="U1167" s="6">
        <v>3508155.4968222701</v>
      </c>
      <c r="V1167" s="6">
        <v>6147628.9845502898</v>
      </c>
      <c r="W1167" s="6">
        <v>1245329.4022719699</v>
      </c>
      <c r="X1167" s="6">
        <v>0</v>
      </c>
      <c r="Y1167" s="6">
        <v>0</v>
      </c>
      <c r="Z1167" s="6">
        <v>0</v>
      </c>
      <c r="AA1167" s="6">
        <v>0</v>
      </c>
      <c r="AB1167" s="6">
        <v>0</v>
      </c>
      <c r="AC1167" s="6">
        <v>241524.09112121401</v>
      </c>
      <c r="AD1167" s="6">
        <v>86357.277086829301</v>
      </c>
      <c r="AE1167" s="6">
        <v>0</v>
      </c>
      <c r="AF1167" s="6">
        <v>0</v>
      </c>
      <c r="AG1167" s="6">
        <v>0</v>
      </c>
      <c r="AH1167" s="6">
        <v>0</v>
      </c>
      <c r="AI1167" s="6">
        <v>0</v>
      </c>
      <c r="AJ1167" s="6">
        <v>7720839.7550303098</v>
      </c>
      <c r="AK1167" s="6">
        <v>12985.1608081255</v>
      </c>
      <c r="AL1167" s="6">
        <v>330.98244656580999</v>
      </c>
      <c r="AM1167" s="6">
        <v>93035.839999999997</v>
      </c>
      <c r="AN1167" s="6">
        <v>6451.5722562254696</v>
      </c>
      <c r="AO1167" s="6">
        <v>16634.252049028401</v>
      </c>
      <c r="AP1167" s="6">
        <v>330.98244656580999</v>
      </c>
      <c r="AQ1167" s="6">
        <v>93035.839999999997</v>
      </c>
      <c r="AR1167" s="6">
        <v>12985.1608081255</v>
      </c>
      <c r="AS1167" s="6">
        <v>12985.1608081255</v>
      </c>
      <c r="AT1167" s="6">
        <v>0</v>
      </c>
      <c r="AU1167" t="s">
        <v>2973</v>
      </c>
      <c r="AV1167" t="s">
        <v>2973</v>
      </c>
    </row>
    <row r="1168" spans="1:48" x14ac:dyDescent="0.45">
      <c r="A1168" s="5" t="s">
        <v>2350</v>
      </c>
      <c r="B1168">
        <v>2096</v>
      </c>
      <c r="C1168" t="s">
        <v>2348</v>
      </c>
      <c r="D1168">
        <v>610</v>
      </c>
      <c r="E1168" t="s">
        <v>2351</v>
      </c>
      <c r="F1168" t="s">
        <v>2739</v>
      </c>
      <c r="G1168" t="s">
        <v>2744</v>
      </c>
      <c r="H1168" t="s">
        <v>2745</v>
      </c>
      <c r="I1168" t="s">
        <v>2742</v>
      </c>
      <c r="J1168">
        <v>384.76845582134303</v>
      </c>
      <c r="K1168">
        <v>1</v>
      </c>
      <c r="L1168">
        <v>1</v>
      </c>
      <c r="M1168">
        <v>4</v>
      </c>
      <c r="N1168" s="6">
        <v>3231284.12090558</v>
      </c>
      <c r="O1168" s="6">
        <v>1391738.1980753299</v>
      </c>
      <c r="P1168" s="6">
        <v>1169063.48439563</v>
      </c>
      <c r="Q1168" s="6">
        <v>207384.048960324</v>
      </c>
      <c r="R1168" s="6">
        <v>188688.286198177</v>
      </c>
      <c r="S1168" s="6">
        <v>212177.33611264901</v>
      </c>
      <c r="T1168" s="6">
        <v>3917973.98</v>
      </c>
      <c r="U1168" s="6">
        <v>2270184.15853504</v>
      </c>
      <c r="V1168" s="6">
        <v>5370889.8519168198</v>
      </c>
      <c r="W1168" s="6">
        <v>817268.28661821899</v>
      </c>
      <c r="X1168" s="6">
        <v>0</v>
      </c>
      <c r="Y1168" s="6">
        <v>0</v>
      </c>
      <c r="Z1168" s="6">
        <v>0</v>
      </c>
      <c r="AA1168" s="6">
        <v>0</v>
      </c>
      <c r="AB1168" s="6">
        <v>0</v>
      </c>
      <c r="AC1168" s="6">
        <v>156294.145474627</v>
      </c>
      <c r="AD1168" s="6">
        <v>55883.190638021297</v>
      </c>
      <c r="AE1168" s="6">
        <v>0</v>
      </c>
      <c r="AF1168" s="6">
        <v>0</v>
      </c>
      <c r="AG1168" s="6">
        <v>0</v>
      </c>
      <c r="AH1168" s="6">
        <v>0</v>
      </c>
      <c r="AI1168" s="6">
        <v>0</v>
      </c>
      <c r="AJ1168" s="6">
        <v>6400335.4746476896</v>
      </c>
      <c r="AK1168" s="6">
        <v>16634.252049028401</v>
      </c>
      <c r="AL1168" s="6">
        <v>330.98244656580999</v>
      </c>
      <c r="AM1168" s="6">
        <v>93035.839999999997</v>
      </c>
      <c r="AN1168" s="6">
        <v>6451.5722562254696</v>
      </c>
      <c r="AO1168" s="6">
        <v>16634.252049028401</v>
      </c>
      <c r="AP1168" s="6">
        <v>330.98244656580999</v>
      </c>
      <c r="AQ1168" s="6">
        <v>40734.411818744898</v>
      </c>
      <c r="AR1168" s="6">
        <v>16634.252049028401</v>
      </c>
      <c r="AS1168" s="6">
        <v>16634.252049028401</v>
      </c>
      <c r="AT1168" s="6">
        <v>0</v>
      </c>
      <c r="AU1168" t="s">
        <v>2973</v>
      </c>
      <c r="AV1168" t="s">
        <v>2973</v>
      </c>
    </row>
    <row r="1169" spans="1:48" x14ac:dyDescent="0.45">
      <c r="A1169" s="5" t="s">
        <v>2352</v>
      </c>
      <c r="B1169">
        <v>2096</v>
      </c>
      <c r="C1169" t="s">
        <v>2348</v>
      </c>
      <c r="D1169">
        <v>608</v>
      </c>
      <c r="E1169" t="s">
        <v>2353</v>
      </c>
      <c r="F1169" t="s">
        <v>2739</v>
      </c>
      <c r="G1169" t="s">
        <v>2747</v>
      </c>
      <c r="H1169" t="s">
        <v>2745</v>
      </c>
      <c r="I1169" t="s">
        <v>2742</v>
      </c>
      <c r="J1169">
        <v>335.42962895246399</v>
      </c>
      <c r="K1169">
        <v>1</v>
      </c>
      <c r="L1169">
        <v>1</v>
      </c>
      <c r="M1169">
        <v>4</v>
      </c>
      <c r="N1169" s="6">
        <v>2333820.4237078899</v>
      </c>
      <c r="O1169" s="6">
        <v>759107.18580731598</v>
      </c>
      <c r="P1169" s="6">
        <v>1019154.57169072</v>
      </c>
      <c r="Q1169" s="6">
        <v>180791.20972879499</v>
      </c>
      <c r="R1169" s="6">
        <v>164492.80306002701</v>
      </c>
      <c r="S1169" s="6">
        <v>184969.85407097399</v>
      </c>
      <c r="T1169" s="6">
        <v>2478287.56</v>
      </c>
      <c r="U1169" s="6">
        <v>1979078.63399475</v>
      </c>
      <c r="V1169" s="6">
        <v>3723170.6286018798</v>
      </c>
      <c r="W1169" s="6">
        <v>734195.56539286999</v>
      </c>
      <c r="X1169" s="6">
        <v>0</v>
      </c>
      <c r="Y1169" s="6">
        <v>0</v>
      </c>
      <c r="Z1169" s="6">
        <v>0</v>
      </c>
      <c r="AA1169" s="6">
        <v>0</v>
      </c>
      <c r="AB1169" s="6">
        <v>0</v>
      </c>
      <c r="AC1169" s="6">
        <v>136252.56028872399</v>
      </c>
      <c r="AD1169" s="6">
        <v>48717.293782250599</v>
      </c>
      <c r="AE1169" s="6">
        <v>0</v>
      </c>
      <c r="AF1169" s="6">
        <v>0</v>
      </c>
      <c r="AG1169" s="6">
        <v>0</v>
      </c>
      <c r="AH1169" s="6">
        <v>0</v>
      </c>
      <c r="AI1169" s="6">
        <v>0</v>
      </c>
      <c r="AJ1169" s="6">
        <v>4642336.0480657201</v>
      </c>
      <c r="AK1169" s="6">
        <v>13839.970137890299</v>
      </c>
      <c r="AL1169" s="6">
        <v>330.98244656580999</v>
      </c>
      <c r="AM1169" s="6">
        <v>93035.839999999997</v>
      </c>
      <c r="AN1169" s="6">
        <v>6451.5722562254696</v>
      </c>
      <c r="AO1169" s="6">
        <v>16634.252049028401</v>
      </c>
      <c r="AP1169" s="6">
        <v>3753.1860850462999</v>
      </c>
      <c r="AQ1169" s="6">
        <v>20687.885194392002</v>
      </c>
      <c r="AR1169" s="6">
        <v>13839.970137890299</v>
      </c>
      <c r="AS1169" s="6">
        <v>13839.970137890299</v>
      </c>
      <c r="AT1169" s="6">
        <v>0</v>
      </c>
      <c r="AU1169" t="s">
        <v>2973</v>
      </c>
      <c r="AV1169" t="s">
        <v>2973</v>
      </c>
    </row>
    <row r="1170" spans="1:48" x14ac:dyDescent="0.45">
      <c r="A1170" s="5" t="s">
        <v>2354</v>
      </c>
      <c r="B1170">
        <v>2096</v>
      </c>
      <c r="C1170" t="s">
        <v>2348</v>
      </c>
      <c r="D1170">
        <v>2096</v>
      </c>
      <c r="E1170" t="s">
        <v>2348</v>
      </c>
      <c r="F1170" t="s">
        <v>1</v>
      </c>
      <c r="G1170" t="s">
        <v>1</v>
      </c>
      <c r="H1170" t="s">
        <v>2743</v>
      </c>
      <c r="I1170" t="s">
        <v>2742</v>
      </c>
      <c r="J1170">
        <v>1</v>
      </c>
      <c r="K1170">
        <v>0</v>
      </c>
      <c r="L1170">
        <v>0</v>
      </c>
      <c r="M1170">
        <v>4</v>
      </c>
      <c r="N1170" s="6">
        <v>1376.6644143810299</v>
      </c>
      <c r="O1170" s="6">
        <v>455.73200043392399</v>
      </c>
      <c r="P1170" s="6">
        <v>3038.3558389683799</v>
      </c>
      <c r="Q1170" s="6">
        <v>538.98401966874496</v>
      </c>
      <c r="R1170" s="6">
        <v>490.39437444370202</v>
      </c>
      <c r="S1170" s="6">
        <v>551.44160832967896</v>
      </c>
      <c r="T1170" s="6">
        <v>0</v>
      </c>
      <c r="U1170" s="6">
        <v>5900.1306478957804</v>
      </c>
      <c r="V1170" s="6">
        <v>3805.6949309709898</v>
      </c>
      <c r="W1170" s="6">
        <v>2094.4357169247901</v>
      </c>
      <c r="X1170" s="6">
        <v>0</v>
      </c>
      <c r="Y1170" s="6">
        <v>0</v>
      </c>
      <c r="Z1170" s="6">
        <v>0</v>
      </c>
      <c r="AA1170" s="6">
        <v>0</v>
      </c>
      <c r="AB1170" s="6">
        <v>0</v>
      </c>
      <c r="AC1170" s="6">
        <v>406.203115432098</v>
      </c>
      <c r="AD1170" s="6">
        <v>145.23849289758101</v>
      </c>
      <c r="AE1170" s="6">
        <v>0</v>
      </c>
      <c r="AF1170" s="6">
        <v>0</v>
      </c>
      <c r="AG1170" s="6">
        <v>0</v>
      </c>
      <c r="AH1170" s="6">
        <v>0</v>
      </c>
      <c r="AI1170" s="6">
        <v>0</v>
      </c>
      <c r="AJ1170" s="6">
        <v>6451.5722562254596</v>
      </c>
      <c r="AK1170" s="6">
        <v>6451.5722562254696</v>
      </c>
      <c r="AL1170" s="6">
        <v>330.98244656580999</v>
      </c>
      <c r="AM1170" s="6">
        <v>93035.839999999997</v>
      </c>
      <c r="AN1170" s="6">
        <v>6451.5722562254696</v>
      </c>
      <c r="AO1170" s="6">
        <v>16634.252049028401</v>
      </c>
      <c r="AP1170" s="6">
        <v>634.54287297753501</v>
      </c>
      <c r="AQ1170" s="6">
        <v>40331.279999999999</v>
      </c>
      <c r="AR1170" s="6">
        <v>6451.5722562254696</v>
      </c>
      <c r="AS1170" s="6">
        <v>6451.5722562254696</v>
      </c>
      <c r="AT1170" s="6">
        <v>0</v>
      </c>
      <c r="AU1170" t="s">
        <v>2973</v>
      </c>
      <c r="AV1170" t="s">
        <v>2977</v>
      </c>
    </row>
    <row r="1171" spans="1:48" x14ac:dyDescent="0.45">
      <c r="A1171" s="5" t="s">
        <v>2357</v>
      </c>
      <c r="B1171">
        <v>2022</v>
      </c>
      <c r="C1171" t="s">
        <v>2358</v>
      </c>
      <c r="D1171">
        <v>357</v>
      </c>
      <c r="E1171" t="s">
        <v>2359</v>
      </c>
      <c r="F1171" t="s">
        <v>2739</v>
      </c>
      <c r="G1171" t="s">
        <v>2740</v>
      </c>
      <c r="H1171" t="s">
        <v>2741</v>
      </c>
      <c r="I1171" t="s">
        <v>2742</v>
      </c>
      <c r="J1171">
        <v>14.897058823528001</v>
      </c>
      <c r="K1171">
        <v>1</v>
      </c>
      <c r="L1171">
        <v>1</v>
      </c>
      <c r="M1171">
        <v>2</v>
      </c>
      <c r="N1171" s="6">
        <v>178054</v>
      </c>
      <c r="O1171" s="6">
        <v>24083</v>
      </c>
      <c r="P1171" s="6">
        <v>161644</v>
      </c>
      <c r="Q1171" s="6">
        <v>45739</v>
      </c>
      <c r="R1171" s="6">
        <v>12790</v>
      </c>
      <c r="S1171" s="6">
        <v>20382</v>
      </c>
      <c r="T1171" s="6">
        <v>0</v>
      </c>
      <c r="U1171" s="6">
        <v>422310</v>
      </c>
      <c r="V1171" s="6">
        <v>398641</v>
      </c>
      <c r="W1171" s="6">
        <v>23669</v>
      </c>
      <c r="X1171" s="6">
        <v>0</v>
      </c>
      <c r="Y1171" s="6">
        <v>0</v>
      </c>
      <c r="Z1171" s="6">
        <v>0</v>
      </c>
      <c r="AA1171" s="6">
        <v>0</v>
      </c>
      <c r="AB1171" s="6">
        <v>0</v>
      </c>
      <c r="AC1171" s="6">
        <v>20382</v>
      </c>
      <c r="AD1171" s="6">
        <v>0</v>
      </c>
      <c r="AE1171" s="6">
        <v>0</v>
      </c>
      <c r="AF1171" s="6">
        <v>0</v>
      </c>
      <c r="AG1171" s="6">
        <v>0</v>
      </c>
      <c r="AH1171" s="6">
        <v>0</v>
      </c>
      <c r="AI1171" s="6">
        <v>0</v>
      </c>
      <c r="AJ1171" s="6">
        <v>442692</v>
      </c>
      <c r="AK1171" s="6">
        <v>29716.738400792499</v>
      </c>
      <c r="AL1171" s="6">
        <v>330.98244656580999</v>
      </c>
      <c r="AM1171" s="6">
        <v>93035.839999999997</v>
      </c>
      <c r="AN1171" s="6">
        <v>29716.738400792499</v>
      </c>
      <c r="AO1171" s="6">
        <v>29716.738400792499</v>
      </c>
      <c r="AP1171" s="6">
        <v>330.98244656580999</v>
      </c>
      <c r="AQ1171" s="6">
        <v>93035.839999999997</v>
      </c>
      <c r="AR1171" s="6">
        <v>29716.738400792499</v>
      </c>
      <c r="AS1171" s="6">
        <v>29716.738400792499</v>
      </c>
      <c r="AT1171" s="6">
        <v>0</v>
      </c>
      <c r="AU1171" t="s">
        <v>2973</v>
      </c>
      <c r="AV1171" t="s">
        <v>2976</v>
      </c>
    </row>
    <row r="1172" spans="1:48" x14ac:dyDescent="0.45">
      <c r="A1172" s="5" t="s">
        <v>2360</v>
      </c>
      <c r="B1172">
        <v>2087</v>
      </c>
      <c r="C1172" t="s">
        <v>2361</v>
      </c>
      <c r="D1172">
        <v>4555</v>
      </c>
      <c r="E1172" t="s">
        <v>2362</v>
      </c>
      <c r="F1172" t="s">
        <v>3</v>
      </c>
      <c r="G1172" t="s">
        <v>2748</v>
      </c>
      <c r="H1172" t="s">
        <v>2741</v>
      </c>
      <c r="I1172" t="s">
        <v>2742</v>
      </c>
      <c r="J1172">
        <v>147.681445709</v>
      </c>
      <c r="K1172">
        <v>1</v>
      </c>
      <c r="L1172">
        <v>1</v>
      </c>
      <c r="M1172">
        <v>2</v>
      </c>
      <c r="N1172" s="6">
        <v>242527.16296958001</v>
      </c>
      <c r="O1172" s="6">
        <v>331125.25128286798</v>
      </c>
      <c r="P1172" s="6">
        <v>418852.05783268902</v>
      </c>
      <c r="Q1172" s="6">
        <v>71394.436439763798</v>
      </c>
      <c r="R1172" s="6">
        <v>238042.50187667299</v>
      </c>
      <c r="S1172" s="6">
        <v>82878.758589987003</v>
      </c>
      <c r="T1172" s="6">
        <v>0</v>
      </c>
      <c r="U1172" s="6">
        <v>1301941.4104015699</v>
      </c>
      <c r="V1172" s="6">
        <v>875293.68036602798</v>
      </c>
      <c r="W1172" s="6">
        <v>305691.75491312402</v>
      </c>
      <c r="X1172" s="6">
        <v>0</v>
      </c>
      <c r="Y1172" s="6">
        <v>0</v>
      </c>
      <c r="Z1172" s="6">
        <v>0</v>
      </c>
      <c r="AA1172" s="6">
        <v>120272.856577196</v>
      </c>
      <c r="AB1172" s="6">
        <v>683.118545225758</v>
      </c>
      <c r="AC1172" s="6">
        <v>63149.033435815101</v>
      </c>
      <c r="AD1172" s="6">
        <v>19729.7251541718</v>
      </c>
      <c r="AE1172" s="6">
        <v>0</v>
      </c>
      <c r="AF1172" s="6">
        <v>0</v>
      </c>
      <c r="AG1172" s="6">
        <v>0</v>
      </c>
      <c r="AH1172" s="6">
        <v>0</v>
      </c>
      <c r="AI1172" s="6">
        <v>0</v>
      </c>
      <c r="AJ1172" s="6">
        <v>1384820.1689915601</v>
      </c>
      <c r="AK1172" s="6">
        <v>9377.0761949357493</v>
      </c>
      <c r="AL1172" s="6">
        <v>330.98244656580999</v>
      </c>
      <c r="AM1172" s="6">
        <v>93035.839999999997</v>
      </c>
      <c r="AN1172" s="6">
        <v>9377.0761949357402</v>
      </c>
      <c r="AO1172" s="6">
        <v>17324.770186446502</v>
      </c>
      <c r="AP1172" s="6">
        <v>330.98244656580999</v>
      </c>
      <c r="AQ1172" s="6">
        <v>56162.493707719797</v>
      </c>
      <c r="AR1172" s="6">
        <v>9377.0761949357493</v>
      </c>
      <c r="AS1172" s="6">
        <v>9377.0761949357493</v>
      </c>
      <c r="AT1172" s="6">
        <v>0</v>
      </c>
      <c r="AU1172" t="s">
        <v>2973</v>
      </c>
      <c r="AV1172" t="s">
        <v>2976</v>
      </c>
    </row>
    <row r="1173" spans="1:48" x14ac:dyDescent="0.45">
      <c r="A1173" s="5" t="s">
        <v>2363</v>
      </c>
      <c r="B1173">
        <v>2087</v>
      </c>
      <c r="C1173" t="s">
        <v>2361</v>
      </c>
      <c r="D1173">
        <v>1791</v>
      </c>
      <c r="E1173" t="s">
        <v>2364</v>
      </c>
      <c r="F1173" t="s">
        <v>2750</v>
      </c>
      <c r="G1173" t="s">
        <v>2744</v>
      </c>
      <c r="H1173" t="s">
        <v>2745</v>
      </c>
      <c r="I1173" t="s">
        <v>2742</v>
      </c>
      <c r="J1173">
        <v>78.412659999802003</v>
      </c>
      <c r="K1173">
        <v>1</v>
      </c>
      <c r="L1173">
        <v>2</v>
      </c>
      <c r="M1173">
        <v>2</v>
      </c>
      <c r="N1173" s="6">
        <v>642728.73194579501</v>
      </c>
      <c r="O1173" s="6">
        <v>175813.63468877599</v>
      </c>
      <c r="P1173" s="6">
        <v>228753.16332099499</v>
      </c>
      <c r="Q1173" s="6">
        <v>37907.454410080303</v>
      </c>
      <c r="R1173" s="6">
        <v>126390.594807268</v>
      </c>
      <c r="S1173" s="6">
        <v>44005.148292818099</v>
      </c>
      <c r="T1173" s="6">
        <v>520317.24</v>
      </c>
      <c r="U1173" s="6">
        <v>691276.33917291497</v>
      </c>
      <c r="V1173" s="6">
        <v>899174.57054131897</v>
      </c>
      <c r="W1173" s="6">
        <v>248196.45374878601</v>
      </c>
      <c r="X1173" s="6">
        <v>0</v>
      </c>
      <c r="Y1173" s="6">
        <v>0</v>
      </c>
      <c r="Z1173" s="6">
        <v>0</v>
      </c>
      <c r="AA1173" s="6">
        <v>63859.847557125198</v>
      </c>
      <c r="AB1173" s="6">
        <v>362.70732568459903</v>
      </c>
      <c r="AC1173" s="6">
        <v>33529.490887269501</v>
      </c>
      <c r="AD1173" s="6">
        <v>10475.6574055486</v>
      </c>
      <c r="AE1173" s="6">
        <v>0</v>
      </c>
      <c r="AF1173" s="6">
        <v>0</v>
      </c>
      <c r="AG1173" s="6">
        <v>0</v>
      </c>
      <c r="AH1173" s="6">
        <v>0</v>
      </c>
      <c r="AI1173" s="6">
        <v>0</v>
      </c>
      <c r="AJ1173" s="6">
        <v>1255598.7274657399</v>
      </c>
      <c r="AK1173" s="6">
        <v>16012.704166252001</v>
      </c>
      <c r="AL1173" s="6">
        <v>330.98244656580999</v>
      </c>
      <c r="AM1173" s="6">
        <v>93035.839999999997</v>
      </c>
      <c r="AN1173" s="6">
        <v>9377.0761949357402</v>
      </c>
      <c r="AO1173" s="6">
        <v>17324.770186446502</v>
      </c>
      <c r="AP1173" s="6">
        <v>330.98244656580999</v>
      </c>
      <c r="AQ1173" s="6">
        <v>40734.411818744898</v>
      </c>
      <c r="AR1173" s="6">
        <v>9377.0761949357402</v>
      </c>
      <c r="AS1173" s="6">
        <v>16012.704166252001</v>
      </c>
      <c r="AT1173" s="6">
        <v>0</v>
      </c>
      <c r="AU1173" t="s">
        <v>2973</v>
      </c>
      <c r="AV1173" t="s">
        <v>2973</v>
      </c>
    </row>
    <row r="1174" spans="1:48" x14ac:dyDescent="0.45">
      <c r="A1174" s="5" t="s">
        <v>2365</v>
      </c>
      <c r="B1174">
        <v>2087</v>
      </c>
      <c r="C1174" t="s">
        <v>2361</v>
      </c>
      <c r="D1174">
        <v>573</v>
      </c>
      <c r="E1174" t="s">
        <v>2366</v>
      </c>
      <c r="F1174" t="s">
        <v>2739</v>
      </c>
      <c r="G1174" t="s">
        <v>2740</v>
      </c>
      <c r="H1174" t="s">
        <v>2741</v>
      </c>
      <c r="I1174" t="s">
        <v>2742</v>
      </c>
      <c r="J1174">
        <v>464.28740863773601</v>
      </c>
      <c r="K1174">
        <v>2</v>
      </c>
      <c r="L1174">
        <v>1</v>
      </c>
      <c r="M1174">
        <v>2</v>
      </c>
      <c r="N1174" s="6">
        <v>3236291.44597799</v>
      </c>
      <c r="O1174" s="6">
        <v>1041006.09331503</v>
      </c>
      <c r="P1174" s="6">
        <v>1316805.47681604</v>
      </c>
      <c r="Q1174" s="6">
        <v>224452.96175584101</v>
      </c>
      <c r="R1174" s="6">
        <v>748368.46166673605</v>
      </c>
      <c r="S1174" s="6">
        <v>260557.87761368399</v>
      </c>
      <c r="T1174" s="6">
        <v>2473823.91</v>
      </c>
      <c r="U1174" s="6">
        <v>4093100.52953164</v>
      </c>
      <c r="V1174" s="6">
        <v>5032925.0664041601</v>
      </c>
      <c r="W1174" s="6">
        <v>1153732.67151693</v>
      </c>
      <c r="X1174" s="6">
        <v>0</v>
      </c>
      <c r="Y1174" s="6">
        <v>0</v>
      </c>
      <c r="Z1174" s="6">
        <v>0</v>
      </c>
      <c r="AA1174" s="6">
        <v>378119.08355581103</v>
      </c>
      <c r="AB1174" s="6">
        <v>2147.6180547433401</v>
      </c>
      <c r="AC1174" s="6">
        <v>198530.702019702</v>
      </c>
      <c r="AD1174" s="6">
        <v>62027.175593981498</v>
      </c>
      <c r="AE1174" s="6">
        <v>0</v>
      </c>
      <c r="AF1174" s="6">
        <v>0</v>
      </c>
      <c r="AG1174" s="6">
        <v>0</v>
      </c>
      <c r="AH1174" s="6">
        <v>0</v>
      </c>
      <c r="AI1174" s="6">
        <v>0</v>
      </c>
      <c r="AJ1174" s="6">
        <v>6827482.3171453197</v>
      </c>
      <c r="AK1174" s="6">
        <v>14705.2928641287</v>
      </c>
      <c r="AL1174" s="6">
        <v>330.98244656580999</v>
      </c>
      <c r="AM1174" s="6">
        <v>93035.839999999997</v>
      </c>
      <c r="AN1174" s="6">
        <v>9377.0761949357402</v>
      </c>
      <c r="AO1174" s="6">
        <v>17324.770186446502</v>
      </c>
      <c r="AP1174" s="6">
        <v>330.98244656580999</v>
      </c>
      <c r="AQ1174" s="6">
        <v>93035.839999999997</v>
      </c>
      <c r="AR1174" s="6">
        <v>14223.924990371999</v>
      </c>
      <c r="AS1174" s="6">
        <v>17324.770186446502</v>
      </c>
      <c r="AT1174" s="6">
        <v>0</v>
      </c>
      <c r="AU1174" t="s">
        <v>2973</v>
      </c>
      <c r="AV1174" t="s">
        <v>2973</v>
      </c>
    </row>
    <row r="1175" spans="1:48" x14ac:dyDescent="0.45">
      <c r="A1175" s="5" t="s">
        <v>2367</v>
      </c>
      <c r="B1175">
        <v>2087</v>
      </c>
      <c r="C1175" t="s">
        <v>2361</v>
      </c>
      <c r="D1175">
        <v>4395</v>
      </c>
      <c r="E1175" t="s">
        <v>2368</v>
      </c>
      <c r="F1175" t="s">
        <v>3</v>
      </c>
      <c r="G1175" t="s">
        <v>2744</v>
      </c>
      <c r="H1175" t="s">
        <v>2745</v>
      </c>
      <c r="I1175" t="s">
        <v>2742</v>
      </c>
      <c r="J1175">
        <v>54.290251959308002</v>
      </c>
      <c r="K1175">
        <v>1</v>
      </c>
      <c r="L1175">
        <v>1</v>
      </c>
      <c r="M1175">
        <v>2</v>
      </c>
      <c r="N1175" s="6">
        <v>89157.176931619295</v>
      </c>
      <c r="O1175" s="6">
        <v>121727.365519286</v>
      </c>
      <c r="P1175" s="6">
        <v>153977.25587152399</v>
      </c>
      <c r="Q1175" s="6">
        <v>26245.828812138701</v>
      </c>
      <c r="R1175" s="6">
        <v>87508.538001270601</v>
      </c>
      <c r="S1175" s="6">
        <v>30467.6641288516</v>
      </c>
      <c r="T1175" s="6">
        <v>0</v>
      </c>
      <c r="U1175" s="6">
        <v>478616.16513583902</v>
      </c>
      <c r="V1175" s="6">
        <v>321773.08542264398</v>
      </c>
      <c r="W1175" s="6">
        <v>112377.572662841</v>
      </c>
      <c r="X1175" s="6">
        <v>0</v>
      </c>
      <c r="Y1175" s="6">
        <v>0</v>
      </c>
      <c r="Z1175" s="6">
        <v>0</v>
      </c>
      <c r="AA1175" s="6">
        <v>44214.380866152002</v>
      </c>
      <c r="AB1175" s="6">
        <v>251.126184202313</v>
      </c>
      <c r="AC1175" s="6">
        <v>23214.676154868099</v>
      </c>
      <c r="AD1175" s="6">
        <v>7252.9879739835696</v>
      </c>
      <c r="AE1175" s="6">
        <v>0</v>
      </c>
      <c r="AF1175" s="6">
        <v>0</v>
      </c>
      <c r="AG1175" s="6">
        <v>0</v>
      </c>
      <c r="AH1175" s="6">
        <v>0</v>
      </c>
      <c r="AI1175" s="6">
        <v>0</v>
      </c>
      <c r="AJ1175" s="6">
        <v>509083.82926468999</v>
      </c>
      <c r="AK1175" s="6">
        <v>9377.0761949357402</v>
      </c>
      <c r="AL1175" s="6">
        <v>330.98244656580999</v>
      </c>
      <c r="AM1175" s="6">
        <v>93035.839999999997</v>
      </c>
      <c r="AN1175" s="6">
        <v>9377.0761949357402</v>
      </c>
      <c r="AO1175" s="6">
        <v>17324.770186446502</v>
      </c>
      <c r="AP1175" s="6">
        <v>330.98244656580999</v>
      </c>
      <c r="AQ1175" s="6">
        <v>40734.411818744898</v>
      </c>
      <c r="AR1175" s="6">
        <v>9377.0761949357402</v>
      </c>
      <c r="AS1175" s="6">
        <v>16012.704166252001</v>
      </c>
      <c r="AT1175" s="6">
        <v>0</v>
      </c>
      <c r="AU1175" t="s">
        <v>2973</v>
      </c>
      <c r="AV1175" t="s">
        <v>2976</v>
      </c>
    </row>
    <row r="1176" spans="1:48" x14ac:dyDescent="0.45">
      <c r="A1176" s="5" t="s">
        <v>2369</v>
      </c>
      <c r="B1176">
        <v>2087</v>
      </c>
      <c r="C1176" t="s">
        <v>2361</v>
      </c>
      <c r="D1176">
        <v>580</v>
      </c>
      <c r="E1176" t="s">
        <v>2370</v>
      </c>
      <c r="F1176" t="s">
        <v>2739</v>
      </c>
      <c r="G1176" t="s">
        <v>2744</v>
      </c>
      <c r="H1176" t="s">
        <v>2741</v>
      </c>
      <c r="I1176" t="s">
        <v>2742</v>
      </c>
      <c r="J1176">
        <v>747.49221114044997</v>
      </c>
      <c r="K1176">
        <v>1</v>
      </c>
      <c r="L1176">
        <v>1</v>
      </c>
      <c r="M1176">
        <v>2</v>
      </c>
      <c r="N1176" s="6">
        <v>5461503.1319567496</v>
      </c>
      <c r="O1176" s="6">
        <v>1749815.43997721</v>
      </c>
      <c r="P1176" s="6">
        <v>2120026.9901678199</v>
      </c>
      <c r="Q1176" s="6">
        <v>361364.18424994498</v>
      </c>
      <c r="R1176" s="6">
        <v>1204856.2716796</v>
      </c>
      <c r="S1176" s="6">
        <v>419492.28095367597</v>
      </c>
      <c r="T1176" s="6">
        <v>4307766.88</v>
      </c>
      <c r="U1176" s="6">
        <v>6589799.13803133</v>
      </c>
      <c r="V1176" s="6">
        <v>8300112.2171514602</v>
      </c>
      <c r="W1176" s="6">
        <v>1985233.02486536</v>
      </c>
      <c r="X1176" s="6">
        <v>0</v>
      </c>
      <c r="Y1176" s="6">
        <v>0</v>
      </c>
      <c r="Z1176" s="6">
        <v>0</v>
      </c>
      <c r="AA1176" s="6">
        <v>608763.15959295502</v>
      </c>
      <c r="AB1176" s="6">
        <v>3457.6164215511199</v>
      </c>
      <c r="AC1176" s="6">
        <v>319629.93325059902</v>
      </c>
      <c r="AD1176" s="6">
        <v>99862.347703077103</v>
      </c>
      <c r="AE1176" s="6">
        <v>0</v>
      </c>
      <c r="AF1176" s="6">
        <v>0</v>
      </c>
      <c r="AG1176" s="6">
        <v>0</v>
      </c>
      <c r="AH1176" s="6">
        <v>0</v>
      </c>
      <c r="AI1176" s="6">
        <v>0</v>
      </c>
      <c r="AJ1176" s="6">
        <v>11317058.298985001</v>
      </c>
      <c r="AK1176" s="6">
        <v>15140.0350803904</v>
      </c>
      <c r="AL1176" s="6">
        <v>330.98244656580999</v>
      </c>
      <c r="AM1176" s="6">
        <v>93035.839999999997</v>
      </c>
      <c r="AN1176" s="6">
        <v>9377.0761949357402</v>
      </c>
      <c r="AO1176" s="6">
        <v>17324.770186446502</v>
      </c>
      <c r="AP1176" s="6">
        <v>330.98244656580999</v>
      </c>
      <c r="AQ1176" s="6">
        <v>40734.411818744898</v>
      </c>
      <c r="AR1176" s="6">
        <v>9377.0761949357402</v>
      </c>
      <c r="AS1176" s="6">
        <v>16012.704166252001</v>
      </c>
      <c r="AT1176" s="6">
        <v>0</v>
      </c>
      <c r="AU1176" t="s">
        <v>2973</v>
      </c>
      <c r="AV1176" t="s">
        <v>2973</v>
      </c>
    </row>
    <row r="1177" spans="1:48" x14ac:dyDescent="0.45">
      <c r="A1177" s="5" t="s">
        <v>2371</v>
      </c>
      <c r="B1177">
        <v>2087</v>
      </c>
      <c r="C1177" t="s">
        <v>2361</v>
      </c>
      <c r="D1177">
        <v>574</v>
      </c>
      <c r="E1177" t="s">
        <v>2372</v>
      </c>
      <c r="F1177" t="s">
        <v>2739</v>
      </c>
      <c r="G1177" t="s">
        <v>2740</v>
      </c>
      <c r="H1177" t="s">
        <v>2741</v>
      </c>
      <c r="I1177" t="s">
        <v>2742</v>
      </c>
      <c r="J1177">
        <v>76.972265244917097</v>
      </c>
      <c r="K1177">
        <v>1</v>
      </c>
      <c r="L1177">
        <v>2</v>
      </c>
      <c r="M1177">
        <v>2</v>
      </c>
      <c r="N1177" s="6">
        <v>738158.30990835803</v>
      </c>
      <c r="O1177" s="6">
        <v>172584.040931294</v>
      </c>
      <c r="P1177" s="6">
        <v>218307.66579441901</v>
      </c>
      <c r="Q1177" s="6">
        <v>37211.116618409302</v>
      </c>
      <c r="R1177" s="6">
        <v>124068.873419068</v>
      </c>
      <c r="S1177" s="6">
        <v>43196.799426843303</v>
      </c>
      <c r="T1177" s="6">
        <v>611752.01</v>
      </c>
      <c r="U1177" s="6">
        <v>678577.99667154998</v>
      </c>
      <c r="V1177" s="6">
        <v>861795.66979884403</v>
      </c>
      <c r="W1177" s="6">
        <v>365491.51280375401</v>
      </c>
      <c r="X1177" s="6">
        <v>0</v>
      </c>
      <c r="Y1177" s="6">
        <v>0</v>
      </c>
      <c r="Z1177" s="6">
        <v>0</v>
      </c>
      <c r="AA1177" s="6">
        <v>62686.779464941297</v>
      </c>
      <c r="AB1177" s="6">
        <v>356.04460400833199</v>
      </c>
      <c r="AC1177" s="6">
        <v>32913.5737278706</v>
      </c>
      <c r="AD1177" s="6">
        <v>10283.225698972699</v>
      </c>
      <c r="AE1177" s="6">
        <v>0</v>
      </c>
      <c r="AF1177" s="6">
        <v>0</v>
      </c>
      <c r="AG1177" s="6">
        <v>0</v>
      </c>
      <c r="AH1177" s="6">
        <v>0</v>
      </c>
      <c r="AI1177" s="6">
        <v>0</v>
      </c>
      <c r="AJ1177" s="6">
        <v>1333526.8060983899</v>
      </c>
      <c r="AK1177" s="6">
        <v>17324.770186446502</v>
      </c>
      <c r="AL1177" s="6">
        <v>330.98244656580999</v>
      </c>
      <c r="AM1177" s="6">
        <v>93035.839999999997</v>
      </c>
      <c r="AN1177" s="6">
        <v>9377.0761949357402</v>
      </c>
      <c r="AO1177" s="6">
        <v>17324.770186446502</v>
      </c>
      <c r="AP1177" s="6">
        <v>330.98244656580999</v>
      </c>
      <c r="AQ1177" s="6">
        <v>93035.839999999997</v>
      </c>
      <c r="AR1177" s="6">
        <v>14223.924990371999</v>
      </c>
      <c r="AS1177" s="6">
        <v>17324.770186446502</v>
      </c>
      <c r="AT1177" s="6">
        <v>0</v>
      </c>
      <c r="AU1177" t="s">
        <v>2973</v>
      </c>
      <c r="AV1177" t="s">
        <v>2973</v>
      </c>
    </row>
    <row r="1178" spans="1:48" x14ac:dyDescent="0.45">
      <c r="A1178" s="5" t="s">
        <v>2373</v>
      </c>
      <c r="B1178">
        <v>2087</v>
      </c>
      <c r="C1178" t="s">
        <v>2361</v>
      </c>
      <c r="D1178">
        <v>576</v>
      </c>
      <c r="E1178" t="s">
        <v>2374</v>
      </c>
      <c r="F1178" t="s">
        <v>2739</v>
      </c>
      <c r="G1178" t="s">
        <v>2740</v>
      </c>
      <c r="H1178" t="s">
        <v>2741</v>
      </c>
      <c r="I1178" t="s">
        <v>2742</v>
      </c>
      <c r="J1178">
        <v>441.75984239823799</v>
      </c>
      <c r="K1178">
        <v>1</v>
      </c>
      <c r="L1178">
        <v>1</v>
      </c>
      <c r="M1178">
        <v>2</v>
      </c>
      <c r="N1178" s="6">
        <v>2866615.2108481899</v>
      </c>
      <c r="O1178" s="6">
        <v>990495.71270470205</v>
      </c>
      <c r="P1178" s="6">
        <v>1252913.10745254</v>
      </c>
      <c r="Q1178" s="6">
        <v>213562.33911664001</v>
      </c>
      <c r="R1178" s="6">
        <v>712057.07398294297</v>
      </c>
      <c r="S1178" s="6">
        <v>247915.41792607901</v>
      </c>
      <c r="T1178" s="6">
        <v>2141143.16</v>
      </c>
      <c r="U1178" s="6">
        <v>3894500.2841050099</v>
      </c>
      <c r="V1178" s="6">
        <v>4736913.0847691502</v>
      </c>
      <c r="W1178" s="6">
        <v>936914.47751888598</v>
      </c>
      <c r="X1178" s="6">
        <v>0</v>
      </c>
      <c r="Y1178" s="6">
        <v>0</v>
      </c>
      <c r="Z1178" s="6">
        <v>0</v>
      </c>
      <c r="AA1178" s="6">
        <v>359772.46776837303</v>
      </c>
      <c r="AB1178" s="6">
        <v>2043.41404859266</v>
      </c>
      <c r="AC1178" s="6">
        <v>188897.84647135701</v>
      </c>
      <c r="AD1178" s="6">
        <v>59017.571454721598</v>
      </c>
      <c r="AE1178" s="6">
        <v>0</v>
      </c>
      <c r="AF1178" s="6">
        <v>0</v>
      </c>
      <c r="AG1178" s="6">
        <v>0</v>
      </c>
      <c r="AH1178" s="6">
        <v>0</v>
      </c>
      <c r="AI1178" s="6">
        <v>0</v>
      </c>
      <c r="AJ1178" s="6">
        <v>6283558.8620310798</v>
      </c>
      <c r="AK1178" s="6">
        <v>14223.924990371999</v>
      </c>
      <c r="AL1178" s="6">
        <v>330.98244656580999</v>
      </c>
      <c r="AM1178" s="6">
        <v>93035.839999999997</v>
      </c>
      <c r="AN1178" s="6">
        <v>9377.0761949357402</v>
      </c>
      <c r="AO1178" s="6">
        <v>17324.770186446502</v>
      </c>
      <c r="AP1178" s="6">
        <v>330.98244656580999</v>
      </c>
      <c r="AQ1178" s="6">
        <v>93035.839999999997</v>
      </c>
      <c r="AR1178" s="6">
        <v>14223.924990371999</v>
      </c>
      <c r="AS1178" s="6">
        <v>17324.770186446502</v>
      </c>
      <c r="AT1178" s="6">
        <v>0</v>
      </c>
      <c r="AU1178" t="s">
        <v>2973</v>
      </c>
      <c r="AV1178" t="s">
        <v>2973</v>
      </c>
    </row>
    <row r="1179" spans="1:48" x14ac:dyDescent="0.45">
      <c r="A1179" s="5" t="s">
        <v>2375</v>
      </c>
      <c r="B1179">
        <v>2087</v>
      </c>
      <c r="C1179" t="s">
        <v>2361</v>
      </c>
      <c r="D1179">
        <v>577</v>
      </c>
      <c r="E1179" t="s">
        <v>2376</v>
      </c>
      <c r="F1179" t="s">
        <v>2739</v>
      </c>
      <c r="G1179" t="s">
        <v>2740</v>
      </c>
      <c r="H1179" t="s">
        <v>2741</v>
      </c>
      <c r="I1179" t="s">
        <v>2742</v>
      </c>
      <c r="J1179">
        <v>81.717985136246995</v>
      </c>
      <c r="K1179">
        <v>1</v>
      </c>
      <c r="L1179">
        <v>2</v>
      </c>
      <c r="M1179">
        <v>2</v>
      </c>
      <c r="N1179" s="6">
        <v>645005.79191712895</v>
      </c>
      <c r="O1179" s="6">
        <v>183224.698489801</v>
      </c>
      <c r="P1179" s="6">
        <v>231767.41040104901</v>
      </c>
      <c r="Q1179" s="6">
        <v>39505.365537194302</v>
      </c>
      <c r="R1179" s="6">
        <v>131718.33155319301</v>
      </c>
      <c r="S1179" s="6">
        <v>45860.095220847499</v>
      </c>
      <c r="T1179" s="6">
        <v>510805.92</v>
      </c>
      <c r="U1179" s="6">
        <v>720415.67789836798</v>
      </c>
      <c r="V1179" s="6">
        <v>992320.353726245</v>
      </c>
      <c r="W1179" s="6">
        <v>171971.518980572</v>
      </c>
      <c r="X1179" s="6">
        <v>0</v>
      </c>
      <c r="Y1179" s="6">
        <v>0</v>
      </c>
      <c r="Z1179" s="6">
        <v>0</v>
      </c>
      <c r="AA1179" s="6">
        <v>66551.728681176406</v>
      </c>
      <c r="AB1179" s="6">
        <v>377.99651037443198</v>
      </c>
      <c r="AC1179" s="6">
        <v>34942.857925732103</v>
      </c>
      <c r="AD1179" s="6">
        <v>10917.237295115399</v>
      </c>
      <c r="AE1179" s="6">
        <v>0</v>
      </c>
      <c r="AF1179" s="6">
        <v>0</v>
      </c>
      <c r="AG1179" s="6">
        <v>0</v>
      </c>
      <c r="AH1179" s="6">
        <v>0</v>
      </c>
      <c r="AI1179" s="6">
        <v>0</v>
      </c>
      <c r="AJ1179" s="6">
        <v>1277081.69311922</v>
      </c>
      <c r="AK1179" s="6">
        <v>15627.9146015404</v>
      </c>
      <c r="AL1179" s="6">
        <v>330.98244656580999</v>
      </c>
      <c r="AM1179" s="6">
        <v>93035.839999999997</v>
      </c>
      <c r="AN1179" s="6">
        <v>9377.0761949357402</v>
      </c>
      <c r="AO1179" s="6">
        <v>17324.770186446502</v>
      </c>
      <c r="AP1179" s="6">
        <v>330.98244656580999</v>
      </c>
      <c r="AQ1179" s="6">
        <v>93035.839999999997</v>
      </c>
      <c r="AR1179" s="6">
        <v>14223.924990371999</v>
      </c>
      <c r="AS1179" s="6">
        <v>17324.770186446502</v>
      </c>
      <c r="AT1179" s="6">
        <v>0</v>
      </c>
      <c r="AU1179" t="s">
        <v>2973</v>
      </c>
      <c r="AV1179" t="s">
        <v>2973</v>
      </c>
    </row>
    <row r="1180" spans="1:48" x14ac:dyDescent="0.45">
      <c r="A1180" s="5" t="s">
        <v>2377</v>
      </c>
      <c r="B1180">
        <v>2087</v>
      </c>
      <c r="C1180" t="s">
        <v>2361</v>
      </c>
      <c r="D1180">
        <v>579</v>
      </c>
      <c r="E1180" t="s">
        <v>1676</v>
      </c>
      <c r="F1180" t="s">
        <v>2739</v>
      </c>
      <c r="G1180" t="s">
        <v>2747</v>
      </c>
      <c r="H1180" t="s">
        <v>2741</v>
      </c>
      <c r="I1180" t="s">
        <v>2742</v>
      </c>
      <c r="J1180">
        <v>577.84343563643904</v>
      </c>
      <c r="K1180">
        <v>1</v>
      </c>
      <c r="L1180">
        <v>1</v>
      </c>
      <c r="M1180">
        <v>2</v>
      </c>
      <c r="N1180" s="6">
        <v>3355708.91194895</v>
      </c>
      <c r="O1180" s="6">
        <v>1313127.98715123</v>
      </c>
      <c r="P1180" s="6">
        <v>1638871.4977665099</v>
      </c>
      <c r="Q1180" s="6">
        <v>279349.96329174098</v>
      </c>
      <c r="R1180" s="6">
        <v>931405.407439937</v>
      </c>
      <c r="S1180" s="6">
        <v>324285.46710795403</v>
      </c>
      <c r="T1180" s="6">
        <v>2424267.31</v>
      </c>
      <c r="U1180" s="6">
        <v>5094196.4575983798</v>
      </c>
      <c r="V1180" s="6">
        <v>5777165.9525051201</v>
      </c>
      <c r="W1180" s="6">
        <v>1268024.98186804</v>
      </c>
      <c r="X1180" s="6">
        <v>0</v>
      </c>
      <c r="Y1180" s="6">
        <v>0</v>
      </c>
      <c r="Z1180" s="6">
        <v>0</v>
      </c>
      <c r="AA1180" s="6">
        <v>470599.94791302399</v>
      </c>
      <c r="AB1180" s="6">
        <v>2672.8853122011501</v>
      </c>
      <c r="AC1180" s="6">
        <v>247087.60306676701</v>
      </c>
      <c r="AD1180" s="6">
        <v>77197.864041186898</v>
      </c>
      <c r="AE1180" s="6">
        <v>0</v>
      </c>
      <c r="AF1180" s="6">
        <v>0</v>
      </c>
      <c r="AG1180" s="6">
        <v>0</v>
      </c>
      <c r="AH1180" s="6">
        <v>0</v>
      </c>
      <c r="AI1180" s="6">
        <v>0</v>
      </c>
      <c r="AJ1180" s="6">
        <v>7842749.2347063404</v>
      </c>
      <c r="AK1180" s="6">
        <v>13572.446706205599</v>
      </c>
      <c r="AL1180" s="6">
        <v>330.98244656580999</v>
      </c>
      <c r="AM1180" s="6">
        <v>93035.839999999997</v>
      </c>
      <c r="AN1180" s="6">
        <v>9377.0761949357402</v>
      </c>
      <c r="AO1180" s="6">
        <v>17324.770186446502</v>
      </c>
      <c r="AP1180" s="6">
        <v>3753.1860850462999</v>
      </c>
      <c r="AQ1180" s="6">
        <v>20687.885194392002</v>
      </c>
      <c r="AR1180" s="6">
        <v>13572.446706205599</v>
      </c>
      <c r="AS1180" s="6">
        <v>13572.446706205599</v>
      </c>
      <c r="AT1180" s="6">
        <v>0</v>
      </c>
      <c r="AU1180" t="s">
        <v>2973</v>
      </c>
      <c r="AV1180" t="s">
        <v>2973</v>
      </c>
    </row>
    <row r="1181" spans="1:48" x14ac:dyDescent="0.45">
      <c r="A1181" s="5" t="s">
        <v>2378</v>
      </c>
      <c r="B1181">
        <v>2087</v>
      </c>
      <c r="C1181" t="s">
        <v>2361</v>
      </c>
      <c r="D1181">
        <v>578</v>
      </c>
      <c r="E1181" t="s">
        <v>2379</v>
      </c>
      <c r="F1181" t="s">
        <v>2739</v>
      </c>
      <c r="G1181" t="s">
        <v>2740</v>
      </c>
      <c r="H1181" t="s">
        <v>2741</v>
      </c>
      <c r="I1181" t="s">
        <v>2742</v>
      </c>
      <c r="J1181">
        <v>85.737142857134998</v>
      </c>
      <c r="K1181">
        <v>1</v>
      </c>
      <c r="L1181">
        <v>2</v>
      </c>
      <c r="M1181">
        <v>2</v>
      </c>
      <c r="N1181" s="6">
        <v>648677.65044186602</v>
      </c>
      <c r="O1181" s="6">
        <v>192236.28829301099</v>
      </c>
      <c r="P1181" s="6">
        <v>243166.48950720299</v>
      </c>
      <c r="Q1181" s="6">
        <v>41448.368593994899</v>
      </c>
      <c r="R1181" s="6">
        <v>138196.66980837501</v>
      </c>
      <c r="S1181" s="6">
        <v>48115.644662995503</v>
      </c>
      <c r="T1181" s="6">
        <v>507877.39</v>
      </c>
      <c r="U1181" s="6">
        <v>755848.07664445101</v>
      </c>
      <c r="V1181" s="6">
        <v>1007753.21376838</v>
      </c>
      <c r="W1181" s="6">
        <v>185750.70494425201</v>
      </c>
      <c r="X1181" s="6">
        <v>0</v>
      </c>
      <c r="Y1181" s="6">
        <v>0</v>
      </c>
      <c r="Z1181" s="6">
        <v>0</v>
      </c>
      <c r="AA1181" s="6">
        <v>69824.960317044897</v>
      </c>
      <c r="AB1181" s="6">
        <v>396.587614775833</v>
      </c>
      <c r="AC1181" s="6">
        <v>36661.461939131899</v>
      </c>
      <c r="AD1181" s="6">
        <v>11454.1827238637</v>
      </c>
      <c r="AE1181" s="6">
        <v>0</v>
      </c>
      <c r="AF1181" s="6">
        <v>0</v>
      </c>
      <c r="AG1181" s="6">
        <v>0</v>
      </c>
      <c r="AH1181" s="6">
        <v>0</v>
      </c>
      <c r="AI1181" s="6">
        <v>0</v>
      </c>
      <c r="AJ1181" s="6">
        <v>1311841.1113074501</v>
      </c>
      <c r="AK1181" s="6">
        <v>15300.732769849699</v>
      </c>
      <c r="AL1181" s="6">
        <v>330.98244656580999</v>
      </c>
      <c r="AM1181" s="6">
        <v>93035.839999999997</v>
      </c>
      <c r="AN1181" s="6">
        <v>9377.0761949357402</v>
      </c>
      <c r="AO1181" s="6">
        <v>17324.770186446502</v>
      </c>
      <c r="AP1181" s="6">
        <v>330.98244656580999</v>
      </c>
      <c r="AQ1181" s="6">
        <v>93035.839999999997</v>
      </c>
      <c r="AR1181" s="6">
        <v>14223.924990371999</v>
      </c>
      <c r="AS1181" s="6">
        <v>17324.770186446502</v>
      </c>
      <c r="AT1181" s="6">
        <v>0</v>
      </c>
      <c r="AU1181" t="s">
        <v>2973</v>
      </c>
      <c r="AV1181" t="s">
        <v>2973</v>
      </c>
    </row>
    <row r="1182" spans="1:48" x14ac:dyDescent="0.45">
      <c r="A1182" s="5" t="s">
        <v>2380</v>
      </c>
      <c r="B1182">
        <v>2087</v>
      </c>
      <c r="C1182" t="s">
        <v>2361</v>
      </c>
      <c r="D1182">
        <v>2087</v>
      </c>
      <c r="E1182" t="s">
        <v>2361</v>
      </c>
      <c r="F1182" t="s">
        <v>1</v>
      </c>
      <c r="G1182" t="s">
        <v>1</v>
      </c>
      <c r="H1182" t="s">
        <v>2743</v>
      </c>
      <c r="I1182" t="s">
        <v>2742</v>
      </c>
      <c r="J1182">
        <v>14.2370860713591</v>
      </c>
      <c r="K1182">
        <v>1</v>
      </c>
      <c r="L1182">
        <v>1</v>
      </c>
      <c r="M1182">
        <v>2</v>
      </c>
      <c r="N1182" s="6">
        <v>23380.595153735099</v>
      </c>
      <c r="O1182" s="6">
        <v>31921.807646736001</v>
      </c>
      <c r="P1182" s="6">
        <v>40379.025069135198</v>
      </c>
      <c r="Q1182" s="6">
        <v>6882.7111742389097</v>
      </c>
      <c r="R1182" s="6">
        <v>22948.255764896701</v>
      </c>
      <c r="S1182" s="6">
        <v>7989.8460762503501</v>
      </c>
      <c r="T1182" s="6">
        <v>0</v>
      </c>
      <c r="U1182" s="6">
        <v>125512.394808742</v>
      </c>
      <c r="V1182" s="6">
        <v>84381.8355465106</v>
      </c>
      <c r="W1182" s="6">
        <v>29469.916177409901</v>
      </c>
      <c r="X1182" s="6">
        <v>0</v>
      </c>
      <c r="Y1182" s="6">
        <v>0</v>
      </c>
      <c r="Z1182" s="6">
        <v>0</v>
      </c>
      <c r="AA1182" s="6">
        <v>11594.7877061811</v>
      </c>
      <c r="AB1182" s="6">
        <v>65.855378640351404</v>
      </c>
      <c r="AC1182" s="6">
        <v>6087.8211208765297</v>
      </c>
      <c r="AD1182" s="6">
        <v>1902.0249553738199</v>
      </c>
      <c r="AE1182" s="6">
        <v>0</v>
      </c>
      <c r="AF1182" s="6">
        <v>0</v>
      </c>
      <c r="AG1182" s="6">
        <v>0</v>
      </c>
      <c r="AH1182" s="6">
        <v>0</v>
      </c>
      <c r="AI1182" s="6">
        <v>0</v>
      </c>
      <c r="AJ1182" s="6">
        <v>133502.240884992</v>
      </c>
      <c r="AK1182" s="6">
        <v>9377.0761949357402</v>
      </c>
      <c r="AL1182" s="6">
        <v>330.98244656580999</v>
      </c>
      <c r="AM1182" s="6">
        <v>93035.839999999997</v>
      </c>
      <c r="AN1182" s="6">
        <v>9377.0761949357402</v>
      </c>
      <c r="AO1182" s="6">
        <v>17324.770186446502</v>
      </c>
      <c r="AP1182" s="6">
        <v>634.54287297753501</v>
      </c>
      <c r="AQ1182" s="6">
        <v>40331.279999999999</v>
      </c>
      <c r="AR1182" s="6">
        <v>9377.0761949357402</v>
      </c>
      <c r="AS1182" s="6">
        <v>9377.0761949357402</v>
      </c>
      <c r="AT1182" s="6">
        <v>0</v>
      </c>
      <c r="AU1182" t="s">
        <v>2973</v>
      </c>
      <c r="AV1182" t="s">
        <v>2977</v>
      </c>
    </row>
    <row r="1183" spans="1:48" x14ac:dyDescent="0.45">
      <c r="A1183" s="5" t="s">
        <v>2381</v>
      </c>
      <c r="B1183">
        <v>1994</v>
      </c>
      <c r="C1183" t="s">
        <v>2382</v>
      </c>
      <c r="D1183">
        <v>289</v>
      </c>
      <c r="E1183" t="s">
        <v>2383</v>
      </c>
      <c r="F1183" t="s">
        <v>2739</v>
      </c>
      <c r="G1183" t="s">
        <v>2740</v>
      </c>
      <c r="H1183" t="s">
        <v>2741</v>
      </c>
      <c r="I1183" t="s">
        <v>2742</v>
      </c>
      <c r="J1183">
        <v>208.521713613359</v>
      </c>
      <c r="K1183">
        <v>1</v>
      </c>
      <c r="L1183">
        <v>2</v>
      </c>
      <c r="M1183">
        <v>3</v>
      </c>
      <c r="N1183" s="6">
        <v>1292460.568555</v>
      </c>
      <c r="O1183" s="6">
        <v>436979.83766688203</v>
      </c>
      <c r="P1183" s="6">
        <v>517742.720419802</v>
      </c>
      <c r="Q1183" s="6">
        <v>107934.934853924</v>
      </c>
      <c r="R1183" s="6">
        <v>187498.52423332399</v>
      </c>
      <c r="S1183" s="6">
        <v>94873.198879528194</v>
      </c>
      <c r="T1183" s="6">
        <v>1345117.03</v>
      </c>
      <c r="U1183" s="6">
        <v>1197499.55572893</v>
      </c>
      <c r="V1183" s="6">
        <v>2149241.2529948102</v>
      </c>
      <c r="W1183" s="6">
        <v>393375.33273412299</v>
      </c>
      <c r="X1183" s="6">
        <v>0</v>
      </c>
      <c r="Y1183" s="6">
        <v>0</v>
      </c>
      <c r="Z1183" s="6">
        <v>0</v>
      </c>
      <c r="AA1183" s="6">
        <v>0</v>
      </c>
      <c r="AB1183" s="6">
        <v>0</v>
      </c>
      <c r="AC1183" s="6">
        <v>83654.292654766206</v>
      </c>
      <c r="AD1183" s="6">
        <v>11218.906224762</v>
      </c>
      <c r="AE1183" s="6">
        <v>0</v>
      </c>
      <c r="AF1183" s="6">
        <v>0</v>
      </c>
      <c r="AG1183" s="6">
        <v>0</v>
      </c>
      <c r="AH1183" s="6">
        <v>0</v>
      </c>
      <c r="AI1183" s="6">
        <v>0</v>
      </c>
      <c r="AJ1183" s="6">
        <v>2637489.78460846</v>
      </c>
      <c r="AK1183" s="6">
        <v>12648.513859323501</v>
      </c>
      <c r="AL1183" s="6">
        <v>330.98244656580999</v>
      </c>
      <c r="AM1183" s="6">
        <v>93035.839999999997</v>
      </c>
      <c r="AN1183" s="6">
        <v>11622.643668831401</v>
      </c>
      <c r="AO1183" s="6">
        <v>14258.5888647828</v>
      </c>
      <c r="AP1183" s="6">
        <v>330.98244656580999</v>
      </c>
      <c r="AQ1183" s="6">
        <v>93035.839999999997</v>
      </c>
      <c r="AR1183" s="6">
        <v>11622.643668831401</v>
      </c>
      <c r="AS1183" s="6">
        <v>12648.513859323501</v>
      </c>
      <c r="AT1183" s="6">
        <v>0</v>
      </c>
      <c r="AU1183" t="s">
        <v>2973</v>
      </c>
      <c r="AV1183" t="s">
        <v>2973</v>
      </c>
    </row>
    <row r="1184" spans="1:48" x14ac:dyDescent="0.45">
      <c r="A1184" s="5" t="s">
        <v>2384</v>
      </c>
      <c r="B1184">
        <v>1994</v>
      </c>
      <c r="C1184" t="s">
        <v>2382</v>
      </c>
      <c r="D1184">
        <v>291</v>
      </c>
      <c r="E1184" t="s">
        <v>2385</v>
      </c>
      <c r="F1184" t="s">
        <v>2739</v>
      </c>
      <c r="G1184" t="s">
        <v>2747</v>
      </c>
      <c r="H1184" t="s">
        <v>2745</v>
      </c>
      <c r="I1184" t="s">
        <v>2742</v>
      </c>
      <c r="J1184">
        <v>296.209509270875</v>
      </c>
      <c r="K1184">
        <v>1</v>
      </c>
      <c r="L1184">
        <v>2</v>
      </c>
      <c r="M1184">
        <v>3</v>
      </c>
      <c r="N1184" s="6">
        <v>1459970.29675814</v>
      </c>
      <c r="O1184" s="6">
        <v>808201.89654129802</v>
      </c>
      <c r="P1184" s="6">
        <v>735464.49665418605</v>
      </c>
      <c r="Q1184" s="6">
        <v>153323.86029373499</v>
      </c>
      <c r="R1184" s="6">
        <v>266345.623627219</v>
      </c>
      <c r="S1184" s="6">
        <v>134769.38778265801</v>
      </c>
      <c r="T1184" s="6">
        <v>1722232.7</v>
      </c>
      <c r="U1184" s="6">
        <v>1701073.4738745801</v>
      </c>
      <c r="V1184" s="6">
        <v>3029679.63332876</v>
      </c>
      <c r="W1184" s="6">
        <v>393626.54054582102</v>
      </c>
      <c r="X1184" s="6">
        <v>0</v>
      </c>
      <c r="Y1184" s="6">
        <v>0</v>
      </c>
      <c r="Z1184" s="6">
        <v>0</v>
      </c>
      <c r="AA1184" s="6">
        <v>0</v>
      </c>
      <c r="AB1184" s="6">
        <v>0</v>
      </c>
      <c r="AC1184" s="6">
        <v>118832.693949639</v>
      </c>
      <c r="AD1184" s="6">
        <v>15936.693833019701</v>
      </c>
      <c r="AE1184" s="6">
        <v>0</v>
      </c>
      <c r="AF1184" s="6">
        <v>0</v>
      </c>
      <c r="AG1184" s="6">
        <v>0</v>
      </c>
      <c r="AH1184" s="6">
        <v>0</v>
      </c>
      <c r="AI1184" s="6">
        <v>0</v>
      </c>
      <c r="AJ1184" s="6">
        <v>3558075.5616572401</v>
      </c>
      <c r="AK1184" s="6">
        <v>12012.0234168562</v>
      </c>
      <c r="AL1184" s="6">
        <v>330.98244656580999</v>
      </c>
      <c r="AM1184" s="6">
        <v>93035.839999999997</v>
      </c>
      <c r="AN1184" s="6">
        <v>11622.643668831401</v>
      </c>
      <c r="AO1184" s="6">
        <v>14258.5888647828</v>
      </c>
      <c r="AP1184" s="6">
        <v>3753.1860850462999</v>
      </c>
      <c r="AQ1184" s="6">
        <v>20687.885194392002</v>
      </c>
      <c r="AR1184" s="6">
        <v>12012.0234168562</v>
      </c>
      <c r="AS1184" s="6">
        <v>12012.0234168562</v>
      </c>
      <c r="AT1184" s="6">
        <v>0</v>
      </c>
      <c r="AU1184" t="s">
        <v>2973</v>
      </c>
      <c r="AV1184" t="s">
        <v>2973</v>
      </c>
    </row>
    <row r="1185" spans="1:48" x14ac:dyDescent="0.45">
      <c r="A1185" s="5" t="s">
        <v>2386</v>
      </c>
      <c r="B1185">
        <v>1994</v>
      </c>
      <c r="C1185" t="s">
        <v>2382</v>
      </c>
      <c r="D1185">
        <v>290</v>
      </c>
      <c r="E1185" t="s">
        <v>2387</v>
      </c>
      <c r="F1185" t="s">
        <v>2739</v>
      </c>
      <c r="G1185" t="s">
        <v>2740</v>
      </c>
      <c r="H1185" t="s">
        <v>2741</v>
      </c>
      <c r="I1185" t="s">
        <v>2742</v>
      </c>
      <c r="J1185">
        <v>319.58209593176201</v>
      </c>
      <c r="K1185">
        <v>1</v>
      </c>
      <c r="L1185">
        <v>1</v>
      </c>
      <c r="M1185">
        <v>3</v>
      </c>
      <c r="N1185" s="6">
        <v>1903332.51736622</v>
      </c>
      <c r="O1185" s="6">
        <v>624021.26480366196</v>
      </c>
      <c r="P1185" s="6">
        <v>793496.75809767703</v>
      </c>
      <c r="Q1185" s="6">
        <v>165421.970245431</v>
      </c>
      <c r="R1185" s="6">
        <v>287361.78271440801</v>
      </c>
      <c r="S1185" s="6">
        <v>145403.44609813401</v>
      </c>
      <c r="T1185" s="6">
        <v>1938336.61</v>
      </c>
      <c r="U1185" s="6">
        <v>1835297.6832274001</v>
      </c>
      <c r="V1185" s="6">
        <v>2917836.2356914198</v>
      </c>
      <c r="W1185" s="6">
        <v>855798.05753597198</v>
      </c>
      <c r="X1185" s="6">
        <v>0</v>
      </c>
      <c r="Y1185" s="6">
        <v>0</v>
      </c>
      <c r="Z1185" s="6">
        <v>0</v>
      </c>
      <c r="AA1185" s="6">
        <v>0</v>
      </c>
      <c r="AB1185" s="6">
        <v>0</v>
      </c>
      <c r="AC1185" s="6">
        <v>128209.258004997</v>
      </c>
      <c r="AD1185" s="6">
        <v>17194.188093136901</v>
      </c>
      <c r="AE1185" s="6">
        <v>0</v>
      </c>
      <c r="AF1185" s="6">
        <v>0</v>
      </c>
      <c r="AG1185" s="6">
        <v>0</v>
      </c>
      <c r="AH1185" s="6">
        <v>0</v>
      </c>
      <c r="AI1185" s="6">
        <v>0</v>
      </c>
      <c r="AJ1185" s="6">
        <v>3919037.7393255299</v>
      </c>
      <c r="AK1185" s="6">
        <v>12263.0078130608</v>
      </c>
      <c r="AL1185" s="6">
        <v>330.98244656580999</v>
      </c>
      <c r="AM1185" s="6">
        <v>93035.839999999997</v>
      </c>
      <c r="AN1185" s="6">
        <v>11622.643668831401</v>
      </c>
      <c r="AO1185" s="6">
        <v>14258.5888647828</v>
      </c>
      <c r="AP1185" s="6">
        <v>330.98244656580999</v>
      </c>
      <c r="AQ1185" s="6">
        <v>93035.839999999997</v>
      </c>
      <c r="AR1185" s="6">
        <v>11622.643668831401</v>
      </c>
      <c r="AS1185" s="6">
        <v>12648.513859323501</v>
      </c>
      <c r="AT1185" s="6">
        <v>0</v>
      </c>
      <c r="AU1185" t="s">
        <v>2973</v>
      </c>
      <c r="AV1185" t="s">
        <v>2973</v>
      </c>
    </row>
    <row r="1186" spans="1:48" x14ac:dyDescent="0.45">
      <c r="A1186" s="5" t="s">
        <v>2388</v>
      </c>
      <c r="B1186">
        <v>1994</v>
      </c>
      <c r="C1186" t="s">
        <v>2382</v>
      </c>
      <c r="D1186">
        <v>293</v>
      </c>
      <c r="E1186" t="s">
        <v>2389</v>
      </c>
      <c r="F1186" t="s">
        <v>2739</v>
      </c>
      <c r="G1186" t="s">
        <v>2744</v>
      </c>
      <c r="H1186" t="s">
        <v>2745</v>
      </c>
      <c r="I1186" t="s">
        <v>2742</v>
      </c>
      <c r="J1186">
        <v>371.99051492241699</v>
      </c>
      <c r="K1186">
        <v>1</v>
      </c>
      <c r="L1186">
        <v>1</v>
      </c>
      <c r="M1186">
        <v>3</v>
      </c>
      <c r="N1186" s="6">
        <v>2307516.4479286699</v>
      </c>
      <c r="O1186" s="6">
        <v>1366510.4487565299</v>
      </c>
      <c r="P1186" s="6">
        <v>923622.66657469305</v>
      </c>
      <c r="Q1186" s="6">
        <v>192549.597347337</v>
      </c>
      <c r="R1186" s="6">
        <v>344612.42730876198</v>
      </c>
      <c r="S1186" s="6">
        <v>169248.225961594</v>
      </c>
      <c r="T1186" s="6">
        <v>2998542.57</v>
      </c>
      <c r="U1186" s="6">
        <v>2136269.0179159902</v>
      </c>
      <c r="V1186" s="6">
        <v>4365027.3641717397</v>
      </c>
      <c r="W1186" s="6">
        <v>769784.22374425095</v>
      </c>
      <c r="X1186" s="6">
        <v>0</v>
      </c>
      <c r="Y1186" s="6">
        <v>0</v>
      </c>
      <c r="Z1186" s="6">
        <v>0</v>
      </c>
      <c r="AA1186" s="6">
        <v>0</v>
      </c>
      <c r="AB1186" s="6">
        <v>0</v>
      </c>
      <c r="AC1186" s="6">
        <v>149234.35483470699</v>
      </c>
      <c r="AD1186" s="6">
        <v>20013.871126887501</v>
      </c>
      <c r="AE1186" s="6">
        <v>0</v>
      </c>
      <c r="AF1186" s="6">
        <v>0</v>
      </c>
      <c r="AG1186" s="6">
        <v>0</v>
      </c>
      <c r="AH1186" s="6">
        <v>0</v>
      </c>
      <c r="AI1186" s="6">
        <v>0</v>
      </c>
      <c r="AJ1186" s="6">
        <v>5304059.81387759</v>
      </c>
      <c r="AK1186" s="6">
        <v>14258.5888647828</v>
      </c>
      <c r="AL1186" s="6">
        <v>330.98244656580999</v>
      </c>
      <c r="AM1186" s="6">
        <v>93035.839999999997</v>
      </c>
      <c r="AN1186" s="6">
        <v>11622.643668831401</v>
      </c>
      <c r="AO1186" s="6">
        <v>14258.5888647828</v>
      </c>
      <c r="AP1186" s="6">
        <v>330.98244656580999</v>
      </c>
      <c r="AQ1186" s="6">
        <v>40734.411818744898</v>
      </c>
      <c r="AR1186" s="6">
        <v>14258.5888647828</v>
      </c>
      <c r="AS1186" s="6">
        <v>14258.5888647828</v>
      </c>
      <c r="AT1186" s="6">
        <v>0</v>
      </c>
      <c r="AU1186" t="s">
        <v>2973</v>
      </c>
      <c r="AV1186" t="s">
        <v>2973</v>
      </c>
    </row>
    <row r="1187" spans="1:48" x14ac:dyDescent="0.45">
      <c r="A1187" s="5" t="s">
        <v>2390</v>
      </c>
      <c r="B1187">
        <v>1994</v>
      </c>
      <c r="C1187" t="s">
        <v>2382</v>
      </c>
      <c r="D1187">
        <v>292</v>
      </c>
      <c r="E1187" t="s">
        <v>2391</v>
      </c>
      <c r="F1187" t="s">
        <v>2739</v>
      </c>
      <c r="G1187" t="s">
        <v>2740</v>
      </c>
      <c r="H1187" t="s">
        <v>2741</v>
      </c>
      <c r="I1187" t="s">
        <v>2742</v>
      </c>
      <c r="J1187">
        <v>294.73813343497602</v>
      </c>
      <c r="K1187">
        <v>1</v>
      </c>
      <c r="L1187">
        <v>1</v>
      </c>
      <c r="M1187">
        <v>3</v>
      </c>
      <c r="N1187" s="6">
        <v>1580549.98939198</v>
      </c>
      <c r="O1187" s="6">
        <v>561590.34223162802</v>
      </c>
      <c r="P1187" s="6">
        <v>731811.18825364602</v>
      </c>
      <c r="Q1187" s="6">
        <v>152562.24725957401</v>
      </c>
      <c r="R1187" s="6">
        <v>265022.59211628803</v>
      </c>
      <c r="S1187" s="6">
        <v>134099.94127808599</v>
      </c>
      <c r="T1187" s="6">
        <v>1598912.71</v>
      </c>
      <c r="U1187" s="6">
        <v>1692623.6492531199</v>
      </c>
      <c r="V1187" s="6">
        <v>2684155.4838132798</v>
      </c>
      <c r="W1187" s="6">
        <v>607380.87543983397</v>
      </c>
      <c r="X1187" s="6">
        <v>0</v>
      </c>
      <c r="Y1187" s="6">
        <v>0</v>
      </c>
      <c r="Z1187" s="6">
        <v>0</v>
      </c>
      <c r="AA1187" s="6">
        <v>0</v>
      </c>
      <c r="AB1187" s="6">
        <v>0</v>
      </c>
      <c r="AC1187" s="6">
        <v>118242.410555892</v>
      </c>
      <c r="AD1187" s="6">
        <v>15857.530722194</v>
      </c>
      <c r="AE1187" s="6">
        <v>0</v>
      </c>
      <c r="AF1187" s="6">
        <v>0</v>
      </c>
      <c r="AG1187" s="6">
        <v>0</v>
      </c>
      <c r="AH1187" s="6">
        <v>0</v>
      </c>
      <c r="AI1187" s="6">
        <v>0</v>
      </c>
      <c r="AJ1187" s="6">
        <v>3425636.3005312001</v>
      </c>
      <c r="AK1187" s="6">
        <v>11622.643668831401</v>
      </c>
      <c r="AL1187" s="6">
        <v>330.98244656580999</v>
      </c>
      <c r="AM1187" s="6">
        <v>93035.839999999997</v>
      </c>
      <c r="AN1187" s="6">
        <v>11622.643668831401</v>
      </c>
      <c r="AO1187" s="6">
        <v>14258.5888647828</v>
      </c>
      <c r="AP1187" s="6">
        <v>330.98244656580999</v>
      </c>
      <c r="AQ1187" s="6">
        <v>93035.839999999997</v>
      </c>
      <c r="AR1187" s="6">
        <v>11622.643668831401</v>
      </c>
      <c r="AS1187" s="6">
        <v>12648.513859323501</v>
      </c>
      <c r="AT1187" s="6">
        <v>0</v>
      </c>
      <c r="AU1187" t="s">
        <v>2973</v>
      </c>
      <c r="AV1187" t="s">
        <v>2973</v>
      </c>
    </row>
    <row r="1188" spans="1:48" x14ac:dyDescent="0.45">
      <c r="A1188" s="5" t="s">
        <v>2392</v>
      </c>
      <c r="B1188">
        <v>2225</v>
      </c>
      <c r="C1188" t="s">
        <v>2393</v>
      </c>
      <c r="D1188">
        <v>1108</v>
      </c>
      <c r="E1188" t="s">
        <v>2394</v>
      </c>
      <c r="F1188" t="s">
        <v>2739</v>
      </c>
      <c r="G1188" t="s">
        <v>2740</v>
      </c>
      <c r="H1188" t="s">
        <v>2741</v>
      </c>
      <c r="I1188" t="s">
        <v>2742</v>
      </c>
      <c r="J1188">
        <v>131.508329754252</v>
      </c>
      <c r="K1188">
        <v>1</v>
      </c>
      <c r="L1188">
        <v>1</v>
      </c>
      <c r="M1188">
        <v>2</v>
      </c>
      <c r="N1188" s="6">
        <v>886764.82341801305</v>
      </c>
      <c r="O1188" s="6">
        <v>155489.599499326</v>
      </c>
      <c r="P1188" s="6">
        <v>587352.05605188699</v>
      </c>
      <c r="Q1188" s="6">
        <v>172174.94179717201</v>
      </c>
      <c r="R1188" s="6">
        <v>175464.77471955799</v>
      </c>
      <c r="S1188" s="6">
        <v>55517.945713237197</v>
      </c>
      <c r="T1188" s="6">
        <v>840781.5</v>
      </c>
      <c r="U1188" s="6">
        <v>1136464.69548596</v>
      </c>
      <c r="V1188" s="6">
        <v>1721125.5566533499</v>
      </c>
      <c r="W1188" s="6">
        <v>252269.133962678</v>
      </c>
      <c r="X1188" s="6">
        <v>0</v>
      </c>
      <c r="Y1188" s="6">
        <v>0</v>
      </c>
      <c r="Z1188" s="6">
        <v>0</v>
      </c>
      <c r="AA1188" s="6">
        <v>0</v>
      </c>
      <c r="AB1188" s="6">
        <v>3851.5048699240401</v>
      </c>
      <c r="AC1188" s="6">
        <v>55517.945713237197</v>
      </c>
      <c r="AD1188" s="6">
        <v>0</v>
      </c>
      <c r="AE1188" s="6">
        <v>0</v>
      </c>
      <c r="AF1188" s="6">
        <v>0</v>
      </c>
      <c r="AG1188" s="6">
        <v>0</v>
      </c>
      <c r="AH1188" s="6">
        <v>0</v>
      </c>
      <c r="AI1188" s="6">
        <v>0</v>
      </c>
      <c r="AJ1188" s="6">
        <v>2032764.1411991899</v>
      </c>
      <c r="AK1188" s="6">
        <v>15457.303313012901</v>
      </c>
      <c r="AL1188" s="6">
        <v>330.98244656580999</v>
      </c>
      <c r="AM1188" s="6">
        <v>93035.839999999997</v>
      </c>
      <c r="AN1188" s="6">
        <v>15457.303313012901</v>
      </c>
      <c r="AO1188" s="6">
        <v>23953.815512775898</v>
      </c>
      <c r="AP1188" s="6">
        <v>330.98244656580999</v>
      </c>
      <c r="AQ1188" s="6">
        <v>93035.839999999997</v>
      </c>
      <c r="AR1188" s="6">
        <v>15457.303313012901</v>
      </c>
      <c r="AS1188" s="6">
        <v>15457.303313012901</v>
      </c>
      <c r="AT1188" s="6">
        <v>0</v>
      </c>
      <c r="AU1188" t="s">
        <v>2973</v>
      </c>
      <c r="AV1188" t="s">
        <v>2973</v>
      </c>
    </row>
    <row r="1189" spans="1:48" x14ac:dyDescent="0.45">
      <c r="A1189" s="5" t="s">
        <v>2395</v>
      </c>
      <c r="B1189">
        <v>2225</v>
      </c>
      <c r="C1189" t="s">
        <v>2393</v>
      </c>
      <c r="D1189">
        <v>1109</v>
      </c>
      <c r="E1189" t="s">
        <v>2396</v>
      </c>
      <c r="F1189" t="s">
        <v>2739</v>
      </c>
      <c r="G1189" t="s">
        <v>2744</v>
      </c>
      <c r="H1189" t="s">
        <v>2745</v>
      </c>
      <c r="I1189" t="s">
        <v>2742</v>
      </c>
      <c r="J1189">
        <v>107.50600744283599</v>
      </c>
      <c r="K1189">
        <v>1</v>
      </c>
      <c r="L1189">
        <v>1</v>
      </c>
      <c r="M1189">
        <v>2</v>
      </c>
      <c r="N1189" s="6">
        <v>1157685.8265819901</v>
      </c>
      <c r="O1189" s="6">
        <v>443559.58050067403</v>
      </c>
      <c r="P1189" s="6">
        <v>640649.61394811305</v>
      </c>
      <c r="Q1189" s="6">
        <v>140750.32820282801</v>
      </c>
      <c r="R1189" s="6">
        <v>147148.66528044199</v>
      </c>
      <c r="S1189" s="6">
        <v>45385.054286762897</v>
      </c>
      <c r="T1189" s="6">
        <v>1600751.86</v>
      </c>
      <c r="U1189" s="6">
        <v>929042.15451404301</v>
      </c>
      <c r="V1189" s="6">
        <v>2247880.0033466499</v>
      </c>
      <c r="W1189" s="6">
        <v>278765.46603732201</v>
      </c>
      <c r="X1189" s="6">
        <v>0</v>
      </c>
      <c r="Y1189" s="6">
        <v>0</v>
      </c>
      <c r="Z1189" s="6">
        <v>0</v>
      </c>
      <c r="AA1189" s="6">
        <v>0</v>
      </c>
      <c r="AB1189" s="6">
        <v>3148.5451300759601</v>
      </c>
      <c r="AC1189" s="6">
        <v>45385.054286762897</v>
      </c>
      <c r="AD1189" s="6">
        <v>0</v>
      </c>
      <c r="AE1189" s="6">
        <v>0</v>
      </c>
      <c r="AF1189" s="6">
        <v>0</v>
      </c>
      <c r="AG1189" s="6">
        <v>0</v>
      </c>
      <c r="AH1189" s="6">
        <v>0</v>
      </c>
      <c r="AI1189" s="6">
        <v>0</v>
      </c>
      <c r="AJ1189" s="6">
        <v>2575179.0688008098</v>
      </c>
      <c r="AK1189" s="6">
        <v>23953.815512775898</v>
      </c>
      <c r="AL1189" s="6">
        <v>330.98244656580999</v>
      </c>
      <c r="AM1189" s="6">
        <v>93035.839999999997</v>
      </c>
      <c r="AN1189" s="6">
        <v>15457.303313012901</v>
      </c>
      <c r="AO1189" s="6">
        <v>23953.815512775898</v>
      </c>
      <c r="AP1189" s="6">
        <v>330.98244656580999</v>
      </c>
      <c r="AQ1189" s="6">
        <v>40734.411818744898</v>
      </c>
      <c r="AR1189" s="6">
        <v>23953.815512775898</v>
      </c>
      <c r="AS1189" s="6">
        <v>23953.815512775898</v>
      </c>
      <c r="AT1189" s="6">
        <v>0</v>
      </c>
      <c r="AU1189" t="s">
        <v>2973</v>
      </c>
      <c r="AV1189" t="s">
        <v>2973</v>
      </c>
    </row>
    <row r="1190" spans="1:48" x14ac:dyDescent="0.45">
      <c r="A1190" s="5" t="s">
        <v>2399</v>
      </c>
      <c r="B1190">
        <v>2247</v>
      </c>
      <c r="C1190" t="s">
        <v>2400</v>
      </c>
      <c r="D1190">
        <v>3403</v>
      </c>
      <c r="E1190" t="s">
        <v>2401</v>
      </c>
      <c r="F1190" t="s">
        <v>2739</v>
      </c>
      <c r="G1190" t="s">
        <v>2748</v>
      </c>
      <c r="H1190" t="s">
        <v>2745</v>
      </c>
      <c r="I1190" t="s">
        <v>2742</v>
      </c>
      <c r="J1190">
        <v>60.1587837837371</v>
      </c>
      <c r="K1190">
        <v>1</v>
      </c>
      <c r="L1190">
        <v>1</v>
      </c>
      <c r="M1190">
        <v>3</v>
      </c>
      <c r="N1190" s="6">
        <v>682015.83</v>
      </c>
      <c r="O1190" s="6">
        <v>172931.11</v>
      </c>
      <c r="P1190" s="6">
        <v>448142.68</v>
      </c>
      <c r="Q1190" s="6">
        <v>165818.78</v>
      </c>
      <c r="R1190" s="6">
        <v>29739.37</v>
      </c>
      <c r="S1190" s="6">
        <v>94469</v>
      </c>
      <c r="T1190" s="6">
        <v>694543.18</v>
      </c>
      <c r="U1190" s="6">
        <v>804104.59</v>
      </c>
      <c r="V1190" s="6">
        <v>1281018.78</v>
      </c>
      <c r="W1190" s="6">
        <v>214795.68</v>
      </c>
      <c r="X1190" s="6">
        <v>0</v>
      </c>
      <c r="Y1190" s="6">
        <v>0</v>
      </c>
      <c r="Z1190" s="6">
        <v>0</v>
      </c>
      <c r="AA1190" s="6">
        <v>0</v>
      </c>
      <c r="AB1190" s="6">
        <v>2833.31</v>
      </c>
      <c r="AC1190" s="6">
        <v>94469</v>
      </c>
      <c r="AD1190" s="6">
        <v>0</v>
      </c>
      <c r="AE1190" s="6">
        <v>0</v>
      </c>
      <c r="AF1190" s="6">
        <v>0</v>
      </c>
      <c r="AG1190" s="6">
        <v>0</v>
      </c>
      <c r="AH1190" s="6">
        <v>0</v>
      </c>
      <c r="AI1190" s="6">
        <v>0</v>
      </c>
      <c r="AJ1190" s="6">
        <v>1593116.77</v>
      </c>
      <c r="AK1190" s="6">
        <v>26481.8646554931</v>
      </c>
      <c r="AL1190" s="6">
        <v>330.98244656580999</v>
      </c>
      <c r="AM1190" s="6">
        <v>93035.839999999997</v>
      </c>
      <c r="AN1190" s="6">
        <v>26481.8646554931</v>
      </c>
      <c r="AO1190" s="6">
        <v>26481.8646554931</v>
      </c>
      <c r="AP1190" s="6">
        <v>330.98244656580999</v>
      </c>
      <c r="AQ1190" s="6">
        <v>56162.493707719797</v>
      </c>
      <c r="AR1190" s="6">
        <v>26481.8646554931</v>
      </c>
      <c r="AS1190" s="6">
        <v>26481.8646554931</v>
      </c>
      <c r="AT1190" s="6">
        <v>0</v>
      </c>
      <c r="AU1190" t="s">
        <v>2973</v>
      </c>
      <c r="AV1190" t="s">
        <v>2973</v>
      </c>
    </row>
    <row r="1191" spans="1:48" x14ac:dyDescent="0.45">
      <c r="A1191" s="5" t="s">
        <v>2402</v>
      </c>
      <c r="B1191">
        <v>2083</v>
      </c>
      <c r="C1191" t="s">
        <v>2403</v>
      </c>
      <c r="D1191">
        <v>4440</v>
      </c>
      <c r="E1191" t="s">
        <v>2404</v>
      </c>
      <c r="F1191" t="s">
        <v>2739</v>
      </c>
      <c r="G1191" t="s">
        <v>2744</v>
      </c>
      <c r="H1191" t="s">
        <v>2745</v>
      </c>
      <c r="I1191" t="s">
        <v>2742</v>
      </c>
      <c r="J1191">
        <v>249.21816884247701</v>
      </c>
      <c r="K1191">
        <v>1</v>
      </c>
      <c r="L1191">
        <v>1</v>
      </c>
      <c r="M1191">
        <v>2</v>
      </c>
      <c r="N1191" s="6">
        <v>174850.445194548</v>
      </c>
      <c r="O1191" s="6">
        <v>176635.01362090101</v>
      </c>
      <c r="P1191" s="6">
        <v>353259.81787948002</v>
      </c>
      <c r="Q1191" s="6">
        <v>97588.131623291905</v>
      </c>
      <c r="R1191" s="6">
        <v>585957.44857066101</v>
      </c>
      <c r="S1191" s="6">
        <v>125691.11236146399</v>
      </c>
      <c r="T1191" s="6">
        <v>0</v>
      </c>
      <c r="U1191" s="6">
        <v>1388290.85688888</v>
      </c>
      <c r="V1191" s="6">
        <v>711964.08490527095</v>
      </c>
      <c r="W1191" s="6">
        <v>198408.648952307</v>
      </c>
      <c r="X1191" s="6">
        <v>0</v>
      </c>
      <c r="Y1191" s="6">
        <v>0</v>
      </c>
      <c r="Z1191" s="6">
        <v>0</v>
      </c>
      <c r="AA1191" s="6">
        <v>459106.62093101698</v>
      </c>
      <c r="AB1191" s="6">
        <v>18811.5021002869</v>
      </c>
      <c r="AC1191" s="6">
        <v>98679.019649361595</v>
      </c>
      <c r="AD1191" s="6">
        <v>27012.092712102502</v>
      </c>
      <c r="AE1191" s="6">
        <v>0</v>
      </c>
      <c r="AF1191" s="6">
        <v>0</v>
      </c>
      <c r="AG1191" s="6">
        <v>0</v>
      </c>
      <c r="AH1191" s="6">
        <v>0</v>
      </c>
      <c r="AI1191" s="6">
        <v>0</v>
      </c>
      <c r="AJ1191" s="6">
        <v>1513981.96925035</v>
      </c>
      <c r="AK1191" s="6">
        <v>6074.9261431548703</v>
      </c>
      <c r="AL1191" s="6">
        <v>330.98244656580999</v>
      </c>
      <c r="AM1191" s="6">
        <v>93035.839999999997</v>
      </c>
      <c r="AN1191" s="6">
        <v>6074.9261431548603</v>
      </c>
      <c r="AO1191" s="6">
        <v>22536.578463383699</v>
      </c>
      <c r="AP1191" s="6">
        <v>330.98244656580999</v>
      </c>
      <c r="AQ1191" s="6">
        <v>40734.411818744898</v>
      </c>
      <c r="AR1191" s="6">
        <v>6074.9261431548703</v>
      </c>
      <c r="AS1191" s="6">
        <v>22536.578463383699</v>
      </c>
      <c r="AT1191" s="6">
        <v>0</v>
      </c>
      <c r="AU1191" t="s">
        <v>2973</v>
      </c>
      <c r="AV1191" t="s">
        <v>2976</v>
      </c>
    </row>
    <row r="1192" spans="1:48" x14ac:dyDescent="0.45">
      <c r="A1192" s="5" t="s">
        <v>2405</v>
      </c>
      <c r="B1192">
        <v>2083</v>
      </c>
      <c r="C1192" t="s">
        <v>2403</v>
      </c>
      <c r="D1192">
        <v>1353</v>
      </c>
      <c r="E1192" t="s">
        <v>2406</v>
      </c>
      <c r="F1192" t="s">
        <v>2739</v>
      </c>
      <c r="G1192" t="s">
        <v>2747</v>
      </c>
      <c r="H1192" t="s">
        <v>2745</v>
      </c>
      <c r="I1192" t="s">
        <v>2742</v>
      </c>
      <c r="J1192">
        <v>585.09294676915101</v>
      </c>
      <c r="K1192">
        <v>1</v>
      </c>
      <c r="L1192">
        <v>1</v>
      </c>
      <c r="M1192">
        <v>2</v>
      </c>
      <c r="N1192" s="6">
        <v>3950372.5319363</v>
      </c>
      <c r="O1192" s="6">
        <v>1482869.0679478799</v>
      </c>
      <c r="P1192" s="6">
        <v>1309409.2672344299</v>
      </c>
      <c r="Q1192" s="6">
        <v>229109.00824914401</v>
      </c>
      <c r="R1192" s="6">
        <v>1376422.3677693</v>
      </c>
      <c r="S1192" s="6">
        <v>295086.76536639</v>
      </c>
      <c r="T1192" s="6">
        <v>5088872.57</v>
      </c>
      <c r="U1192" s="6">
        <v>3259309.6731370399</v>
      </c>
      <c r="V1192" s="6">
        <v>6226803.6931375796</v>
      </c>
      <c r="W1192" s="6">
        <v>999363.55318953004</v>
      </c>
      <c r="X1192" s="6">
        <v>0</v>
      </c>
      <c r="Y1192" s="6">
        <v>0</v>
      </c>
      <c r="Z1192" s="6">
        <v>0</v>
      </c>
      <c r="AA1192" s="6">
        <v>1077850.9727817699</v>
      </c>
      <c r="AB1192" s="6">
        <v>44164.024028150903</v>
      </c>
      <c r="AC1192" s="6">
        <v>231670.10117721101</v>
      </c>
      <c r="AD1192" s="6">
        <v>63416.664189179297</v>
      </c>
      <c r="AE1192" s="6">
        <v>0</v>
      </c>
      <c r="AF1192" s="6">
        <v>0</v>
      </c>
      <c r="AG1192" s="6">
        <v>0</v>
      </c>
      <c r="AH1192" s="6">
        <v>0</v>
      </c>
      <c r="AI1192" s="6">
        <v>0</v>
      </c>
      <c r="AJ1192" s="6">
        <v>8643269.0085034296</v>
      </c>
      <c r="AK1192" s="6">
        <v>14772.471717922899</v>
      </c>
      <c r="AL1192" s="6">
        <v>330.98244656580999</v>
      </c>
      <c r="AM1192" s="6">
        <v>93035.839999999997</v>
      </c>
      <c r="AN1192" s="6">
        <v>6074.9261431548603</v>
      </c>
      <c r="AO1192" s="6">
        <v>22536.578463383699</v>
      </c>
      <c r="AP1192" s="6">
        <v>3753.1860850462999</v>
      </c>
      <c r="AQ1192" s="6">
        <v>20687.885194392002</v>
      </c>
      <c r="AR1192" s="6">
        <v>13910.1420481609</v>
      </c>
      <c r="AS1192" s="6">
        <v>14958.234282618499</v>
      </c>
      <c r="AT1192" s="6">
        <v>0</v>
      </c>
      <c r="AU1192" t="s">
        <v>2973</v>
      </c>
      <c r="AV1192" t="s">
        <v>2973</v>
      </c>
    </row>
    <row r="1193" spans="1:48" x14ac:dyDescent="0.45">
      <c r="A1193" s="5" t="s">
        <v>2407</v>
      </c>
      <c r="B1193">
        <v>2083</v>
      </c>
      <c r="C1193" t="s">
        <v>2403</v>
      </c>
      <c r="D1193">
        <v>542</v>
      </c>
      <c r="E1193" t="s">
        <v>2408</v>
      </c>
      <c r="F1193" t="s">
        <v>2739</v>
      </c>
      <c r="G1193" t="s">
        <v>2747</v>
      </c>
      <c r="H1193" t="s">
        <v>2745</v>
      </c>
      <c r="I1193" t="s">
        <v>2742</v>
      </c>
      <c r="J1193">
        <v>509.97054746936101</v>
      </c>
      <c r="K1193">
        <v>1</v>
      </c>
      <c r="L1193">
        <v>1</v>
      </c>
      <c r="M1193">
        <v>2</v>
      </c>
      <c r="N1193" s="6">
        <v>3376769.1846710402</v>
      </c>
      <c r="O1193" s="6">
        <v>1301167.4141641599</v>
      </c>
      <c r="P1193" s="6">
        <v>1141835.5570983</v>
      </c>
      <c r="Q1193" s="6">
        <v>199752.27584065299</v>
      </c>
      <c r="R1193" s="6">
        <v>1261304.38171228</v>
      </c>
      <c r="S1193" s="6">
        <v>257199.407574187</v>
      </c>
      <c r="T1193" s="6">
        <v>4439994.8099999996</v>
      </c>
      <c r="U1193" s="6">
        <v>2840834.0034864298</v>
      </c>
      <c r="V1193" s="6">
        <v>5408867.2101797098</v>
      </c>
      <c r="W1193" s="6">
        <v>894006.55299956095</v>
      </c>
      <c r="X1193" s="6">
        <v>0</v>
      </c>
      <c r="Y1193" s="6">
        <v>0</v>
      </c>
      <c r="Z1193" s="6">
        <v>0</v>
      </c>
      <c r="AA1193" s="6">
        <v>939461.42013018997</v>
      </c>
      <c r="AB1193" s="6">
        <v>38493.630176971499</v>
      </c>
      <c r="AC1193" s="6">
        <v>201925.05991059</v>
      </c>
      <c r="AD1193" s="6">
        <v>55274.347663596804</v>
      </c>
      <c r="AE1193" s="6">
        <v>0</v>
      </c>
      <c r="AF1193" s="6">
        <v>0</v>
      </c>
      <c r="AG1193" s="6">
        <v>0</v>
      </c>
      <c r="AH1193" s="6">
        <v>0</v>
      </c>
      <c r="AI1193" s="6">
        <v>0</v>
      </c>
      <c r="AJ1193" s="6">
        <v>7538028.2210606104</v>
      </c>
      <c r="AK1193" s="6">
        <v>14781.301113303</v>
      </c>
      <c r="AL1193" s="6">
        <v>330.98244656580999</v>
      </c>
      <c r="AM1193" s="6">
        <v>93035.839999999997</v>
      </c>
      <c r="AN1193" s="6">
        <v>6074.9261431548603</v>
      </c>
      <c r="AO1193" s="6">
        <v>22536.578463383699</v>
      </c>
      <c r="AP1193" s="6">
        <v>3753.1860850462999</v>
      </c>
      <c r="AQ1193" s="6">
        <v>20687.885194392002</v>
      </c>
      <c r="AR1193" s="6">
        <v>13910.1420481609</v>
      </c>
      <c r="AS1193" s="6">
        <v>14958.234282618499</v>
      </c>
      <c r="AT1193" s="6">
        <v>0</v>
      </c>
      <c r="AU1193" t="s">
        <v>2973</v>
      </c>
      <c r="AV1193" t="s">
        <v>2973</v>
      </c>
    </row>
    <row r="1194" spans="1:48" x14ac:dyDescent="0.45">
      <c r="A1194" s="5" t="s">
        <v>2409</v>
      </c>
      <c r="B1194">
        <v>2083</v>
      </c>
      <c r="C1194" t="s">
        <v>2403</v>
      </c>
      <c r="D1194">
        <v>544</v>
      </c>
      <c r="E1194" t="s">
        <v>2266</v>
      </c>
      <c r="F1194" t="s">
        <v>2739</v>
      </c>
      <c r="G1194" t="s">
        <v>2740</v>
      </c>
      <c r="H1194" t="s">
        <v>2745</v>
      </c>
      <c r="I1194" t="s">
        <v>2742</v>
      </c>
      <c r="J1194">
        <v>388.98830409353002</v>
      </c>
      <c r="K1194">
        <v>1</v>
      </c>
      <c r="L1194">
        <v>1</v>
      </c>
      <c r="M1194">
        <v>2</v>
      </c>
      <c r="N1194" s="6">
        <v>2869705.13887724</v>
      </c>
      <c r="O1194" s="6">
        <v>867898.93475975306</v>
      </c>
      <c r="P1194" s="6">
        <v>919281.10439505696</v>
      </c>
      <c r="Q1194" s="6">
        <v>152318.91798303899</v>
      </c>
      <c r="R1194" s="6">
        <v>914959.773369845</v>
      </c>
      <c r="S1194" s="6">
        <v>196183.01853432899</v>
      </c>
      <c r="T1194" s="6">
        <v>3557271.67</v>
      </c>
      <c r="U1194" s="6">
        <v>2166892.1993849301</v>
      </c>
      <c r="V1194" s="6">
        <v>4107276.54259203</v>
      </c>
      <c r="W1194" s="6">
        <v>870936.25493901805</v>
      </c>
      <c r="X1194" s="6">
        <v>0</v>
      </c>
      <c r="Y1194" s="6">
        <v>0</v>
      </c>
      <c r="Z1194" s="6">
        <v>0</v>
      </c>
      <c r="AA1194" s="6">
        <v>716589.43127435795</v>
      </c>
      <c r="AB1194" s="6">
        <v>29361.6405795342</v>
      </c>
      <c r="AC1194" s="6">
        <v>154021.61359784001</v>
      </c>
      <c r="AD1194" s="6">
        <v>42161.404936489002</v>
      </c>
      <c r="AE1194" s="6">
        <v>0</v>
      </c>
      <c r="AF1194" s="6">
        <v>0</v>
      </c>
      <c r="AG1194" s="6">
        <v>0</v>
      </c>
      <c r="AH1194" s="6">
        <v>0</v>
      </c>
      <c r="AI1194" s="6">
        <v>0</v>
      </c>
      <c r="AJ1194" s="6">
        <v>5920346.8879192602</v>
      </c>
      <c r="AK1194" s="6">
        <v>15219.858349509001</v>
      </c>
      <c r="AL1194" s="6">
        <v>330.98244656580999</v>
      </c>
      <c r="AM1194" s="6">
        <v>93035.839999999997</v>
      </c>
      <c r="AN1194" s="6">
        <v>6074.9261431548603</v>
      </c>
      <c r="AO1194" s="6">
        <v>22536.578463383699</v>
      </c>
      <c r="AP1194" s="6">
        <v>330.98244656580999</v>
      </c>
      <c r="AQ1194" s="6">
        <v>93035.839999999997</v>
      </c>
      <c r="AR1194" s="6">
        <v>14150.420719411901</v>
      </c>
      <c r="AS1194" s="6">
        <v>17497.3387163976</v>
      </c>
      <c r="AT1194" s="6">
        <v>0</v>
      </c>
      <c r="AU1194" t="s">
        <v>2973</v>
      </c>
      <c r="AV1194" t="s">
        <v>2973</v>
      </c>
    </row>
    <row r="1195" spans="1:48" x14ac:dyDescent="0.45">
      <c r="A1195" s="5" t="s">
        <v>2410</v>
      </c>
      <c r="B1195">
        <v>2083</v>
      </c>
      <c r="C1195" t="s">
        <v>2403</v>
      </c>
      <c r="D1195">
        <v>545</v>
      </c>
      <c r="E1195" t="s">
        <v>2411</v>
      </c>
      <c r="F1195" t="s">
        <v>2739</v>
      </c>
      <c r="G1195" t="s">
        <v>2740</v>
      </c>
      <c r="H1195" t="s">
        <v>2745</v>
      </c>
      <c r="I1195" t="s">
        <v>2742</v>
      </c>
      <c r="J1195">
        <v>363.908691268354</v>
      </c>
      <c r="K1195">
        <v>1</v>
      </c>
      <c r="L1195">
        <v>1</v>
      </c>
      <c r="M1195">
        <v>2</v>
      </c>
      <c r="N1195" s="6">
        <v>2788634.12537276</v>
      </c>
      <c r="O1195" s="6">
        <v>749693.55448838696</v>
      </c>
      <c r="P1195" s="6">
        <v>869039.24125275505</v>
      </c>
      <c r="Q1195" s="6">
        <v>142498.315541363</v>
      </c>
      <c r="R1195" s="6">
        <v>856376.78142541205</v>
      </c>
      <c r="S1195" s="6">
        <v>183534.32422671799</v>
      </c>
      <c r="T1195" s="6">
        <v>3379057.92</v>
      </c>
      <c r="U1195" s="6">
        <v>2027184.09808068</v>
      </c>
      <c r="V1195" s="6">
        <v>3885918.8241642802</v>
      </c>
      <c r="W1195" s="6">
        <v>822466.53485524096</v>
      </c>
      <c r="X1195" s="6">
        <v>0</v>
      </c>
      <c r="Y1195" s="6">
        <v>0</v>
      </c>
      <c r="Z1195" s="6">
        <v>0</v>
      </c>
      <c r="AA1195" s="6">
        <v>670388.07945517101</v>
      </c>
      <c r="AB1195" s="6">
        <v>27468.5796059846</v>
      </c>
      <c r="AC1195" s="6">
        <v>144091.23164267</v>
      </c>
      <c r="AD1195" s="6">
        <v>39443.092584047801</v>
      </c>
      <c r="AE1195" s="6">
        <v>0</v>
      </c>
      <c r="AF1195" s="6">
        <v>0</v>
      </c>
      <c r="AG1195" s="6">
        <v>0</v>
      </c>
      <c r="AH1195" s="6">
        <v>0</v>
      </c>
      <c r="AI1195" s="6">
        <v>0</v>
      </c>
      <c r="AJ1195" s="6">
        <v>5589776.3423074</v>
      </c>
      <c r="AK1195" s="6">
        <v>15360.381536437</v>
      </c>
      <c r="AL1195" s="6">
        <v>330.98244656580999</v>
      </c>
      <c r="AM1195" s="6">
        <v>93035.839999999997</v>
      </c>
      <c r="AN1195" s="6">
        <v>6074.9261431548603</v>
      </c>
      <c r="AO1195" s="6">
        <v>22536.578463383699</v>
      </c>
      <c r="AP1195" s="6">
        <v>330.98244656580999</v>
      </c>
      <c r="AQ1195" s="6">
        <v>93035.839999999997</v>
      </c>
      <c r="AR1195" s="6">
        <v>14150.420719411901</v>
      </c>
      <c r="AS1195" s="6">
        <v>17497.3387163976</v>
      </c>
      <c r="AT1195" s="6">
        <v>0</v>
      </c>
      <c r="AU1195" t="s">
        <v>2973</v>
      </c>
      <c r="AV1195" t="s">
        <v>2973</v>
      </c>
    </row>
    <row r="1196" spans="1:48" x14ac:dyDescent="0.45">
      <c r="A1196" s="5" t="s">
        <v>2412</v>
      </c>
      <c r="B1196">
        <v>2083</v>
      </c>
      <c r="C1196" t="s">
        <v>2403</v>
      </c>
      <c r="D1196">
        <v>546</v>
      </c>
      <c r="E1196" t="s">
        <v>2413</v>
      </c>
      <c r="F1196" t="s">
        <v>2739</v>
      </c>
      <c r="G1196" t="s">
        <v>2740</v>
      </c>
      <c r="H1196" t="s">
        <v>2745</v>
      </c>
      <c r="I1196" t="s">
        <v>2742</v>
      </c>
      <c r="J1196">
        <v>373.99931307445098</v>
      </c>
      <c r="K1196">
        <v>1</v>
      </c>
      <c r="L1196">
        <v>1</v>
      </c>
      <c r="M1196">
        <v>2</v>
      </c>
      <c r="N1196" s="6">
        <v>2759061.0442494</v>
      </c>
      <c r="O1196" s="6">
        <v>862479.168952015</v>
      </c>
      <c r="P1196" s="6">
        <v>898825.48681201995</v>
      </c>
      <c r="Q1196" s="6">
        <v>146449.57211927601</v>
      </c>
      <c r="R1196" s="6">
        <v>879780.48690736596</v>
      </c>
      <c r="S1196" s="6">
        <v>188623.44547785999</v>
      </c>
      <c r="T1196" s="6">
        <v>3463201</v>
      </c>
      <c r="U1196" s="6">
        <v>2083394.75904008</v>
      </c>
      <c r="V1196" s="6">
        <v>3969979.25618217</v>
      </c>
      <c r="W1196" s="6">
        <v>859409.36443087005</v>
      </c>
      <c r="X1196" s="6">
        <v>0</v>
      </c>
      <c r="Y1196" s="6">
        <v>0</v>
      </c>
      <c r="Z1196" s="6">
        <v>0</v>
      </c>
      <c r="AA1196" s="6">
        <v>688976.89784672996</v>
      </c>
      <c r="AB1196" s="6">
        <v>28230.2405803037</v>
      </c>
      <c r="AC1196" s="6">
        <v>148086.65730566601</v>
      </c>
      <c r="AD1196" s="6">
        <v>40536.788172194603</v>
      </c>
      <c r="AE1196" s="6">
        <v>0</v>
      </c>
      <c r="AF1196" s="6">
        <v>0</v>
      </c>
      <c r="AG1196" s="6">
        <v>0</v>
      </c>
      <c r="AH1196" s="6">
        <v>0</v>
      </c>
      <c r="AI1196" s="6">
        <v>0</v>
      </c>
      <c r="AJ1196" s="6">
        <v>5735219.2045179401</v>
      </c>
      <c r="AK1196" s="6">
        <v>15334.838872755499</v>
      </c>
      <c r="AL1196" s="6">
        <v>330.98244656580999</v>
      </c>
      <c r="AM1196" s="6">
        <v>93035.839999999997</v>
      </c>
      <c r="AN1196" s="6">
        <v>6074.9261431548603</v>
      </c>
      <c r="AO1196" s="6">
        <v>22536.578463383699</v>
      </c>
      <c r="AP1196" s="6">
        <v>330.98244656580999</v>
      </c>
      <c r="AQ1196" s="6">
        <v>93035.839999999997</v>
      </c>
      <c r="AR1196" s="6">
        <v>14150.420719411901</v>
      </c>
      <c r="AS1196" s="6">
        <v>17497.3387163976</v>
      </c>
      <c r="AT1196" s="6">
        <v>0</v>
      </c>
      <c r="AU1196" t="s">
        <v>2973</v>
      </c>
      <c r="AV1196" t="s">
        <v>2973</v>
      </c>
    </row>
    <row r="1197" spans="1:48" x14ac:dyDescent="0.45">
      <c r="A1197" s="5" t="s">
        <v>2414</v>
      </c>
      <c r="B1197">
        <v>2083</v>
      </c>
      <c r="C1197" t="s">
        <v>2403</v>
      </c>
      <c r="D1197">
        <v>1354</v>
      </c>
      <c r="E1197" t="s">
        <v>2415</v>
      </c>
      <c r="F1197" t="s">
        <v>2739</v>
      </c>
      <c r="G1197" t="s">
        <v>2744</v>
      </c>
      <c r="H1197" t="s">
        <v>2745</v>
      </c>
      <c r="I1197" t="s">
        <v>2742</v>
      </c>
      <c r="J1197">
        <v>86.822741860710707</v>
      </c>
      <c r="K1197">
        <v>1</v>
      </c>
      <c r="L1197">
        <v>2</v>
      </c>
      <c r="M1197">
        <v>2</v>
      </c>
      <c r="N1197" s="6">
        <v>813087.38962187804</v>
      </c>
      <c r="O1197" s="6">
        <v>630610.11840231495</v>
      </c>
      <c r="P1197" s="6">
        <v>231067.77006222401</v>
      </c>
      <c r="Q1197" s="6">
        <v>33997.798795936003</v>
      </c>
      <c r="R1197" s="6">
        <v>204136.12913899199</v>
      </c>
      <c r="S1197" s="6">
        <v>43788.328328672702</v>
      </c>
      <c r="T1197" s="6">
        <v>1429245.79</v>
      </c>
      <c r="U1197" s="6">
        <v>483653.41602134501</v>
      </c>
      <c r="V1197" s="6">
        <v>1513334.3898565399</v>
      </c>
      <c r="W1197" s="6">
        <v>233067.47763114999</v>
      </c>
      <c r="X1197" s="6">
        <v>0</v>
      </c>
      <c r="Y1197" s="6">
        <v>0</v>
      </c>
      <c r="Z1197" s="6">
        <v>0</v>
      </c>
      <c r="AA1197" s="6">
        <v>159943.77866098401</v>
      </c>
      <c r="AB1197" s="6">
        <v>6553.5598726662702</v>
      </c>
      <c r="AC1197" s="6">
        <v>34377.842875090697</v>
      </c>
      <c r="AD1197" s="6">
        <v>9410.4854535819504</v>
      </c>
      <c r="AE1197" s="6">
        <v>0</v>
      </c>
      <c r="AF1197" s="6">
        <v>0</v>
      </c>
      <c r="AG1197" s="6">
        <v>0</v>
      </c>
      <c r="AH1197" s="6">
        <v>0</v>
      </c>
      <c r="AI1197" s="6">
        <v>0</v>
      </c>
      <c r="AJ1197" s="6">
        <v>1956687.5343500101</v>
      </c>
      <c r="AK1197" s="6">
        <v>22536.578463383699</v>
      </c>
      <c r="AL1197" s="6">
        <v>330.98244656580999</v>
      </c>
      <c r="AM1197" s="6">
        <v>93035.839999999997</v>
      </c>
      <c r="AN1197" s="6">
        <v>6074.9261431548603</v>
      </c>
      <c r="AO1197" s="6">
        <v>22536.578463383699</v>
      </c>
      <c r="AP1197" s="6">
        <v>330.98244656580999</v>
      </c>
      <c r="AQ1197" s="6">
        <v>40734.411818744898</v>
      </c>
      <c r="AR1197" s="6">
        <v>6074.9261431548703</v>
      </c>
      <c r="AS1197" s="6">
        <v>22536.578463383699</v>
      </c>
      <c r="AT1197" s="6">
        <v>0</v>
      </c>
      <c r="AU1197" t="s">
        <v>2973</v>
      </c>
      <c r="AV1197" t="s">
        <v>2973</v>
      </c>
    </row>
    <row r="1198" spans="1:48" x14ac:dyDescent="0.45">
      <c r="A1198" s="5" t="s">
        <v>2416</v>
      </c>
      <c r="B1198">
        <v>2083</v>
      </c>
      <c r="C1198" t="s">
        <v>2403</v>
      </c>
      <c r="D1198">
        <v>548</v>
      </c>
      <c r="E1198" t="s">
        <v>2417</v>
      </c>
      <c r="F1198" t="s">
        <v>2739</v>
      </c>
      <c r="G1198" t="s">
        <v>2740</v>
      </c>
      <c r="H1198" t="s">
        <v>2745</v>
      </c>
      <c r="I1198" t="s">
        <v>2742</v>
      </c>
      <c r="J1198">
        <v>427.53801169583897</v>
      </c>
      <c r="K1198">
        <v>2</v>
      </c>
      <c r="L1198">
        <v>1</v>
      </c>
      <c r="M1198">
        <v>2</v>
      </c>
      <c r="N1198" s="6">
        <v>3723919.5856353198</v>
      </c>
      <c r="O1198" s="6">
        <v>1045334.03315377</v>
      </c>
      <c r="P1198" s="6">
        <v>1007590.90197266</v>
      </c>
      <c r="Q1198" s="6">
        <v>167414.10127969299</v>
      </c>
      <c r="R1198" s="6">
        <v>1006269.95920068</v>
      </c>
      <c r="S1198" s="6">
        <v>215625.24320136799</v>
      </c>
      <c r="T1198" s="6">
        <v>4568891.9800000004</v>
      </c>
      <c r="U1198" s="6">
        <v>2381636.6012421302</v>
      </c>
      <c r="V1198" s="6">
        <v>5070375.8991499199</v>
      </c>
      <c r="W1198" s="6">
        <v>1060276.00527031</v>
      </c>
      <c r="X1198" s="6">
        <v>0</v>
      </c>
      <c r="Y1198" s="6">
        <v>0</v>
      </c>
      <c r="Z1198" s="6">
        <v>0</v>
      </c>
      <c r="AA1198" s="6">
        <v>787605.22469494597</v>
      </c>
      <c r="AB1198" s="6">
        <v>32271.452126960499</v>
      </c>
      <c r="AC1198" s="6">
        <v>169285.53826125301</v>
      </c>
      <c r="AD1198" s="6">
        <v>46339.704940114301</v>
      </c>
      <c r="AE1198" s="6">
        <v>0</v>
      </c>
      <c r="AF1198" s="6">
        <v>0</v>
      </c>
      <c r="AG1198" s="6">
        <v>0</v>
      </c>
      <c r="AH1198" s="6">
        <v>0</v>
      </c>
      <c r="AI1198" s="6">
        <v>0</v>
      </c>
      <c r="AJ1198" s="6">
        <v>7166153.8244435098</v>
      </c>
      <c r="AK1198" s="6">
        <v>16761.442558098599</v>
      </c>
      <c r="AL1198" s="6">
        <v>330.98244656580999</v>
      </c>
      <c r="AM1198" s="6">
        <v>93035.839999999997</v>
      </c>
      <c r="AN1198" s="6">
        <v>6074.9261431548603</v>
      </c>
      <c r="AO1198" s="6">
        <v>22536.578463383699</v>
      </c>
      <c r="AP1198" s="6">
        <v>330.98244656580999</v>
      </c>
      <c r="AQ1198" s="6">
        <v>93035.839999999997</v>
      </c>
      <c r="AR1198" s="6">
        <v>14150.420719411901</v>
      </c>
      <c r="AS1198" s="6">
        <v>17497.3387163976</v>
      </c>
      <c r="AT1198" s="6">
        <v>0</v>
      </c>
      <c r="AU1198" t="s">
        <v>2973</v>
      </c>
      <c r="AV1198" t="s">
        <v>2973</v>
      </c>
    </row>
    <row r="1199" spans="1:48" x14ac:dyDescent="0.45">
      <c r="A1199" s="5" t="s">
        <v>2418</v>
      </c>
      <c r="B1199">
        <v>2083</v>
      </c>
      <c r="C1199" t="s">
        <v>2403</v>
      </c>
      <c r="D1199">
        <v>549</v>
      </c>
      <c r="E1199" t="s">
        <v>2419</v>
      </c>
      <c r="F1199" t="s">
        <v>2739</v>
      </c>
      <c r="G1199" t="s">
        <v>2747</v>
      </c>
      <c r="H1199" t="s">
        <v>2745</v>
      </c>
      <c r="I1199" t="s">
        <v>2742</v>
      </c>
      <c r="J1199">
        <v>671.20106680887795</v>
      </c>
      <c r="K1199">
        <v>2</v>
      </c>
      <c r="L1199">
        <v>1</v>
      </c>
      <c r="M1199">
        <v>2</v>
      </c>
      <c r="N1199" s="6">
        <v>4587787.2558192899</v>
      </c>
      <c r="O1199" s="6">
        <v>1627791.21344211</v>
      </c>
      <c r="P1199" s="6">
        <v>1593133.06075538</v>
      </c>
      <c r="Q1199" s="6">
        <v>262826.97749392397</v>
      </c>
      <c r="R1199" s="6">
        <v>1629929.6204415599</v>
      </c>
      <c r="S1199" s="6">
        <v>338514.680118419</v>
      </c>
      <c r="T1199" s="6">
        <v>5962485.9000000004</v>
      </c>
      <c r="U1199" s="6">
        <v>3738982.2279522601</v>
      </c>
      <c r="V1199" s="6">
        <v>6906136.8082000399</v>
      </c>
      <c r="W1199" s="6">
        <v>1508189.39299864</v>
      </c>
      <c r="X1199" s="6">
        <v>0</v>
      </c>
      <c r="Y1199" s="6">
        <v>0</v>
      </c>
      <c r="Z1199" s="6">
        <v>0</v>
      </c>
      <c r="AA1199" s="6">
        <v>1236478.28398375</v>
      </c>
      <c r="AB1199" s="6">
        <v>50663.642769844402</v>
      </c>
      <c r="AC1199" s="6">
        <v>265764.98642909899</v>
      </c>
      <c r="AD1199" s="6">
        <v>72749.693689320397</v>
      </c>
      <c r="AE1199" s="6">
        <v>0</v>
      </c>
      <c r="AF1199" s="6">
        <v>0</v>
      </c>
      <c r="AG1199" s="6">
        <v>0</v>
      </c>
      <c r="AH1199" s="6">
        <v>0</v>
      </c>
      <c r="AI1199" s="6">
        <v>0</v>
      </c>
      <c r="AJ1199" s="6">
        <v>10039982.808070701</v>
      </c>
      <c r="AK1199" s="6">
        <v>14958.234282618499</v>
      </c>
      <c r="AL1199" s="6">
        <v>330.98244656580999</v>
      </c>
      <c r="AM1199" s="6">
        <v>93035.839999999997</v>
      </c>
      <c r="AN1199" s="6">
        <v>6074.9261431548603</v>
      </c>
      <c r="AO1199" s="6">
        <v>22536.578463383699</v>
      </c>
      <c r="AP1199" s="6">
        <v>3753.1860850462999</v>
      </c>
      <c r="AQ1199" s="6">
        <v>20687.885194392002</v>
      </c>
      <c r="AR1199" s="6">
        <v>13910.1420481609</v>
      </c>
      <c r="AS1199" s="6">
        <v>14958.234282618499</v>
      </c>
      <c r="AT1199" s="6">
        <v>0</v>
      </c>
      <c r="AU1199" t="s">
        <v>2973</v>
      </c>
      <c r="AV1199" t="s">
        <v>2973</v>
      </c>
    </row>
    <row r="1200" spans="1:48" x14ac:dyDescent="0.45">
      <c r="A1200" s="5" t="s">
        <v>2420</v>
      </c>
      <c r="B1200">
        <v>2083</v>
      </c>
      <c r="C1200" t="s">
        <v>2403</v>
      </c>
      <c r="D1200">
        <v>550</v>
      </c>
      <c r="E1200" t="s">
        <v>2421</v>
      </c>
      <c r="F1200" t="s">
        <v>2739</v>
      </c>
      <c r="G1200" t="s">
        <v>2740</v>
      </c>
      <c r="H1200" t="s">
        <v>2745</v>
      </c>
      <c r="I1200" t="s">
        <v>2742</v>
      </c>
      <c r="J1200">
        <v>342.51786870006998</v>
      </c>
      <c r="K1200">
        <v>1</v>
      </c>
      <c r="L1200">
        <v>1</v>
      </c>
      <c r="M1200">
        <v>2</v>
      </c>
      <c r="N1200" s="6">
        <v>3139407.0219844701</v>
      </c>
      <c r="O1200" s="6">
        <v>873000.51853348198</v>
      </c>
      <c r="P1200" s="6">
        <v>867011.93563000998</v>
      </c>
      <c r="Q1200" s="6">
        <v>134122.158947244</v>
      </c>
      <c r="R1200" s="6">
        <v>806863.48933855898</v>
      </c>
      <c r="S1200" s="6">
        <v>172746.04062997201</v>
      </c>
      <c r="T1200" s="6">
        <v>3912380.41</v>
      </c>
      <c r="U1200" s="6">
        <v>1908024.7144337699</v>
      </c>
      <c r="V1200" s="6">
        <v>4214387.9765172899</v>
      </c>
      <c r="W1200" s="6">
        <v>949181.02046187595</v>
      </c>
      <c r="X1200" s="6">
        <v>0</v>
      </c>
      <c r="Y1200" s="6">
        <v>0</v>
      </c>
      <c r="Z1200" s="6">
        <v>0</v>
      </c>
      <c r="AA1200" s="6">
        <v>630982.17131503299</v>
      </c>
      <c r="AB1200" s="6">
        <v>25853.9561395692</v>
      </c>
      <c r="AC1200" s="6">
        <v>135621.44225959299</v>
      </c>
      <c r="AD1200" s="6">
        <v>37124.598370378102</v>
      </c>
      <c r="AE1200" s="6">
        <v>0</v>
      </c>
      <c r="AF1200" s="6">
        <v>0</v>
      </c>
      <c r="AG1200" s="6">
        <v>0</v>
      </c>
      <c r="AH1200" s="6">
        <v>0</v>
      </c>
      <c r="AI1200" s="6">
        <v>0</v>
      </c>
      <c r="AJ1200" s="6">
        <v>5993151.1650637398</v>
      </c>
      <c r="AK1200" s="6">
        <v>17497.3387163976</v>
      </c>
      <c r="AL1200" s="6">
        <v>330.98244656580999</v>
      </c>
      <c r="AM1200" s="6">
        <v>93035.839999999997</v>
      </c>
      <c r="AN1200" s="6">
        <v>6074.9261431548603</v>
      </c>
      <c r="AO1200" s="6">
        <v>22536.578463383699</v>
      </c>
      <c r="AP1200" s="6">
        <v>330.98244656580999</v>
      </c>
      <c r="AQ1200" s="6">
        <v>93035.839999999997</v>
      </c>
      <c r="AR1200" s="6">
        <v>14150.420719411901</v>
      </c>
      <c r="AS1200" s="6">
        <v>17497.3387163976</v>
      </c>
      <c r="AT1200" s="6">
        <v>0</v>
      </c>
      <c r="AU1200" t="s">
        <v>2973</v>
      </c>
      <c r="AV1200" t="s">
        <v>2973</v>
      </c>
    </row>
    <row r="1201" spans="1:48" x14ac:dyDescent="0.45">
      <c r="A1201" s="5" t="s">
        <v>2422</v>
      </c>
      <c r="B1201">
        <v>2083</v>
      </c>
      <c r="C1201" t="s">
        <v>2403</v>
      </c>
      <c r="D1201">
        <v>554</v>
      </c>
      <c r="E1201" t="s">
        <v>2423</v>
      </c>
      <c r="F1201" t="s">
        <v>2739</v>
      </c>
      <c r="G1201" t="s">
        <v>2740</v>
      </c>
      <c r="H1201" t="s">
        <v>2745</v>
      </c>
      <c r="I1201" t="s">
        <v>2742</v>
      </c>
      <c r="J1201">
        <v>511.91812865492898</v>
      </c>
      <c r="K1201">
        <v>2</v>
      </c>
      <c r="L1201">
        <v>1</v>
      </c>
      <c r="M1201">
        <v>2</v>
      </c>
      <c r="N1201" s="6">
        <v>3600713.7796436399</v>
      </c>
      <c r="O1201" s="6">
        <v>940018.73511793301</v>
      </c>
      <c r="P1201" s="6">
        <v>1143187.53922208</v>
      </c>
      <c r="Q1201" s="6">
        <v>200455.42406301401</v>
      </c>
      <c r="R1201" s="6">
        <v>1204783.17091406</v>
      </c>
      <c r="S1201" s="6">
        <v>258181.65396001501</v>
      </c>
      <c r="T1201" s="6">
        <v>4237475.4800000004</v>
      </c>
      <c r="U1201" s="6">
        <v>2851683.1689607301</v>
      </c>
      <c r="V1201" s="6">
        <v>5104218.5015127202</v>
      </c>
      <c r="W1201" s="6">
        <v>1003250.27977588</v>
      </c>
      <c r="X1201" s="6">
        <v>0</v>
      </c>
      <c r="Y1201" s="6">
        <v>0</v>
      </c>
      <c r="Z1201" s="6">
        <v>0</v>
      </c>
      <c r="AA1201" s="6">
        <v>943049.23004488403</v>
      </c>
      <c r="AB1201" s="6">
        <v>38640.637627242701</v>
      </c>
      <c r="AC1201" s="6">
        <v>202696.213165475</v>
      </c>
      <c r="AD1201" s="6">
        <v>55485.440794540104</v>
      </c>
      <c r="AE1201" s="6">
        <v>0</v>
      </c>
      <c r="AF1201" s="6">
        <v>0</v>
      </c>
      <c r="AG1201" s="6">
        <v>0</v>
      </c>
      <c r="AH1201" s="6">
        <v>0</v>
      </c>
      <c r="AI1201" s="6">
        <v>0</v>
      </c>
      <c r="AJ1201" s="6">
        <v>7347340.3029207299</v>
      </c>
      <c r="AK1201" s="6">
        <v>14352.569076281699</v>
      </c>
      <c r="AL1201" s="6">
        <v>330.98244656580999</v>
      </c>
      <c r="AM1201" s="6">
        <v>93035.839999999997</v>
      </c>
      <c r="AN1201" s="6">
        <v>6074.9261431548603</v>
      </c>
      <c r="AO1201" s="6">
        <v>22536.578463383699</v>
      </c>
      <c r="AP1201" s="6">
        <v>330.98244656580999</v>
      </c>
      <c r="AQ1201" s="6">
        <v>93035.839999999997</v>
      </c>
      <c r="AR1201" s="6">
        <v>14150.420719411901</v>
      </c>
      <c r="AS1201" s="6">
        <v>17497.3387163976</v>
      </c>
      <c r="AT1201" s="6">
        <v>0</v>
      </c>
      <c r="AU1201" t="s">
        <v>2973</v>
      </c>
      <c r="AV1201" t="s">
        <v>2973</v>
      </c>
    </row>
    <row r="1202" spans="1:48" x14ac:dyDescent="0.45">
      <c r="A1202" s="5" t="s">
        <v>2424</v>
      </c>
      <c r="B1202">
        <v>2083</v>
      </c>
      <c r="C1202" t="s">
        <v>2403</v>
      </c>
      <c r="D1202">
        <v>553</v>
      </c>
      <c r="E1202" t="s">
        <v>2425</v>
      </c>
      <c r="F1202" t="s">
        <v>2739</v>
      </c>
      <c r="G1202" t="s">
        <v>2740</v>
      </c>
      <c r="H1202" t="s">
        <v>2745</v>
      </c>
      <c r="I1202" t="s">
        <v>2742</v>
      </c>
      <c r="J1202">
        <v>437.94943041609201</v>
      </c>
      <c r="K1202">
        <v>1</v>
      </c>
      <c r="L1202">
        <v>1</v>
      </c>
      <c r="M1202">
        <v>2</v>
      </c>
      <c r="N1202" s="6">
        <v>2906475.9143113201</v>
      </c>
      <c r="O1202" s="6">
        <v>864668.45453677501</v>
      </c>
      <c r="P1202" s="6">
        <v>1003958.06822905</v>
      </c>
      <c r="Q1202" s="6">
        <v>171490.974587832</v>
      </c>
      <c r="R1202" s="6">
        <v>1029699.1268393</v>
      </c>
      <c r="S1202" s="6">
        <v>220876.15571022601</v>
      </c>
      <c r="T1202" s="6">
        <v>3536658.25</v>
      </c>
      <c r="U1202" s="6">
        <v>2439634.2885042699</v>
      </c>
      <c r="V1202" s="6">
        <v>4564272.4507288197</v>
      </c>
      <c r="W1202" s="6">
        <v>572177.74907590798</v>
      </c>
      <c r="X1202" s="6">
        <v>0</v>
      </c>
      <c r="Y1202" s="6">
        <v>0</v>
      </c>
      <c r="Z1202" s="6">
        <v>0</v>
      </c>
      <c r="AA1202" s="6">
        <v>806785.01118464896</v>
      </c>
      <c r="AB1202" s="6">
        <v>33057.327514909499</v>
      </c>
      <c r="AC1202" s="6">
        <v>173407.98485993201</v>
      </c>
      <c r="AD1202" s="6">
        <v>47468.170850293398</v>
      </c>
      <c r="AE1202" s="6">
        <v>0</v>
      </c>
      <c r="AF1202" s="6">
        <v>0</v>
      </c>
      <c r="AG1202" s="6">
        <v>0</v>
      </c>
      <c r="AH1202" s="6">
        <v>0</v>
      </c>
      <c r="AI1202" s="6">
        <v>0</v>
      </c>
      <c r="AJ1202" s="6">
        <v>6197168.6942145098</v>
      </c>
      <c r="AK1202" s="6">
        <v>14150.420719411901</v>
      </c>
      <c r="AL1202" s="6">
        <v>330.98244656580999</v>
      </c>
      <c r="AM1202" s="6">
        <v>93035.839999999997</v>
      </c>
      <c r="AN1202" s="6">
        <v>6074.9261431548603</v>
      </c>
      <c r="AO1202" s="6">
        <v>22536.578463383699</v>
      </c>
      <c r="AP1202" s="6">
        <v>330.98244656580999</v>
      </c>
      <c r="AQ1202" s="6">
        <v>93035.839999999997</v>
      </c>
      <c r="AR1202" s="6">
        <v>14150.420719411901</v>
      </c>
      <c r="AS1202" s="6">
        <v>17497.3387163976</v>
      </c>
      <c r="AT1202" s="6">
        <v>0</v>
      </c>
      <c r="AU1202" t="s">
        <v>2973</v>
      </c>
      <c r="AV1202" t="s">
        <v>2973</v>
      </c>
    </row>
    <row r="1203" spans="1:48" x14ac:dyDescent="0.45">
      <c r="A1203" s="5" t="s">
        <v>2426</v>
      </c>
      <c r="B1203">
        <v>2083</v>
      </c>
      <c r="C1203" t="s">
        <v>2403</v>
      </c>
      <c r="D1203">
        <v>1352</v>
      </c>
      <c r="E1203" t="s">
        <v>2427</v>
      </c>
      <c r="F1203" t="s">
        <v>2739</v>
      </c>
      <c r="G1203" t="s">
        <v>2740</v>
      </c>
      <c r="H1203" t="s">
        <v>2745</v>
      </c>
      <c r="I1203" t="s">
        <v>2742</v>
      </c>
      <c r="J1203">
        <v>513.69908103575801</v>
      </c>
      <c r="K1203">
        <v>1</v>
      </c>
      <c r="L1203">
        <v>1</v>
      </c>
      <c r="M1203">
        <v>2</v>
      </c>
      <c r="N1203" s="6">
        <v>3864553.6085301801</v>
      </c>
      <c r="O1203" s="6">
        <v>1135260.4068122001</v>
      </c>
      <c r="P1203" s="6">
        <v>1186072.2396529</v>
      </c>
      <c r="Q1203" s="6">
        <v>201152.804258697</v>
      </c>
      <c r="R1203" s="6">
        <v>1208204.2753518401</v>
      </c>
      <c r="S1203" s="6">
        <v>259079.86249291999</v>
      </c>
      <c r="T1203" s="6">
        <v>4733639.22</v>
      </c>
      <c r="U1203" s="6">
        <v>2861604.1146058301</v>
      </c>
      <c r="V1203" s="6">
        <v>5559611.9492675299</v>
      </c>
      <c r="W1203" s="6">
        <v>1050526.2393058201</v>
      </c>
      <c r="X1203" s="6">
        <v>0</v>
      </c>
      <c r="Y1203" s="6">
        <v>0</v>
      </c>
      <c r="Z1203" s="6">
        <v>0</v>
      </c>
      <c r="AA1203" s="6">
        <v>946330.07844128704</v>
      </c>
      <c r="AB1203" s="6">
        <v>38775.0675911898</v>
      </c>
      <c r="AC1203" s="6">
        <v>203401.38901922101</v>
      </c>
      <c r="AD1203" s="6">
        <v>55678.473473699203</v>
      </c>
      <c r="AE1203" s="6">
        <v>0</v>
      </c>
      <c r="AF1203" s="6">
        <v>0</v>
      </c>
      <c r="AG1203" s="6">
        <v>0</v>
      </c>
      <c r="AH1203" s="6">
        <v>0</v>
      </c>
      <c r="AI1203" s="6">
        <v>0</v>
      </c>
      <c r="AJ1203" s="6">
        <v>7854323.1970987497</v>
      </c>
      <c r="AK1203" s="6">
        <v>15289.735736459301</v>
      </c>
      <c r="AL1203" s="6">
        <v>330.98244656580999</v>
      </c>
      <c r="AM1203" s="6">
        <v>93035.839999999997</v>
      </c>
      <c r="AN1203" s="6">
        <v>6074.9261431548603</v>
      </c>
      <c r="AO1203" s="6">
        <v>22536.578463383699</v>
      </c>
      <c r="AP1203" s="6">
        <v>330.98244656580999</v>
      </c>
      <c r="AQ1203" s="6">
        <v>93035.839999999997</v>
      </c>
      <c r="AR1203" s="6">
        <v>14150.420719411901</v>
      </c>
      <c r="AS1203" s="6">
        <v>17497.3387163976</v>
      </c>
      <c r="AT1203" s="6">
        <v>0</v>
      </c>
      <c r="AU1203" t="s">
        <v>2973</v>
      </c>
      <c r="AV1203" t="s">
        <v>2973</v>
      </c>
    </row>
    <row r="1204" spans="1:48" x14ac:dyDescent="0.45">
      <c r="A1204" s="5" t="s">
        <v>2428</v>
      </c>
      <c r="B1204">
        <v>2083</v>
      </c>
      <c r="C1204" t="s">
        <v>2403</v>
      </c>
      <c r="D1204">
        <v>560</v>
      </c>
      <c r="E1204" t="s">
        <v>2429</v>
      </c>
      <c r="F1204" t="s">
        <v>2739</v>
      </c>
      <c r="G1204" t="s">
        <v>2744</v>
      </c>
      <c r="H1204" t="s">
        <v>2745</v>
      </c>
      <c r="I1204" t="s">
        <v>2742</v>
      </c>
      <c r="J1204">
        <v>1303.3109737540501</v>
      </c>
      <c r="K1204">
        <v>1</v>
      </c>
      <c r="L1204">
        <v>1</v>
      </c>
      <c r="M1204">
        <v>2</v>
      </c>
      <c r="N1204" s="6">
        <v>8246137.7141944598</v>
      </c>
      <c r="O1204" s="6">
        <v>4597342.6206445703</v>
      </c>
      <c r="P1204" s="6">
        <v>2655888.7604227802</v>
      </c>
      <c r="Q1204" s="6">
        <v>510346.75137663097</v>
      </c>
      <c r="R1204" s="6">
        <v>3162606.03185922</v>
      </c>
      <c r="S1204" s="6">
        <v>657314.05862142902</v>
      </c>
      <c r="T1204" s="6">
        <v>11912118.029999999</v>
      </c>
      <c r="U1204" s="6">
        <v>7260203.8484976599</v>
      </c>
      <c r="V1204" s="6">
        <v>12916869.1041923</v>
      </c>
      <c r="W1204" s="6">
        <v>3716623.3823444098</v>
      </c>
      <c r="X1204" s="6">
        <v>0</v>
      </c>
      <c r="Y1204" s="6">
        <v>0</v>
      </c>
      <c r="Z1204" s="6">
        <v>0</v>
      </c>
      <c r="AA1204" s="6">
        <v>2440452.7879036702</v>
      </c>
      <c r="AB1204" s="6">
        <v>98376.604057298202</v>
      </c>
      <c r="AC1204" s="6">
        <v>516051.65781309601</v>
      </c>
      <c r="AD1204" s="6">
        <v>141262.400808334</v>
      </c>
      <c r="AE1204" s="6">
        <v>0</v>
      </c>
      <c r="AF1204" s="6">
        <v>0</v>
      </c>
      <c r="AG1204" s="6">
        <v>0</v>
      </c>
      <c r="AH1204" s="6">
        <v>0</v>
      </c>
      <c r="AI1204" s="6">
        <v>0</v>
      </c>
      <c r="AJ1204" s="6">
        <v>19829635.9371191</v>
      </c>
      <c r="AK1204" s="6">
        <v>15214.8154480753</v>
      </c>
      <c r="AL1204" s="6">
        <v>330.98244656580999</v>
      </c>
      <c r="AM1204" s="6">
        <v>93035.839999999997</v>
      </c>
      <c r="AN1204" s="6">
        <v>6074.9261431548603</v>
      </c>
      <c r="AO1204" s="6">
        <v>22536.578463383699</v>
      </c>
      <c r="AP1204" s="6">
        <v>330.98244656580999</v>
      </c>
      <c r="AQ1204" s="6">
        <v>40734.411818744898</v>
      </c>
      <c r="AR1204" s="6">
        <v>6074.9261431548703</v>
      </c>
      <c r="AS1204" s="6">
        <v>22536.578463383699</v>
      </c>
      <c r="AT1204" s="6">
        <v>0</v>
      </c>
      <c r="AU1204" t="s">
        <v>2973</v>
      </c>
      <c r="AV1204" t="s">
        <v>2973</v>
      </c>
    </row>
    <row r="1205" spans="1:48" x14ac:dyDescent="0.45">
      <c r="A1205" s="5" t="s">
        <v>2430</v>
      </c>
      <c r="B1205">
        <v>2083</v>
      </c>
      <c r="C1205" t="s">
        <v>2403</v>
      </c>
      <c r="D1205">
        <v>2083</v>
      </c>
      <c r="E1205" t="s">
        <v>2403</v>
      </c>
      <c r="F1205" t="s">
        <v>1</v>
      </c>
      <c r="G1205" t="s">
        <v>1</v>
      </c>
      <c r="H1205" t="s">
        <v>2743</v>
      </c>
      <c r="I1205" t="s">
        <v>2742</v>
      </c>
      <c r="J1205">
        <v>178.82354711321699</v>
      </c>
      <c r="K1205">
        <v>1</v>
      </c>
      <c r="L1205">
        <v>3</v>
      </c>
      <c r="M1205">
        <v>2</v>
      </c>
      <c r="N1205" s="6">
        <v>125461.86728375099</v>
      </c>
      <c r="O1205" s="6">
        <v>126742.36323454299</v>
      </c>
      <c r="P1205" s="6">
        <v>253477.400861998</v>
      </c>
      <c r="Q1205" s="6">
        <v>70023.208717414207</v>
      </c>
      <c r="R1205" s="6">
        <v>420446.83137466502</v>
      </c>
      <c r="S1205" s="6">
        <v>90188.169897394604</v>
      </c>
      <c r="T1205" s="6">
        <v>0</v>
      </c>
      <c r="U1205" s="6">
        <v>996151.67147237097</v>
      </c>
      <c r="V1205" s="6">
        <v>510861.40176420502</v>
      </c>
      <c r="W1205" s="6">
        <v>142365.777536943</v>
      </c>
      <c r="X1205" s="6">
        <v>0</v>
      </c>
      <c r="Y1205" s="6">
        <v>0</v>
      </c>
      <c r="Z1205" s="6">
        <v>0</v>
      </c>
      <c r="AA1205" s="6">
        <v>329426.52150670299</v>
      </c>
      <c r="AB1205" s="6">
        <v>13497.9706645195</v>
      </c>
      <c r="AC1205" s="6">
        <v>70805.962507923003</v>
      </c>
      <c r="AD1205" s="6">
        <v>19382.207389471601</v>
      </c>
      <c r="AE1205" s="6">
        <v>0</v>
      </c>
      <c r="AF1205" s="6">
        <v>0</v>
      </c>
      <c r="AG1205" s="6">
        <v>0</v>
      </c>
      <c r="AH1205" s="6">
        <v>0</v>
      </c>
      <c r="AI1205" s="6">
        <v>0</v>
      </c>
      <c r="AJ1205" s="6">
        <v>1086339.84136977</v>
      </c>
      <c r="AK1205" s="6">
        <v>6074.9261431548603</v>
      </c>
      <c r="AL1205" s="6">
        <v>330.98244656580999</v>
      </c>
      <c r="AM1205" s="6">
        <v>93035.839999999997</v>
      </c>
      <c r="AN1205" s="6">
        <v>6074.9261431548603</v>
      </c>
      <c r="AO1205" s="6">
        <v>22536.578463383699</v>
      </c>
      <c r="AP1205" s="6">
        <v>634.54287297753501</v>
      </c>
      <c r="AQ1205" s="6">
        <v>40331.279999999999</v>
      </c>
      <c r="AR1205" s="6">
        <v>6074.9261431548603</v>
      </c>
      <c r="AS1205" s="6">
        <v>6074.9261431548603</v>
      </c>
      <c r="AT1205" s="6">
        <v>0</v>
      </c>
      <c r="AU1205" t="s">
        <v>2973</v>
      </c>
      <c r="AV1205" t="s">
        <v>2977</v>
      </c>
    </row>
    <row r="1206" spans="1:48" x14ac:dyDescent="0.45">
      <c r="A1206" s="5" t="s">
        <v>2431</v>
      </c>
      <c r="B1206">
        <v>2083</v>
      </c>
      <c r="C1206" t="s">
        <v>2403</v>
      </c>
      <c r="D1206">
        <v>556</v>
      </c>
      <c r="E1206" t="s">
        <v>2432</v>
      </c>
      <c r="F1206" t="s">
        <v>2739</v>
      </c>
      <c r="G1206" t="s">
        <v>2740</v>
      </c>
      <c r="H1206" t="s">
        <v>2745</v>
      </c>
      <c r="I1206" t="s">
        <v>2742</v>
      </c>
      <c r="J1206">
        <v>463.09941520465202</v>
      </c>
      <c r="K1206">
        <v>1</v>
      </c>
      <c r="L1206">
        <v>1</v>
      </c>
      <c r="M1206">
        <v>2</v>
      </c>
      <c r="N1206" s="6">
        <v>3442722.3504967</v>
      </c>
      <c r="O1206" s="6">
        <v>984976.24139927595</v>
      </c>
      <c r="P1206" s="6">
        <v>1001536.12167079</v>
      </c>
      <c r="Q1206" s="6">
        <v>181339.133079925</v>
      </c>
      <c r="R1206" s="6">
        <v>1088831.33612702</v>
      </c>
      <c r="S1206" s="6">
        <v>233560.34153275299</v>
      </c>
      <c r="T1206" s="6">
        <v>4119670.78</v>
      </c>
      <c r="U1206" s="6">
        <v>2579734.40277371</v>
      </c>
      <c r="V1206" s="6">
        <v>5090861.3071095403</v>
      </c>
      <c r="W1206" s="6">
        <v>720472.17399223999</v>
      </c>
      <c r="X1206" s="6">
        <v>0</v>
      </c>
      <c r="Y1206" s="6">
        <v>0</v>
      </c>
      <c r="Z1206" s="6">
        <v>0</v>
      </c>
      <c r="AA1206" s="6">
        <v>853116.00136233703</v>
      </c>
      <c r="AB1206" s="6">
        <v>34955.700309596097</v>
      </c>
      <c r="AC1206" s="6">
        <v>183366.23090057299</v>
      </c>
      <c r="AD1206" s="6">
        <v>50194.110632179603</v>
      </c>
      <c r="AE1206" s="6">
        <v>0</v>
      </c>
      <c r="AF1206" s="6">
        <v>0</v>
      </c>
      <c r="AG1206" s="6">
        <v>0</v>
      </c>
      <c r="AH1206" s="6">
        <v>0</v>
      </c>
      <c r="AI1206" s="6">
        <v>0</v>
      </c>
      <c r="AJ1206" s="6">
        <v>6932965.5243064603</v>
      </c>
      <c r="AK1206" s="6">
        <v>14970.7930882242</v>
      </c>
      <c r="AL1206" s="6">
        <v>330.98244656580999</v>
      </c>
      <c r="AM1206" s="6">
        <v>93035.839999999997</v>
      </c>
      <c r="AN1206" s="6">
        <v>6074.9261431548603</v>
      </c>
      <c r="AO1206" s="6">
        <v>22536.578463383699</v>
      </c>
      <c r="AP1206" s="6">
        <v>330.98244656580999</v>
      </c>
      <c r="AQ1206" s="6">
        <v>93035.839999999997</v>
      </c>
      <c r="AR1206" s="6">
        <v>14150.420719411901</v>
      </c>
      <c r="AS1206" s="6">
        <v>17497.3387163976</v>
      </c>
      <c r="AT1206" s="6">
        <v>0</v>
      </c>
      <c r="AU1206" t="s">
        <v>2973</v>
      </c>
      <c r="AV1206" t="s">
        <v>2973</v>
      </c>
    </row>
    <row r="1207" spans="1:48" x14ac:dyDescent="0.45">
      <c r="A1207" s="5" t="s">
        <v>2433</v>
      </c>
      <c r="B1207">
        <v>2083</v>
      </c>
      <c r="C1207" t="s">
        <v>2403</v>
      </c>
      <c r="D1207">
        <v>561</v>
      </c>
      <c r="E1207" t="s">
        <v>2434</v>
      </c>
      <c r="F1207" t="s">
        <v>2739</v>
      </c>
      <c r="G1207" t="s">
        <v>2744</v>
      </c>
      <c r="H1207" t="s">
        <v>2745</v>
      </c>
      <c r="I1207" t="s">
        <v>2742</v>
      </c>
      <c r="J1207">
        <v>1238.62200783241</v>
      </c>
      <c r="K1207">
        <v>1</v>
      </c>
      <c r="L1207">
        <v>1</v>
      </c>
      <c r="M1207">
        <v>2</v>
      </c>
      <c r="N1207" s="6">
        <v>7500105.9009988904</v>
      </c>
      <c r="O1207" s="6">
        <v>4663641.1812771996</v>
      </c>
      <c r="P1207" s="6">
        <v>2682731.0217078701</v>
      </c>
      <c r="Q1207" s="6">
        <v>485016.03271251201</v>
      </c>
      <c r="R1207" s="6">
        <v>3448924.3639237401</v>
      </c>
      <c r="S1207" s="6">
        <v>624688.71624784404</v>
      </c>
      <c r="T1207" s="6">
        <v>11880570</v>
      </c>
      <c r="U1207" s="6">
        <v>6899848.5006202199</v>
      </c>
      <c r="V1207" s="6">
        <v>12164313.7040777</v>
      </c>
      <c r="W1207" s="6">
        <v>4240836.9423649199</v>
      </c>
      <c r="X1207" s="6">
        <v>0</v>
      </c>
      <c r="Y1207" s="6">
        <v>0</v>
      </c>
      <c r="Z1207" s="6">
        <v>0</v>
      </c>
      <c r="AA1207" s="6">
        <v>2281774.1068716398</v>
      </c>
      <c r="AB1207" s="6">
        <v>93493.747305913101</v>
      </c>
      <c r="AC1207" s="6">
        <v>490437.77994485298</v>
      </c>
      <c r="AD1207" s="6">
        <v>134250.93630299199</v>
      </c>
      <c r="AE1207" s="6">
        <v>0</v>
      </c>
      <c r="AF1207" s="6">
        <v>0</v>
      </c>
      <c r="AG1207" s="6">
        <v>0</v>
      </c>
      <c r="AH1207" s="6">
        <v>0</v>
      </c>
      <c r="AI1207" s="6">
        <v>0</v>
      </c>
      <c r="AJ1207" s="6">
        <v>19405107.216868099</v>
      </c>
      <c r="AK1207" s="6">
        <v>15666.6901558023</v>
      </c>
      <c r="AL1207" s="6">
        <v>330.98244656580999</v>
      </c>
      <c r="AM1207" s="6">
        <v>93035.839999999997</v>
      </c>
      <c r="AN1207" s="6">
        <v>6074.9261431548603</v>
      </c>
      <c r="AO1207" s="6">
        <v>22536.578463383699</v>
      </c>
      <c r="AP1207" s="6">
        <v>330.98244656580999</v>
      </c>
      <c r="AQ1207" s="6">
        <v>40734.411818744898</v>
      </c>
      <c r="AR1207" s="6">
        <v>6074.9261431548703</v>
      </c>
      <c r="AS1207" s="6">
        <v>22536.578463383699</v>
      </c>
      <c r="AT1207" s="6">
        <v>0</v>
      </c>
      <c r="AU1207" t="s">
        <v>2973</v>
      </c>
      <c r="AV1207" t="s">
        <v>2973</v>
      </c>
    </row>
    <row r="1208" spans="1:48" x14ac:dyDescent="0.45">
      <c r="A1208" s="5" t="s">
        <v>2435</v>
      </c>
      <c r="B1208">
        <v>2083</v>
      </c>
      <c r="C1208" t="s">
        <v>2403</v>
      </c>
      <c r="D1208">
        <v>557</v>
      </c>
      <c r="E1208" t="s">
        <v>2436</v>
      </c>
      <c r="F1208" t="s">
        <v>2739</v>
      </c>
      <c r="G1208" t="s">
        <v>2747</v>
      </c>
      <c r="H1208" t="s">
        <v>2745</v>
      </c>
      <c r="I1208" t="s">
        <v>2742</v>
      </c>
      <c r="J1208">
        <v>559.21929824557105</v>
      </c>
      <c r="K1208">
        <v>1</v>
      </c>
      <c r="L1208">
        <v>1</v>
      </c>
      <c r="M1208">
        <v>2</v>
      </c>
      <c r="N1208" s="6">
        <v>3352425.0062422301</v>
      </c>
      <c r="O1208" s="6">
        <v>1407475.6996613501</v>
      </c>
      <c r="P1208" s="6">
        <v>1203077.3405899201</v>
      </c>
      <c r="Q1208" s="6">
        <v>218977.47959928101</v>
      </c>
      <c r="R1208" s="6">
        <v>1314826.74282293</v>
      </c>
      <c r="S1208" s="6">
        <v>282037.60575301602</v>
      </c>
      <c r="T1208" s="6">
        <v>4381603.9400000004</v>
      </c>
      <c r="U1208" s="6">
        <v>3115178.3289157199</v>
      </c>
      <c r="V1208" s="6">
        <v>5629620.1111090798</v>
      </c>
      <c r="W1208" s="6">
        <v>794764.27196335595</v>
      </c>
      <c r="X1208" s="6">
        <v>0</v>
      </c>
      <c r="Y1208" s="6">
        <v>0</v>
      </c>
      <c r="Z1208" s="6">
        <v>0</v>
      </c>
      <c r="AA1208" s="6">
        <v>1030186.85824314</v>
      </c>
      <c r="AB1208" s="6">
        <v>42211.027600145499</v>
      </c>
      <c r="AC1208" s="6">
        <v>221425.317328114</v>
      </c>
      <c r="AD1208" s="6">
        <v>60612.288424902501</v>
      </c>
      <c r="AE1208" s="6">
        <v>0</v>
      </c>
      <c r="AF1208" s="6">
        <v>0</v>
      </c>
      <c r="AG1208" s="6">
        <v>0</v>
      </c>
      <c r="AH1208" s="6">
        <v>0</v>
      </c>
      <c r="AI1208" s="6">
        <v>0</v>
      </c>
      <c r="AJ1208" s="6">
        <v>7778819.8746687397</v>
      </c>
      <c r="AK1208" s="6">
        <v>13910.1420481609</v>
      </c>
      <c r="AL1208" s="6">
        <v>330.98244656580999</v>
      </c>
      <c r="AM1208" s="6">
        <v>93035.839999999997</v>
      </c>
      <c r="AN1208" s="6">
        <v>6074.9261431548603</v>
      </c>
      <c r="AO1208" s="6">
        <v>22536.578463383699</v>
      </c>
      <c r="AP1208" s="6">
        <v>3753.1860850462999</v>
      </c>
      <c r="AQ1208" s="6">
        <v>20687.885194392002</v>
      </c>
      <c r="AR1208" s="6">
        <v>13910.1420481609</v>
      </c>
      <c r="AS1208" s="6">
        <v>14958.234282618499</v>
      </c>
      <c r="AT1208" s="6">
        <v>0</v>
      </c>
      <c r="AU1208" t="s">
        <v>2973</v>
      </c>
      <c r="AV1208" t="s">
        <v>2973</v>
      </c>
    </row>
    <row r="1209" spans="1:48" x14ac:dyDescent="0.45">
      <c r="A1209" s="5" t="s">
        <v>2437</v>
      </c>
      <c r="B1209">
        <v>2083</v>
      </c>
      <c r="C1209" t="s">
        <v>2403</v>
      </c>
      <c r="D1209">
        <v>5059</v>
      </c>
      <c r="E1209" t="s">
        <v>2438</v>
      </c>
      <c r="F1209" t="s">
        <v>2739</v>
      </c>
      <c r="G1209" t="s">
        <v>2740</v>
      </c>
      <c r="H1209" t="s">
        <v>2745</v>
      </c>
      <c r="I1209" t="s">
        <v>2742</v>
      </c>
      <c r="J1209">
        <v>469.38596491222199</v>
      </c>
      <c r="K1209">
        <v>2</v>
      </c>
      <c r="L1209">
        <v>1</v>
      </c>
      <c r="M1209">
        <v>2</v>
      </c>
      <c r="N1209" s="6">
        <v>3583046.6179898502</v>
      </c>
      <c r="O1209" s="6">
        <v>964114.00478420395</v>
      </c>
      <c r="P1209" s="6">
        <v>1170018.80090861</v>
      </c>
      <c r="Q1209" s="6">
        <v>183800.80207929201</v>
      </c>
      <c r="R1209" s="6">
        <v>1125745.3830790401</v>
      </c>
      <c r="S1209" s="6">
        <v>236730.910634236</v>
      </c>
      <c r="T1209" s="6">
        <v>4411971.45</v>
      </c>
      <c r="U1209" s="6">
        <v>2614754.1588409902</v>
      </c>
      <c r="V1209" s="6">
        <v>4942948.62228237</v>
      </c>
      <c r="W1209" s="6">
        <v>1183649.7591979399</v>
      </c>
      <c r="X1209" s="6">
        <v>0</v>
      </c>
      <c r="Y1209" s="6">
        <v>0</v>
      </c>
      <c r="Z1209" s="6">
        <v>0</v>
      </c>
      <c r="AA1209" s="6">
        <v>864697.00529540703</v>
      </c>
      <c r="AB1209" s="6">
        <v>35430.222065280199</v>
      </c>
      <c r="AC1209" s="6">
        <v>185855.41764406499</v>
      </c>
      <c r="AD1209" s="6">
        <v>50875.492990170802</v>
      </c>
      <c r="AE1209" s="6">
        <v>0</v>
      </c>
      <c r="AF1209" s="6">
        <v>0</v>
      </c>
      <c r="AG1209" s="6">
        <v>0</v>
      </c>
      <c r="AH1209" s="6">
        <v>0</v>
      </c>
      <c r="AI1209" s="6">
        <v>0</v>
      </c>
      <c r="AJ1209" s="6">
        <v>7263456.5194752403</v>
      </c>
      <c r="AK1209" s="6">
        <v>15474.3794285233</v>
      </c>
      <c r="AL1209" s="6">
        <v>330.98244656580999</v>
      </c>
      <c r="AM1209" s="6">
        <v>93035.839999999997</v>
      </c>
      <c r="AN1209" s="6">
        <v>6074.9261431548603</v>
      </c>
      <c r="AO1209" s="6">
        <v>22536.578463383699</v>
      </c>
      <c r="AP1209" s="6">
        <v>330.98244656580999</v>
      </c>
      <c r="AQ1209" s="6">
        <v>93035.839999999997</v>
      </c>
      <c r="AR1209" s="6">
        <v>14150.420719411901</v>
      </c>
      <c r="AS1209" s="6">
        <v>17497.3387163976</v>
      </c>
      <c r="AT1209" s="6">
        <v>0</v>
      </c>
      <c r="AU1209" t="s">
        <v>2973</v>
      </c>
      <c r="AV1209" t="s">
        <v>2973</v>
      </c>
    </row>
    <row r="1210" spans="1:48" x14ac:dyDescent="0.45">
      <c r="A1210" s="5" t="s">
        <v>2439</v>
      </c>
      <c r="B1210">
        <v>2083</v>
      </c>
      <c r="C1210" t="s">
        <v>2403</v>
      </c>
      <c r="D1210">
        <v>558</v>
      </c>
      <c r="E1210" t="s">
        <v>2440</v>
      </c>
      <c r="F1210" t="s">
        <v>2739</v>
      </c>
      <c r="G1210" t="s">
        <v>2740</v>
      </c>
      <c r="H1210" t="s">
        <v>2745</v>
      </c>
      <c r="I1210" t="s">
        <v>2742</v>
      </c>
      <c r="J1210">
        <v>169.396858813601</v>
      </c>
      <c r="K1210">
        <v>1</v>
      </c>
      <c r="L1210">
        <v>1</v>
      </c>
      <c r="M1210">
        <v>2</v>
      </c>
      <c r="N1210" s="6">
        <v>1244836.73143241</v>
      </c>
      <c r="O1210" s="6">
        <v>404401.04600325302</v>
      </c>
      <c r="P1210" s="6">
        <v>458147.59256899997</v>
      </c>
      <c r="Q1210" s="6">
        <v>66331.933306687104</v>
      </c>
      <c r="R1210" s="6">
        <v>398282.96487099503</v>
      </c>
      <c r="S1210" s="6">
        <v>85433.897992714905</v>
      </c>
      <c r="T1210" s="6">
        <v>1628360.76</v>
      </c>
      <c r="U1210" s="6">
        <v>943639.50818234298</v>
      </c>
      <c r="V1210" s="6">
        <v>1956402.39864756</v>
      </c>
      <c r="W1210" s="6">
        <v>290750.65158268</v>
      </c>
      <c r="X1210" s="6">
        <v>0</v>
      </c>
      <c r="Y1210" s="6">
        <v>0</v>
      </c>
      <c r="Z1210" s="6">
        <v>0</v>
      </c>
      <c r="AA1210" s="6">
        <v>312060.79318959097</v>
      </c>
      <c r="AB1210" s="6">
        <v>12786.4247625068</v>
      </c>
      <c r="AC1210" s="6">
        <v>67073.424209183795</v>
      </c>
      <c r="AD1210" s="6">
        <v>18360.473783531099</v>
      </c>
      <c r="AE1210" s="6">
        <v>0</v>
      </c>
      <c r="AF1210" s="6">
        <v>0</v>
      </c>
      <c r="AG1210" s="6">
        <v>0</v>
      </c>
      <c r="AH1210" s="6">
        <v>0</v>
      </c>
      <c r="AI1210" s="6">
        <v>0</v>
      </c>
      <c r="AJ1210" s="6">
        <v>2657434.16617506</v>
      </c>
      <c r="AK1210" s="6">
        <v>15687.6236359212</v>
      </c>
      <c r="AL1210" s="6">
        <v>330.98244656580999</v>
      </c>
      <c r="AM1210" s="6">
        <v>93035.839999999997</v>
      </c>
      <c r="AN1210" s="6">
        <v>6074.9261431548603</v>
      </c>
      <c r="AO1210" s="6">
        <v>22536.578463383699</v>
      </c>
      <c r="AP1210" s="6">
        <v>330.98244656580999</v>
      </c>
      <c r="AQ1210" s="6">
        <v>93035.839999999997</v>
      </c>
      <c r="AR1210" s="6">
        <v>14150.420719411901</v>
      </c>
      <c r="AS1210" s="6">
        <v>17497.3387163976</v>
      </c>
      <c r="AT1210" s="6">
        <v>0</v>
      </c>
      <c r="AU1210" t="s">
        <v>2973</v>
      </c>
      <c r="AV1210" t="s">
        <v>2973</v>
      </c>
    </row>
    <row r="1211" spans="1:48" x14ac:dyDescent="0.45">
      <c r="A1211" s="5" t="s">
        <v>2441</v>
      </c>
      <c r="B1211">
        <v>2083</v>
      </c>
      <c r="C1211" t="s">
        <v>2403</v>
      </c>
      <c r="D1211">
        <v>4058</v>
      </c>
      <c r="E1211" t="s">
        <v>2442</v>
      </c>
      <c r="F1211" t="s">
        <v>3</v>
      </c>
      <c r="G1211" t="s">
        <v>2748</v>
      </c>
      <c r="H1211" t="s">
        <v>2745</v>
      </c>
      <c r="I1211" t="s">
        <v>2742</v>
      </c>
      <c r="J1211">
        <v>291.89883131146098</v>
      </c>
      <c r="K1211">
        <v>1</v>
      </c>
      <c r="L1211">
        <v>2</v>
      </c>
      <c r="M1211">
        <v>2</v>
      </c>
      <c r="N1211" s="6">
        <v>204795.02294568799</v>
      </c>
      <c r="O1211" s="6">
        <v>206885.213401974</v>
      </c>
      <c r="P1211" s="6">
        <v>413758.46900430502</v>
      </c>
      <c r="Q1211" s="6">
        <v>114300.902309867</v>
      </c>
      <c r="R1211" s="6">
        <v>686307.48404274904</v>
      </c>
      <c r="S1211" s="6">
        <v>147216.74978576301</v>
      </c>
      <c r="T1211" s="6">
        <v>0</v>
      </c>
      <c r="U1211" s="6">
        <v>1626047.09170459</v>
      </c>
      <c r="V1211" s="6">
        <v>833893.79387880897</v>
      </c>
      <c r="W1211" s="6">
        <v>232387.76297995599</v>
      </c>
      <c r="X1211" s="6">
        <v>0</v>
      </c>
      <c r="Y1211" s="6">
        <v>0</v>
      </c>
      <c r="Z1211" s="6">
        <v>0</v>
      </c>
      <c r="AA1211" s="6">
        <v>537732.408193012</v>
      </c>
      <c r="AB1211" s="6">
        <v>22033.126652806601</v>
      </c>
      <c r="AC1211" s="6">
        <v>115578.613888362</v>
      </c>
      <c r="AD1211" s="6">
        <v>31638.1358974004</v>
      </c>
      <c r="AE1211" s="6">
        <v>0</v>
      </c>
      <c r="AF1211" s="6">
        <v>0</v>
      </c>
      <c r="AG1211" s="6">
        <v>0</v>
      </c>
      <c r="AH1211" s="6">
        <v>0</v>
      </c>
      <c r="AI1211" s="6">
        <v>0</v>
      </c>
      <c r="AJ1211" s="6">
        <v>1773263.84149035</v>
      </c>
      <c r="AK1211" s="6">
        <v>6074.9261431548703</v>
      </c>
      <c r="AL1211" s="6">
        <v>330.98244656580999</v>
      </c>
      <c r="AM1211" s="6">
        <v>93035.839999999997</v>
      </c>
      <c r="AN1211" s="6">
        <v>6074.9261431548603</v>
      </c>
      <c r="AO1211" s="6">
        <v>22536.578463383699</v>
      </c>
      <c r="AP1211" s="6">
        <v>330.98244656580999</v>
      </c>
      <c r="AQ1211" s="6">
        <v>56162.493707719797</v>
      </c>
      <c r="AR1211" s="6">
        <v>6074.9261431548703</v>
      </c>
      <c r="AS1211" s="6">
        <v>6074.9261431548703</v>
      </c>
      <c r="AT1211" s="6">
        <v>0</v>
      </c>
      <c r="AU1211" t="s">
        <v>2973</v>
      </c>
      <c r="AV1211" t="s">
        <v>2976</v>
      </c>
    </row>
    <row r="1212" spans="1:48" x14ac:dyDescent="0.45">
      <c r="A1212" s="5" t="s">
        <v>2443</v>
      </c>
      <c r="B1212">
        <v>2083</v>
      </c>
      <c r="C1212" t="s">
        <v>2403</v>
      </c>
      <c r="D1212">
        <v>559</v>
      </c>
      <c r="E1212" t="s">
        <v>2444</v>
      </c>
      <c r="F1212" t="s">
        <v>2739</v>
      </c>
      <c r="G1212" t="s">
        <v>2740</v>
      </c>
      <c r="H1212" t="s">
        <v>2745</v>
      </c>
      <c r="I1212" t="s">
        <v>2742</v>
      </c>
      <c r="J1212">
        <v>396.90058479529603</v>
      </c>
      <c r="K1212">
        <v>1</v>
      </c>
      <c r="L1212">
        <v>1</v>
      </c>
      <c r="M1212">
        <v>2</v>
      </c>
      <c r="N1212" s="6">
        <v>2695913.5725686499</v>
      </c>
      <c r="O1212" s="6">
        <v>878628.05566193606</v>
      </c>
      <c r="P1212" s="6">
        <v>902971.09206839802</v>
      </c>
      <c r="Q1212" s="6">
        <v>155417.18603528701</v>
      </c>
      <c r="R1212" s="6">
        <v>933572.03091981402</v>
      </c>
      <c r="S1212" s="6">
        <v>200173.511552315</v>
      </c>
      <c r="T1212" s="6">
        <v>3355533.71</v>
      </c>
      <c r="U1212" s="6">
        <v>2210968.2272540801</v>
      </c>
      <c r="V1212" s="6">
        <v>4243480.1705445601</v>
      </c>
      <c r="W1212" s="6">
        <v>561897.55415144702</v>
      </c>
      <c r="X1212" s="6">
        <v>0</v>
      </c>
      <c r="Y1212" s="6">
        <v>0</v>
      </c>
      <c r="Z1212" s="6">
        <v>0</v>
      </c>
      <c r="AA1212" s="6">
        <v>731165.33668974997</v>
      </c>
      <c r="AB1212" s="6">
        <v>29958.875868320101</v>
      </c>
      <c r="AC1212" s="6">
        <v>157154.51561083199</v>
      </c>
      <c r="AD1212" s="6">
        <v>43018.995941482601</v>
      </c>
      <c r="AE1212" s="6">
        <v>0</v>
      </c>
      <c r="AF1212" s="6">
        <v>0</v>
      </c>
      <c r="AG1212" s="6">
        <v>0</v>
      </c>
      <c r="AH1212" s="6">
        <v>0</v>
      </c>
      <c r="AI1212" s="6">
        <v>0</v>
      </c>
      <c r="AJ1212" s="6">
        <v>5766675.4488064004</v>
      </c>
      <c r="AK1212" s="6">
        <v>14529.2692168257</v>
      </c>
      <c r="AL1212" s="6">
        <v>330.98244656580999</v>
      </c>
      <c r="AM1212" s="6">
        <v>93035.839999999997</v>
      </c>
      <c r="AN1212" s="6">
        <v>6074.9261431548603</v>
      </c>
      <c r="AO1212" s="6">
        <v>22536.578463383699</v>
      </c>
      <c r="AP1212" s="6">
        <v>330.98244656580999</v>
      </c>
      <c r="AQ1212" s="6">
        <v>93035.839999999997</v>
      </c>
      <c r="AR1212" s="6">
        <v>14150.420719411901</v>
      </c>
      <c r="AS1212" s="6">
        <v>17497.3387163976</v>
      </c>
      <c r="AT1212" s="6">
        <v>0</v>
      </c>
      <c r="AU1212" t="s">
        <v>2973</v>
      </c>
      <c r="AV1212" t="s">
        <v>2973</v>
      </c>
    </row>
    <row r="1213" spans="1:48" x14ac:dyDescent="0.45">
      <c r="A1213" s="5" t="s">
        <v>2820</v>
      </c>
      <c r="B1213">
        <v>1948</v>
      </c>
      <c r="C1213" t="s">
        <v>2445</v>
      </c>
      <c r="D1213">
        <v>179</v>
      </c>
      <c r="E1213" t="s">
        <v>2821</v>
      </c>
      <c r="F1213" t="s">
        <v>2739</v>
      </c>
      <c r="G1213" t="s">
        <v>2740</v>
      </c>
      <c r="H1213" t="s">
        <v>2741</v>
      </c>
      <c r="I1213" t="s">
        <v>2742</v>
      </c>
      <c r="J1213">
        <v>239.80651708376899</v>
      </c>
      <c r="K1213">
        <v>1</v>
      </c>
      <c r="L1213">
        <v>1</v>
      </c>
      <c r="M1213">
        <v>2</v>
      </c>
      <c r="N1213" s="6">
        <v>178080.89397578401</v>
      </c>
      <c r="O1213" s="6">
        <v>127383.048519538</v>
      </c>
      <c r="P1213" s="6">
        <v>302673.07351805398</v>
      </c>
      <c r="Q1213" s="6">
        <v>103592.380294797</v>
      </c>
      <c r="R1213" s="6">
        <v>40849.923256693597</v>
      </c>
      <c r="S1213" s="6">
        <v>77484.440067124597</v>
      </c>
      <c r="T1213" s="6">
        <v>0</v>
      </c>
      <c r="U1213" s="6">
        <v>752579.319564868</v>
      </c>
      <c r="V1213" s="6">
        <v>659342.791241611</v>
      </c>
      <c r="W1213" s="6">
        <v>93236.528323256498</v>
      </c>
      <c r="X1213" s="6">
        <v>0</v>
      </c>
      <c r="Y1213" s="6">
        <v>0</v>
      </c>
      <c r="Z1213" s="6">
        <v>0</v>
      </c>
      <c r="AA1213" s="6">
        <v>0</v>
      </c>
      <c r="AB1213" s="6">
        <v>0</v>
      </c>
      <c r="AC1213" s="6">
        <v>77484.440067124597</v>
      </c>
      <c r="AD1213" s="6">
        <v>0</v>
      </c>
      <c r="AE1213" s="6">
        <v>0</v>
      </c>
      <c r="AF1213" s="6">
        <v>0</v>
      </c>
      <c r="AG1213" s="6">
        <v>0</v>
      </c>
      <c r="AH1213" s="6">
        <v>0</v>
      </c>
      <c r="AI1213" s="6">
        <v>0</v>
      </c>
      <c r="AJ1213" s="6">
        <v>830063.75963199197</v>
      </c>
      <c r="AK1213" s="6">
        <v>3461.3894973589699</v>
      </c>
      <c r="AL1213" s="6">
        <v>330.98244656580999</v>
      </c>
      <c r="AM1213" s="6">
        <v>93035.839999999997</v>
      </c>
      <c r="AN1213" s="6">
        <v>3461.3894973589699</v>
      </c>
      <c r="AO1213" s="6">
        <v>14209.9773452996</v>
      </c>
      <c r="AP1213" s="6">
        <v>330.98244656580999</v>
      </c>
      <c r="AQ1213" s="6">
        <v>93035.839999999997</v>
      </c>
      <c r="AR1213" s="6">
        <v>3461.3894973589699</v>
      </c>
      <c r="AS1213" s="6">
        <v>12986.2577187101</v>
      </c>
      <c r="AT1213" s="6">
        <v>0</v>
      </c>
      <c r="AU1213" t="s">
        <v>2973</v>
      </c>
      <c r="AV1213" t="s">
        <v>2976</v>
      </c>
    </row>
    <row r="1214" spans="1:48" x14ac:dyDescent="0.45">
      <c r="A1214" s="5" t="s">
        <v>2446</v>
      </c>
      <c r="B1214">
        <v>1948</v>
      </c>
      <c r="C1214" t="s">
        <v>2445</v>
      </c>
      <c r="D1214">
        <v>3569</v>
      </c>
      <c r="E1214" t="s">
        <v>70</v>
      </c>
      <c r="F1214" t="s">
        <v>2739</v>
      </c>
      <c r="G1214" t="s">
        <v>2740</v>
      </c>
      <c r="H1214" t="s">
        <v>2741</v>
      </c>
      <c r="I1214" t="s">
        <v>2742</v>
      </c>
      <c r="J1214">
        <v>473.11625686310703</v>
      </c>
      <c r="K1214">
        <v>1</v>
      </c>
      <c r="L1214">
        <v>1</v>
      </c>
      <c r="M1214">
        <v>2</v>
      </c>
      <c r="N1214" s="6">
        <v>3585774.7455640901</v>
      </c>
      <c r="O1214" s="6">
        <v>963674.50781495403</v>
      </c>
      <c r="P1214" s="6">
        <v>1135267.87493859</v>
      </c>
      <c r="Q1214" s="6">
        <v>204494.24211158999</v>
      </c>
      <c r="R1214" s="6">
        <v>101928.58075912199</v>
      </c>
      <c r="S1214" s="6">
        <v>152869.691347404</v>
      </c>
      <c r="T1214" s="6">
        <v>4506370</v>
      </c>
      <c r="U1214" s="6">
        <v>1484769.9511883401</v>
      </c>
      <c r="V1214" s="6">
        <v>5204426.1449062498</v>
      </c>
      <c r="W1214" s="6">
        <v>786713.806282087</v>
      </c>
      <c r="X1214" s="6">
        <v>0</v>
      </c>
      <c r="Y1214" s="6">
        <v>0</v>
      </c>
      <c r="Z1214" s="6">
        <v>0</v>
      </c>
      <c r="AA1214" s="6">
        <v>0</v>
      </c>
      <c r="AB1214" s="6">
        <v>0</v>
      </c>
      <c r="AC1214" s="6">
        <v>152869.691347404</v>
      </c>
      <c r="AD1214" s="6">
        <v>0</v>
      </c>
      <c r="AE1214" s="6">
        <v>0</v>
      </c>
      <c r="AF1214" s="6">
        <v>0</v>
      </c>
      <c r="AG1214" s="6">
        <v>0</v>
      </c>
      <c r="AH1214" s="6">
        <v>0</v>
      </c>
      <c r="AI1214" s="6">
        <v>0</v>
      </c>
      <c r="AJ1214" s="6">
        <v>6144009.6425357396</v>
      </c>
      <c r="AK1214" s="6">
        <v>12986.2577187101</v>
      </c>
      <c r="AL1214" s="6">
        <v>330.98244656580999</v>
      </c>
      <c r="AM1214" s="6">
        <v>93035.839999999997</v>
      </c>
      <c r="AN1214" s="6">
        <v>3461.3894973589699</v>
      </c>
      <c r="AO1214" s="6">
        <v>14209.9773452996</v>
      </c>
      <c r="AP1214" s="6">
        <v>330.98244656580999</v>
      </c>
      <c r="AQ1214" s="6">
        <v>93035.839999999997</v>
      </c>
      <c r="AR1214" s="6">
        <v>3461.3894973589699</v>
      </c>
      <c r="AS1214" s="6">
        <v>12986.2577187101</v>
      </c>
      <c r="AT1214" s="6">
        <v>0</v>
      </c>
      <c r="AU1214" t="s">
        <v>2973</v>
      </c>
      <c r="AV1214" t="s">
        <v>2973</v>
      </c>
    </row>
    <row r="1215" spans="1:48" x14ac:dyDescent="0.45">
      <c r="A1215" s="5" t="s">
        <v>2447</v>
      </c>
      <c r="B1215">
        <v>1948</v>
      </c>
      <c r="C1215" t="s">
        <v>2445</v>
      </c>
      <c r="D1215">
        <v>182</v>
      </c>
      <c r="E1215" t="s">
        <v>2448</v>
      </c>
      <c r="F1215" t="s">
        <v>2739</v>
      </c>
      <c r="G1215" t="s">
        <v>2740</v>
      </c>
      <c r="H1215" t="s">
        <v>2741</v>
      </c>
      <c r="I1215" t="s">
        <v>2742</v>
      </c>
      <c r="J1215">
        <v>543.90861184308199</v>
      </c>
      <c r="K1215">
        <v>1</v>
      </c>
      <c r="L1215">
        <v>1</v>
      </c>
      <c r="M1215">
        <v>2</v>
      </c>
      <c r="N1215" s="6">
        <v>4042261.0079354802</v>
      </c>
      <c r="O1215" s="6">
        <v>1164390.7551924801</v>
      </c>
      <c r="P1215" s="6">
        <v>1208371.91304433</v>
      </c>
      <c r="Q1215" s="6">
        <v>234959.368280978</v>
      </c>
      <c r="R1215" s="6">
        <v>127334.268705807</v>
      </c>
      <c r="S1215" s="6">
        <v>175743.57339765801</v>
      </c>
      <c r="T1215" s="6">
        <v>5070381.33</v>
      </c>
      <c r="U1215" s="6">
        <v>1706935.9831590799</v>
      </c>
      <c r="V1215" s="6">
        <v>6033429.1017394699</v>
      </c>
      <c r="W1215" s="6">
        <v>743888.21141961205</v>
      </c>
      <c r="X1215" s="6">
        <v>0</v>
      </c>
      <c r="Y1215" s="6">
        <v>0</v>
      </c>
      <c r="Z1215" s="6">
        <v>0</v>
      </c>
      <c r="AA1215" s="6">
        <v>0</v>
      </c>
      <c r="AB1215" s="6">
        <v>0</v>
      </c>
      <c r="AC1215" s="6">
        <v>175743.57339765801</v>
      </c>
      <c r="AD1215" s="6">
        <v>0</v>
      </c>
      <c r="AE1215" s="6">
        <v>0</v>
      </c>
      <c r="AF1215" s="6">
        <v>0</v>
      </c>
      <c r="AG1215" s="6">
        <v>0</v>
      </c>
      <c r="AH1215" s="6">
        <v>0</v>
      </c>
      <c r="AI1215" s="6">
        <v>0</v>
      </c>
      <c r="AJ1215" s="6">
        <v>6953060.8865567399</v>
      </c>
      <c r="AK1215" s="6">
        <v>12783.5094630984</v>
      </c>
      <c r="AL1215" s="6">
        <v>330.98244656580999</v>
      </c>
      <c r="AM1215" s="6">
        <v>93035.839999999997</v>
      </c>
      <c r="AN1215" s="6">
        <v>3461.3894973589699</v>
      </c>
      <c r="AO1215" s="6">
        <v>14209.9773452996</v>
      </c>
      <c r="AP1215" s="6">
        <v>330.98244656580999</v>
      </c>
      <c r="AQ1215" s="6">
        <v>93035.839999999997</v>
      </c>
      <c r="AR1215" s="6">
        <v>3461.3894973589699</v>
      </c>
      <c r="AS1215" s="6">
        <v>12986.2577187101</v>
      </c>
      <c r="AT1215" s="6">
        <v>0</v>
      </c>
      <c r="AU1215" t="s">
        <v>2973</v>
      </c>
      <c r="AV1215" t="s">
        <v>2973</v>
      </c>
    </row>
    <row r="1216" spans="1:48" x14ac:dyDescent="0.45">
      <c r="A1216" s="5" t="s">
        <v>2822</v>
      </c>
      <c r="B1216">
        <v>1948</v>
      </c>
      <c r="C1216" t="s">
        <v>2445</v>
      </c>
      <c r="D1216">
        <v>2716</v>
      </c>
      <c r="E1216" t="s">
        <v>2823</v>
      </c>
      <c r="F1216" t="s">
        <v>2750</v>
      </c>
      <c r="G1216" t="s">
        <v>2744</v>
      </c>
      <c r="H1216" t="s">
        <v>2745</v>
      </c>
      <c r="I1216" t="s">
        <v>2742</v>
      </c>
      <c r="J1216">
        <v>70.955225056449507</v>
      </c>
      <c r="K1216">
        <v>1</v>
      </c>
      <c r="L1216">
        <v>2</v>
      </c>
      <c r="M1216">
        <v>2</v>
      </c>
      <c r="N1216" s="6">
        <v>572423.36008029699</v>
      </c>
      <c r="O1216" s="6">
        <v>115577.192486067</v>
      </c>
      <c r="P1216" s="6">
        <v>143443.595440732</v>
      </c>
      <c r="Q1216" s="6">
        <v>30651.463301904401</v>
      </c>
      <c r="R1216" s="6">
        <v>12086.8921056256</v>
      </c>
      <c r="S1216" s="6">
        <v>22926.507378509901</v>
      </c>
      <c r="T1216" s="6">
        <v>651505.34</v>
      </c>
      <c r="U1216" s="6">
        <v>222677.163414626</v>
      </c>
      <c r="V1216" s="6">
        <v>780539.73455811804</v>
      </c>
      <c r="W1216" s="6">
        <v>93642.768856508497</v>
      </c>
      <c r="X1216" s="6">
        <v>0</v>
      </c>
      <c r="Y1216" s="6">
        <v>0</v>
      </c>
      <c r="Z1216" s="6">
        <v>0</v>
      </c>
      <c r="AA1216" s="6">
        <v>0</v>
      </c>
      <c r="AB1216" s="6">
        <v>0</v>
      </c>
      <c r="AC1216" s="6">
        <v>22926.507378509901</v>
      </c>
      <c r="AD1216" s="6">
        <v>0</v>
      </c>
      <c r="AE1216" s="6">
        <v>0</v>
      </c>
      <c r="AF1216" s="6">
        <v>0</v>
      </c>
      <c r="AG1216" s="6">
        <v>0</v>
      </c>
      <c r="AH1216" s="6">
        <v>0</v>
      </c>
      <c r="AI1216" s="6">
        <v>0</v>
      </c>
      <c r="AJ1216" s="6">
        <v>897109.01079313701</v>
      </c>
      <c r="AK1216" s="6">
        <v>12643.3114697251</v>
      </c>
      <c r="AL1216" s="6">
        <v>330.98244656580999</v>
      </c>
      <c r="AM1216" s="6">
        <v>93035.839999999997</v>
      </c>
      <c r="AN1216" s="6">
        <v>3461.3894973589699</v>
      </c>
      <c r="AO1216" s="6">
        <v>14209.9773452996</v>
      </c>
      <c r="AP1216" s="6">
        <v>330.98244656580999</v>
      </c>
      <c r="AQ1216" s="6">
        <v>40734.411818744898</v>
      </c>
      <c r="AR1216" s="6">
        <v>12643.3114697251</v>
      </c>
      <c r="AS1216" s="6">
        <v>14209.9773452996</v>
      </c>
      <c r="AT1216" s="6">
        <v>0</v>
      </c>
      <c r="AU1216" t="s">
        <v>2973</v>
      </c>
      <c r="AV1216" t="s">
        <v>2973</v>
      </c>
    </row>
    <row r="1217" spans="1:48" x14ac:dyDescent="0.45">
      <c r="A1217" s="5" t="s">
        <v>2449</v>
      </c>
      <c r="B1217">
        <v>1948</v>
      </c>
      <c r="C1217" t="s">
        <v>2445</v>
      </c>
      <c r="D1217">
        <v>4602</v>
      </c>
      <c r="E1217" t="s">
        <v>2450</v>
      </c>
      <c r="F1217" t="s">
        <v>3</v>
      </c>
      <c r="G1217" t="s">
        <v>2740</v>
      </c>
      <c r="H1217" t="s">
        <v>2741</v>
      </c>
      <c r="I1217" t="s">
        <v>2742</v>
      </c>
      <c r="J1217">
        <v>188.036328550001</v>
      </c>
      <c r="K1217">
        <v>1</v>
      </c>
      <c r="L1217">
        <v>1</v>
      </c>
      <c r="M1217">
        <v>2</v>
      </c>
      <c r="N1217" s="6">
        <v>139636.22796961499</v>
      </c>
      <c r="O1217" s="6">
        <v>99883.193561221895</v>
      </c>
      <c r="P1217" s="6">
        <v>237331.054165632</v>
      </c>
      <c r="Q1217" s="6">
        <v>81228.529955192003</v>
      </c>
      <c r="R1217" s="6">
        <v>32031.112766025301</v>
      </c>
      <c r="S1217" s="6">
        <v>60756.8543472284</v>
      </c>
      <c r="T1217" s="6">
        <v>0</v>
      </c>
      <c r="U1217" s="6">
        <v>590110.11841768597</v>
      </c>
      <c r="V1217" s="6">
        <v>517001.78639296</v>
      </c>
      <c r="W1217" s="6">
        <v>73108.3320247261</v>
      </c>
      <c r="X1217" s="6">
        <v>0</v>
      </c>
      <c r="Y1217" s="6">
        <v>0</v>
      </c>
      <c r="Z1217" s="6">
        <v>0</v>
      </c>
      <c r="AA1217" s="6">
        <v>0</v>
      </c>
      <c r="AB1217" s="6">
        <v>0</v>
      </c>
      <c r="AC1217" s="6">
        <v>60756.8543472284</v>
      </c>
      <c r="AD1217" s="6">
        <v>0</v>
      </c>
      <c r="AE1217" s="6">
        <v>0</v>
      </c>
      <c r="AF1217" s="6">
        <v>0</v>
      </c>
      <c r="AG1217" s="6">
        <v>0</v>
      </c>
      <c r="AH1217" s="6">
        <v>0</v>
      </c>
      <c r="AI1217" s="6">
        <v>0</v>
      </c>
      <c r="AJ1217" s="6">
        <v>650866.97276491404</v>
      </c>
      <c r="AK1217" s="6">
        <v>3461.3894973589699</v>
      </c>
      <c r="AL1217" s="6">
        <v>330.98244656580999</v>
      </c>
      <c r="AM1217" s="6">
        <v>93035.839999999997</v>
      </c>
      <c r="AN1217" s="6">
        <v>3461.3894973589699</v>
      </c>
      <c r="AO1217" s="6">
        <v>14209.9773452996</v>
      </c>
      <c r="AP1217" s="6">
        <v>330.98244656580999</v>
      </c>
      <c r="AQ1217" s="6">
        <v>93035.839999999997</v>
      </c>
      <c r="AR1217" s="6">
        <v>3461.3894973589699</v>
      </c>
      <c r="AS1217" s="6">
        <v>12986.2577187101</v>
      </c>
      <c r="AT1217" s="6">
        <v>0</v>
      </c>
      <c r="AU1217" t="s">
        <v>2973</v>
      </c>
      <c r="AV1217" t="s">
        <v>2976</v>
      </c>
    </row>
    <row r="1218" spans="1:48" x14ac:dyDescent="0.45">
      <c r="A1218" s="5" t="s">
        <v>2451</v>
      </c>
      <c r="B1218">
        <v>1948</v>
      </c>
      <c r="C1218" t="s">
        <v>2445</v>
      </c>
      <c r="D1218">
        <v>185</v>
      </c>
      <c r="E1218" t="s">
        <v>2452</v>
      </c>
      <c r="F1218" t="s">
        <v>2739</v>
      </c>
      <c r="G1218" t="s">
        <v>2744</v>
      </c>
      <c r="H1218" t="s">
        <v>2745</v>
      </c>
      <c r="I1218" t="s">
        <v>2742</v>
      </c>
      <c r="J1218">
        <v>825.32564700577495</v>
      </c>
      <c r="K1218">
        <v>1</v>
      </c>
      <c r="L1218">
        <v>1</v>
      </c>
      <c r="M1218">
        <v>2</v>
      </c>
      <c r="N1218" s="6">
        <v>5924334.1523030195</v>
      </c>
      <c r="O1218" s="6">
        <v>2894636.8438013401</v>
      </c>
      <c r="P1218" s="6">
        <v>2035596.78370715</v>
      </c>
      <c r="Q1218" s="6">
        <v>359782.20222978003</v>
      </c>
      <c r="R1218" s="6">
        <v>246835.87991110899</v>
      </c>
      <c r="S1218" s="6">
        <v>266672.88449438103</v>
      </c>
      <c r="T1218" s="6">
        <v>8871085.2200000007</v>
      </c>
      <c r="U1218" s="6">
        <v>2590100.6419524001</v>
      </c>
      <c r="V1218" s="6">
        <v>9584211.2253821697</v>
      </c>
      <c r="W1218" s="6">
        <v>1876974.6365702399</v>
      </c>
      <c r="X1218" s="6">
        <v>0</v>
      </c>
      <c r="Y1218" s="6">
        <v>0</v>
      </c>
      <c r="Z1218" s="6">
        <v>0</v>
      </c>
      <c r="AA1218" s="6">
        <v>0</v>
      </c>
      <c r="AB1218" s="6">
        <v>0</v>
      </c>
      <c r="AC1218" s="6">
        <v>266672.88449438103</v>
      </c>
      <c r="AD1218" s="6">
        <v>0</v>
      </c>
      <c r="AE1218" s="6">
        <v>0</v>
      </c>
      <c r="AF1218" s="6">
        <v>0</v>
      </c>
      <c r="AG1218" s="6">
        <v>0</v>
      </c>
      <c r="AH1218" s="6">
        <v>0</v>
      </c>
      <c r="AI1218" s="6">
        <v>0</v>
      </c>
      <c r="AJ1218" s="6">
        <v>11727858.746446799</v>
      </c>
      <c r="AK1218" s="6">
        <v>14209.9773452996</v>
      </c>
      <c r="AL1218" s="6">
        <v>330.98244656580999</v>
      </c>
      <c r="AM1218" s="6">
        <v>93035.839999999997</v>
      </c>
      <c r="AN1218" s="6">
        <v>3461.3894973589699</v>
      </c>
      <c r="AO1218" s="6">
        <v>14209.9773452996</v>
      </c>
      <c r="AP1218" s="6">
        <v>330.98244656580999</v>
      </c>
      <c r="AQ1218" s="6">
        <v>40734.411818744898</v>
      </c>
      <c r="AR1218" s="6">
        <v>12643.3114697251</v>
      </c>
      <c r="AS1218" s="6">
        <v>14209.9773452996</v>
      </c>
      <c r="AT1218" s="6">
        <v>0</v>
      </c>
      <c r="AU1218" t="s">
        <v>2973</v>
      </c>
      <c r="AV1218" t="s">
        <v>2973</v>
      </c>
    </row>
    <row r="1219" spans="1:48" x14ac:dyDescent="0.45">
      <c r="A1219" s="5" t="s">
        <v>2453</v>
      </c>
      <c r="B1219">
        <v>1948</v>
      </c>
      <c r="C1219" t="s">
        <v>2445</v>
      </c>
      <c r="D1219">
        <v>184</v>
      </c>
      <c r="E1219" t="s">
        <v>2454</v>
      </c>
      <c r="F1219" t="s">
        <v>2739</v>
      </c>
      <c r="G1219" t="s">
        <v>2747</v>
      </c>
      <c r="H1219" t="s">
        <v>2741</v>
      </c>
      <c r="I1219" t="s">
        <v>2742</v>
      </c>
      <c r="J1219">
        <v>427.97079301787301</v>
      </c>
      <c r="K1219">
        <v>1</v>
      </c>
      <c r="L1219">
        <v>1</v>
      </c>
      <c r="M1219">
        <v>2</v>
      </c>
      <c r="N1219" s="6">
        <v>3152559.2659792998</v>
      </c>
      <c r="O1219" s="6">
        <v>1111189.8765716101</v>
      </c>
      <c r="P1219" s="6">
        <v>1046857.24715639</v>
      </c>
      <c r="Q1219" s="6">
        <v>185294.94136702499</v>
      </c>
      <c r="R1219" s="6">
        <v>72902.831263670101</v>
      </c>
      <c r="S1219" s="6">
        <v>138282.63579045801</v>
      </c>
      <c r="T1219" s="6">
        <v>4225713.1900000004</v>
      </c>
      <c r="U1219" s="6">
        <v>1343090.9723380001</v>
      </c>
      <c r="V1219" s="6">
        <v>4981482.7661780696</v>
      </c>
      <c r="W1219" s="6">
        <v>587321.39615992701</v>
      </c>
      <c r="X1219" s="6">
        <v>0</v>
      </c>
      <c r="Y1219" s="6">
        <v>0</v>
      </c>
      <c r="Z1219" s="6">
        <v>0</v>
      </c>
      <c r="AA1219" s="6">
        <v>0</v>
      </c>
      <c r="AB1219" s="6">
        <v>0</v>
      </c>
      <c r="AC1219" s="6">
        <v>138282.63579045801</v>
      </c>
      <c r="AD1219" s="6">
        <v>0</v>
      </c>
      <c r="AE1219" s="6">
        <v>0</v>
      </c>
      <c r="AF1219" s="6">
        <v>0</v>
      </c>
      <c r="AG1219" s="6">
        <v>0</v>
      </c>
      <c r="AH1219" s="6">
        <v>0</v>
      </c>
      <c r="AI1219" s="6">
        <v>0</v>
      </c>
      <c r="AJ1219" s="6">
        <v>5707086.7981284596</v>
      </c>
      <c r="AK1219" s="6">
        <v>13335.224952816099</v>
      </c>
      <c r="AL1219" s="6">
        <v>330.98244656580999</v>
      </c>
      <c r="AM1219" s="6">
        <v>93035.839999999997</v>
      </c>
      <c r="AN1219" s="6">
        <v>3461.3894973589699</v>
      </c>
      <c r="AO1219" s="6">
        <v>14209.9773452996</v>
      </c>
      <c r="AP1219" s="6">
        <v>3753.1860850462999</v>
      </c>
      <c r="AQ1219" s="6">
        <v>20687.885194392002</v>
      </c>
      <c r="AR1219" s="6">
        <v>13335.224952816099</v>
      </c>
      <c r="AS1219" s="6">
        <v>13335.224952816099</v>
      </c>
      <c r="AT1219" s="6">
        <v>0</v>
      </c>
      <c r="AU1219" t="s">
        <v>2973</v>
      </c>
      <c r="AV1219" t="s">
        <v>2973</v>
      </c>
    </row>
    <row r="1220" spans="1:48" x14ac:dyDescent="0.45">
      <c r="A1220" s="5" t="s">
        <v>2455</v>
      </c>
      <c r="B1220">
        <v>1948</v>
      </c>
      <c r="C1220" t="s">
        <v>2445</v>
      </c>
      <c r="D1220">
        <v>1948</v>
      </c>
      <c r="E1220" t="s">
        <v>2445</v>
      </c>
      <c r="F1220" t="s">
        <v>1</v>
      </c>
      <c r="G1220" t="s">
        <v>1</v>
      </c>
      <c r="H1220" t="s">
        <v>2743</v>
      </c>
      <c r="I1220" t="s">
        <v>2742</v>
      </c>
      <c r="J1220">
        <v>74.727615409823002</v>
      </c>
      <c r="K1220">
        <v>1</v>
      </c>
      <c r="L1220">
        <v>1</v>
      </c>
      <c r="M1220">
        <v>2</v>
      </c>
      <c r="N1220" s="6">
        <v>55492.906192417002</v>
      </c>
      <c r="O1220" s="6">
        <v>39694.632052779802</v>
      </c>
      <c r="P1220" s="6">
        <v>94317.858029126597</v>
      </c>
      <c r="Q1220" s="6">
        <v>32281.072458733899</v>
      </c>
      <c r="R1220" s="6">
        <v>12729.501231947999</v>
      </c>
      <c r="S1220" s="6">
        <v>24145.413177236202</v>
      </c>
      <c r="T1220" s="6">
        <v>0</v>
      </c>
      <c r="U1220" s="6">
        <v>234515.969965005</v>
      </c>
      <c r="V1220" s="6">
        <v>205461.94960135699</v>
      </c>
      <c r="W1220" s="6">
        <v>29054.0203636482</v>
      </c>
      <c r="X1220" s="6">
        <v>0</v>
      </c>
      <c r="Y1220" s="6">
        <v>0</v>
      </c>
      <c r="Z1220" s="6">
        <v>0</v>
      </c>
      <c r="AA1220" s="6">
        <v>0</v>
      </c>
      <c r="AB1220" s="6">
        <v>0</v>
      </c>
      <c r="AC1220" s="6">
        <v>24145.413177236202</v>
      </c>
      <c r="AD1220" s="6">
        <v>0</v>
      </c>
      <c r="AE1220" s="6">
        <v>0</v>
      </c>
      <c r="AF1220" s="6">
        <v>0</v>
      </c>
      <c r="AG1220" s="6">
        <v>0</v>
      </c>
      <c r="AH1220" s="6">
        <v>0</v>
      </c>
      <c r="AI1220" s="6">
        <v>0</v>
      </c>
      <c r="AJ1220" s="6">
        <v>258661.38314224099</v>
      </c>
      <c r="AK1220" s="6">
        <v>3461.3894973589699</v>
      </c>
      <c r="AL1220" s="6">
        <v>330.98244656580999</v>
      </c>
      <c r="AM1220" s="6">
        <v>93035.839999999997</v>
      </c>
      <c r="AN1220" s="6">
        <v>3461.3894973589699</v>
      </c>
      <c r="AO1220" s="6">
        <v>14209.9773452996</v>
      </c>
      <c r="AP1220" s="6">
        <v>634.54287297753501</v>
      </c>
      <c r="AQ1220" s="6">
        <v>40331.279999999999</v>
      </c>
      <c r="AR1220" s="6">
        <v>3461.3894973589699</v>
      </c>
      <c r="AS1220" s="6">
        <v>3461.3894973589699</v>
      </c>
      <c r="AT1220" s="6">
        <v>0</v>
      </c>
      <c r="AU1220" t="s">
        <v>2973</v>
      </c>
      <c r="AV1220" t="s">
        <v>2977</v>
      </c>
    </row>
    <row r="1221" spans="1:48" x14ac:dyDescent="0.45">
      <c r="A1221" s="5" t="s">
        <v>2456</v>
      </c>
      <c r="B1221">
        <v>2144</v>
      </c>
      <c r="C1221" t="s">
        <v>2457</v>
      </c>
      <c r="D1221">
        <v>778</v>
      </c>
      <c r="E1221" t="s">
        <v>2458</v>
      </c>
      <c r="F1221" t="s">
        <v>2739</v>
      </c>
      <c r="G1221" t="s">
        <v>2740</v>
      </c>
      <c r="H1221" t="s">
        <v>2741</v>
      </c>
      <c r="I1221" t="s">
        <v>2742</v>
      </c>
      <c r="J1221">
        <v>106.00083168561</v>
      </c>
      <c r="K1221">
        <v>4</v>
      </c>
      <c r="L1221">
        <v>1</v>
      </c>
      <c r="M1221">
        <v>2</v>
      </c>
      <c r="N1221" s="6">
        <v>1251959.0162198001</v>
      </c>
      <c r="O1221" s="6">
        <v>235271.61007485999</v>
      </c>
      <c r="P1221" s="6">
        <v>224431.56808138601</v>
      </c>
      <c r="Q1221" s="6">
        <v>128332.40288456201</v>
      </c>
      <c r="R1221" s="6">
        <v>34684.407265707603</v>
      </c>
      <c r="S1221" s="6">
        <v>78050.275360754094</v>
      </c>
      <c r="T1221" s="6">
        <v>1327253.47</v>
      </c>
      <c r="U1221" s="6">
        <v>547425.53452631203</v>
      </c>
      <c r="V1221" s="6">
        <v>1695037.0211583199</v>
      </c>
      <c r="W1221" s="6">
        <v>179641.983367988</v>
      </c>
      <c r="X1221" s="6">
        <v>0</v>
      </c>
      <c r="Y1221" s="6">
        <v>0</v>
      </c>
      <c r="Z1221" s="6">
        <v>0</v>
      </c>
      <c r="AA1221" s="6">
        <v>0</v>
      </c>
      <c r="AB1221" s="6">
        <v>0</v>
      </c>
      <c r="AC1221" s="6">
        <v>14963.155287538801</v>
      </c>
      <c r="AD1221" s="6">
        <v>63087.120073215301</v>
      </c>
      <c r="AE1221" s="6">
        <v>0</v>
      </c>
      <c r="AF1221" s="6">
        <v>0</v>
      </c>
      <c r="AG1221" s="6">
        <v>0</v>
      </c>
      <c r="AH1221" s="6">
        <v>0</v>
      </c>
      <c r="AI1221" s="6">
        <v>0</v>
      </c>
      <c r="AJ1221" s="6">
        <v>1952729.2798870699</v>
      </c>
      <c r="AK1221" s="6">
        <v>18421.8297992105</v>
      </c>
      <c r="AL1221" s="6">
        <v>330.98244656580999</v>
      </c>
      <c r="AM1221" s="6">
        <v>93035.839999999997</v>
      </c>
      <c r="AN1221" s="6">
        <v>16506.180822345101</v>
      </c>
      <c r="AO1221" s="6">
        <v>18421.8297992105</v>
      </c>
      <c r="AP1221" s="6">
        <v>330.98244656580999</v>
      </c>
      <c r="AQ1221" s="6">
        <v>93035.839999999997</v>
      </c>
      <c r="AR1221" s="6">
        <v>18421.8297992105</v>
      </c>
      <c r="AS1221" s="6">
        <v>18421.8297992105</v>
      </c>
      <c r="AT1221" s="6">
        <v>0</v>
      </c>
      <c r="AU1221" t="s">
        <v>2973</v>
      </c>
      <c r="AV1221" t="s">
        <v>2973</v>
      </c>
    </row>
    <row r="1222" spans="1:48" x14ac:dyDescent="0.45">
      <c r="A1222" s="5" t="s">
        <v>2459</v>
      </c>
      <c r="B1222">
        <v>2144</v>
      </c>
      <c r="C1222" t="s">
        <v>2457</v>
      </c>
      <c r="D1222">
        <v>779</v>
      </c>
      <c r="E1222" t="s">
        <v>2460</v>
      </c>
      <c r="F1222" t="s">
        <v>2739</v>
      </c>
      <c r="G1222" t="s">
        <v>2744</v>
      </c>
      <c r="H1222" t="s">
        <v>2745</v>
      </c>
      <c r="I1222" t="s">
        <v>2742</v>
      </c>
      <c r="J1222">
        <v>125.872500881627</v>
      </c>
      <c r="K1222">
        <v>1</v>
      </c>
      <c r="L1222">
        <v>1</v>
      </c>
      <c r="M1222">
        <v>2</v>
      </c>
      <c r="N1222" s="6">
        <v>871911.50378020399</v>
      </c>
      <c r="O1222" s="6">
        <v>575723.36992514005</v>
      </c>
      <c r="P1222" s="6">
        <v>343780.15191861399</v>
      </c>
      <c r="Q1222" s="6">
        <v>152390.507115438</v>
      </c>
      <c r="R1222" s="6">
        <v>41186.592734292397</v>
      </c>
      <c r="S1222" s="6">
        <v>92682.134639245895</v>
      </c>
      <c r="T1222" s="6">
        <v>1334942.31</v>
      </c>
      <c r="U1222" s="6">
        <v>650049.81547368795</v>
      </c>
      <c r="V1222" s="6">
        <v>1612235.9788416801</v>
      </c>
      <c r="W1222" s="6">
        <v>372756.14663201198</v>
      </c>
      <c r="X1222" s="6">
        <v>0</v>
      </c>
      <c r="Y1222" s="6">
        <v>0</v>
      </c>
      <c r="Z1222" s="6">
        <v>0</v>
      </c>
      <c r="AA1222" s="6">
        <v>0</v>
      </c>
      <c r="AB1222" s="6">
        <v>0</v>
      </c>
      <c r="AC1222" s="6">
        <v>17768.254712461199</v>
      </c>
      <c r="AD1222" s="6">
        <v>74913.879926784604</v>
      </c>
      <c r="AE1222" s="6">
        <v>0</v>
      </c>
      <c r="AF1222" s="6">
        <v>0</v>
      </c>
      <c r="AG1222" s="6">
        <v>0</v>
      </c>
      <c r="AH1222" s="6">
        <v>0</v>
      </c>
      <c r="AI1222" s="6">
        <v>0</v>
      </c>
      <c r="AJ1222" s="6">
        <v>2077674.2601129301</v>
      </c>
      <c r="AK1222" s="6">
        <v>16506.180822345101</v>
      </c>
      <c r="AL1222" s="6">
        <v>330.98244656580999</v>
      </c>
      <c r="AM1222" s="6">
        <v>93035.839999999997</v>
      </c>
      <c r="AN1222" s="6">
        <v>16506.180822345101</v>
      </c>
      <c r="AO1222" s="6">
        <v>18421.8297992105</v>
      </c>
      <c r="AP1222" s="6">
        <v>330.98244656580999</v>
      </c>
      <c r="AQ1222" s="6">
        <v>40734.411818744898</v>
      </c>
      <c r="AR1222" s="6">
        <v>16506.180822345101</v>
      </c>
      <c r="AS1222" s="6">
        <v>16506.180822345101</v>
      </c>
      <c r="AT1222" s="6">
        <v>0</v>
      </c>
      <c r="AU1222" t="s">
        <v>2973</v>
      </c>
      <c r="AV1222" t="s">
        <v>2973</v>
      </c>
    </row>
    <row r="1223" spans="1:48" x14ac:dyDescent="0.45">
      <c r="A1223" s="5" t="s">
        <v>2461</v>
      </c>
      <c r="B1223">
        <v>2209</v>
      </c>
      <c r="C1223" t="s">
        <v>2462</v>
      </c>
      <c r="D1223">
        <v>1060</v>
      </c>
      <c r="E1223" t="s">
        <v>2463</v>
      </c>
      <c r="F1223" t="s">
        <v>2739</v>
      </c>
      <c r="G1223" t="s">
        <v>2740</v>
      </c>
      <c r="H1223" t="s">
        <v>2741</v>
      </c>
      <c r="I1223" t="s">
        <v>2742</v>
      </c>
      <c r="J1223">
        <v>215.09589041092599</v>
      </c>
      <c r="K1223">
        <v>3</v>
      </c>
      <c r="L1223">
        <v>1</v>
      </c>
      <c r="M1223">
        <v>1</v>
      </c>
      <c r="N1223" s="6">
        <v>1491022.8530885801</v>
      </c>
      <c r="O1223" s="6">
        <v>275180.989978511</v>
      </c>
      <c r="P1223" s="6">
        <v>719834.69391496305</v>
      </c>
      <c r="Q1223" s="6">
        <v>192285.09148250701</v>
      </c>
      <c r="R1223" s="6">
        <v>58291.631809977203</v>
      </c>
      <c r="S1223" s="6">
        <v>91468.358209513797</v>
      </c>
      <c r="T1223" s="6">
        <v>1897502.41</v>
      </c>
      <c r="U1223" s="6">
        <v>839112.85027453396</v>
      </c>
      <c r="V1223" s="6">
        <v>2485733.9648212702</v>
      </c>
      <c r="W1223" s="6">
        <v>250881.29545326199</v>
      </c>
      <c r="X1223" s="6">
        <v>0</v>
      </c>
      <c r="Y1223" s="6">
        <v>0</v>
      </c>
      <c r="Z1223" s="6">
        <v>0</v>
      </c>
      <c r="AA1223" s="6">
        <v>0</v>
      </c>
      <c r="AB1223" s="6">
        <v>0</v>
      </c>
      <c r="AC1223" s="6">
        <v>91468.358209513797</v>
      </c>
      <c r="AD1223" s="6">
        <v>0</v>
      </c>
      <c r="AE1223" s="6">
        <v>0</v>
      </c>
      <c r="AF1223" s="6">
        <v>0</v>
      </c>
      <c r="AG1223" s="6">
        <v>0</v>
      </c>
      <c r="AH1223" s="6">
        <v>0</v>
      </c>
      <c r="AI1223" s="6">
        <v>0</v>
      </c>
      <c r="AJ1223" s="6">
        <v>2828083.61848405</v>
      </c>
      <c r="AK1223" s="6">
        <v>13148.0132562328</v>
      </c>
      <c r="AL1223" s="6">
        <v>330.98244656580999</v>
      </c>
      <c r="AM1223" s="6">
        <v>93035.839999999997</v>
      </c>
      <c r="AN1223" s="6">
        <v>13099.579460402099</v>
      </c>
      <c r="AO1223" s="6">
        <v>13148.0132562328</v>
      </c>
      <c r="AP1223" s="6">
        <v>330.98244656580999</v>
      </c>
      <c r="AQ1223" s="6">
        <v>93035.839999999997</v>
      </c>
      <c r="AR1223" s="6">
        <v>13148.0132562328</v>
      </c>
      <c r="AS1223" s="6">
        <v>13148.0132562328</v>
      </c>
      <c r="AT1223" s="6">
        <v>0</v>
      </c>
      <c r="AU1223" t="s">
        <v>2973</v>
      </c>
      <c r="AV1223" t="s">
        <v>2973</v>
      </c>
    </row>
    <row r="1224" spans="1:48" x14ac:dyDescent="0.45">
      <c r="A1224" s="5" t="s">
        <v>2464</v>
      </c>
      <c r="B1224">
        <v>2209</v>
      </c>
      <c r="C1224" t="s">
        <v>2462</v>
      </c>
      <c r="D1224">
        <v>1061</v>
      </c>
      <c r="E1224" t="s">
        <v>2465</v>
      </c>
      <c r="F1224" t="s">
        <v>2739</v>
      </c>
      <c r="G1224" t="s">
        <v>2748</v>
      </c>
      <c r="H1224" t="s">
        <v>2745</v>
      </c>
      <c r="I1224" t="s">
        <v>2742</v>
      </c>
      <c r="J1224">
        <v>264.24935487277901</v>
      </c>
      <c r="K1224">
        <v>1</v>
      </c>
      <c r="L1224">
        <v>1</v>
      </c>
      <c r="M1224">
        <v>1</v>
      </c>
      <c r="N1224" s="6">
        <v>1404550.70691142</v>
      </c>
      <c r="O1224" s="6">
        <v>676624.48002148897</v>
      </c>
      <c r="P1224" s="6">
        <v>901349.05608503695</v>
      </c>
      <c r="Q1224" s="6">
        <v>236225.858517493</v>
      </c>
      <c r="R1224" s="6">
        <v>130434.71819002301</v>
      </c>
      <c r="S1224" s="6">
        <v>112370.60179048601</v>
      </c>
      <c r="T1224" s="6">
        <v>2318318.87</v>
      </c>
      <c r="U1224" s="6">
        <v>1030865.94972547</v>
      </c>
      <c r="V1224" s="6">
        <v>3019817.4551787302</v>
      </c>
      <c r="W1224" s="6">
        <v>329367.36454673897</v>
      </c>
      <c r="X1224" s="6">
        <v>0</v>
      </c>
      <c r="Y1224" s="6">
        <v>0</v>
      </c>
      <c r="Z1224" s="6">
        <v>0</v>
      </c>
      <c r="AA1224" s="6">
        <v>0</v>
      </c>
      <c r="AB1224" s="6">
        <v>0</v>
      </c>
      <c r="AC1224" s="6">
        <v>112370.60179048601</v>
      </c>
      <c r="AD1224" s="6">
        <v>0</v>
      </c>
      <c r="AE1224" s="6">
        <v>0</v>
      </c>
      <c r="AF1224" s="6">
        <v>0</v>
      </c>
      <c r="AG1224" s="6">
        <v>0</v>
      </c>
      <c r="AH1224" s="6">
        <v>0</v>
      </c>
      <c r="AI1224" s="6">
        <v>0</v>
      </c>
      <c r="AJ1224" s="6">
        <v>3461555.42151595</v>
      </c>
      <c r="AK1224" s="6">
        <v>13099.579460402099</v>
      </c>
      <c r="AL1224" s="6">
        <v>330.98244656580999</v>
      </c>
      <c r="AM1224" s="6">
        <v>93035.839999999997</v>
      </c>
      <c r="AN1224" s="6">
        <v>13099.579460402099</v>
      </c>
      <c r="AO1224" s="6">
        <v>13148.0132562328</v>
      </c>
      <c r="AP1224" s="6">
        <v>330.98244656580999</v>
      </c>
      <c r="AQ1224" s="6">
        <v>56162.493707719797</v>
      </c>
      <c r="AR1224" s="6">
        <v>13099.579460402099</v>
      </c>
      <c r="AS1224" s="6">
        <v>13099.579460402099</v>
      </c>
      <c r="AT1224" s="6">
        <v>0</v>
      </c>
      <c r="AU1224" t="s">
        <v>2973</v>
      </c>
      <c r="AV1224" t="s">
        <v>2973</v>
      </c>
    </row>
    <row r="1225" spans="1:48" x14ac:dyDescent="0.45">
      <c r="A1225" s="5" t="s">
        <v>2466</v>
      </c>
      <c r="B1225">
        <v>2018</v>
      </c>
      <c r="C1225" t="s">
        <v>2467</v>
      </c>
      <c r="D1225">
        <v>349</v>
      </c>
      <c r="E1225" t="s">
        <v>2468</v>
      </c>
      <c r="F1225" t="s">
        <v>2739</v>
      </c>
      <c r="G1225" t="s">
        <v>2740</v>
      </c>
      <c r="H1225" t="s">
        <v>2741</v>
      </c>
      <c r="I1225" t="s">
        <v>2742</v>
      </c>
      <c r="J1225">
        <v>5.6923076923069997</v>
      </c>
      <c r="K1225">
        <v>0</v>
      </c>
      <c r="L1225">
        <v>0</v>
      </c>
      <c r="M1225">
        <v>4</v>
      </c>
      <c r="N1225" s="6">
        <v>98627.96</v>
      </c>
      <c r="O1225" s="6">
        <v>17611.310000000001</v>
      </c>
      <c r="P1225" s="6">
        <v>67223.27</v>
      </c>
      <c r="Q1225" s="6">
        <v>53319.06</v>
      </c>
      <c r="R1225" s="6">
        <v>0</v>
      </c>
      <c r="S1225" s="6">
        <v>18274</v>
      </c>
      <c r="T1225" s="6">
        <v>236781.6</v>
      </c>
      <c r="U1225" s="6">
        <v>0</v>
      </c>
      <c r="V1225" s="6">
        <v>215568.94</v>
      </c>
      <c r="W1225" s="6">
        <v>21212.66</v>
      </c>
      <c r="X1225" s="6">
        <v>0</v>
      </c>
      <c r="Y1225" s="6">
        <v>0</v>
      </c>
      <c r="Z1225" s="6">
        <v>0</v>
      </c>
      <c r="AA1225" s="6">
        <v>0</v>
      </c>
      <c r="AB1225" s="6">
        <v>0</v>
      </c>
      <c r="AC1225" s="6">
        <v>18274</v>
      </c>
      <c r="AD1225" s="6">
        <v>0</v>
      </c>
      <c r="AE1225" s="6">
        <v>0</v>
      </c>
      <c r="AF1225" s="6">
        <v>0</v>
      </c>
      <c r="AG1225" s="6">
        <v>0</v>
      </c>
      <c r="AH1225" s="6">
        <v>0</v>
      </c>
      <c r="AI1225" s="6">
        <v>0</v>
      </c>
      <c r="AJ1225" s="6">
        <v>255055.6</v>
      </c>
      <c r="AK1225" s="6">
        <v>44807.064864870299</v>
      </c>
      <c r="AL1225" s="6">
        <v>330.98244656580999</v>
      </c>
      <c r="AM1225" s="6">
        <v>93035.839999999997</v>
      </c>
      <c r="AN1225" s="6">
        <v>44807.064864870299</v>
      </c>
      <c r="AO1225" s="6">
        <v>44807.064864870299</v>
      </c>
      <c r="AP1225" s="6">
        <v>330.98244656580999</v>
      </c>
      <c r="AQ1225" s="6">
        <v>93035.839999999997</v>
      </c>
      <c r="AR1225" s="6">
        <v>44807.064864870299</v>
      </c>
      <c r="AS1225" s="6">
        <v>44807.064864870299</v>
      </c>
      <c r="AT1225" s="6">
        <v>0</v>
      </c>
      <c r="AU1225" t="s">
        <v>2973</v>
      </c>
      <c r="AV1225" t="s">
        <v>2973</v>
      </c>
    </row>
    <row r="1226" spans="1:48" x14ac:dyDescent="0.45">
      <c r="A1226" s="5" t="s">
        <v>2469</v>
      </c>
      <c r="B1226">
        <v>2003</v>
      </c>
      <c r="C1226" t="s">
        <v>2470</v>
      </c>
      <c r="D1226">
        <v>318</v>
      </c>
      <c r="E1226" t="s">
        <v>2471</v>
      </c>
      <c r="F1226" t="s">
        <v>2739</v>
      </c>
      <c r="G1226" t="s">
        <v>2740</v>
      </c>
      <c r="H1226" t="s">
        <v>2741</v>
      </c>
      <c r="I1226" t="s">
        <v>2742</v>
      </c>
      <c r="J1226">
        <v>421.08724916921898</v>
      </c>
      <c r="K1226">
        <v>1</v>
      </c>
      <c r="L1226">
        <v>1</v>
      </c>
      <c r="M1226">
        <v>2</v>
      </c>
      <c r="N1226" s="6">
        <v>2642785.57579163</v>
      </c>
      <c r="O1226" s="6">
        <v>635758.91794804903</v>
      </c>
      <c r="P1226" s="6">
        <v>851701.40972184902</v>
      </c>
      <c r="Q1226" s="6">
        <v>200804.941242153</v>
      </c>
      <c r="R1226" s="6">
        <v>80194.755178400606</v>
      </c>
      <c r="S1226" s="6">
        <v>191045.084339436</v>
      </c>
      <c r="T1226" s="6">
        <v>3463579</v>
      </c>
      <c r="U1226" s="6">
        <v>947666.59988207999</v>
      </c>
      <c r="V1226" s="6">
        <v>3796826.9953251099</v>
      </c>
      <c r="W1226" s="6">
        <v>614418.60455696797</v>
      </c>
      <c r="X1226" s="6">
        <v>0</v>
      </c>
      <c r="Y1226" s="6">
        <v>0</v>
      </c>
      <c r="Z1226" s="6">
        <v>0</v>
      </c>
      <c r="AA1226" s="6">
        <v>0</v>
      </c>
      <c r="AB1226" s="6">
        <v>0</v>
      </c>
      <c r="AC1226" s="6">
        <v>174616.12025398601</v>
      </c>
      <c r="AD1226" s="6">
        <v>16428.964085449701</v>
      </c>
      <c r="AE1226" s="6">
        <v>0</v>
      </c>
      <c r="AF1226" s="6">
        <v>0</v>
      </c>
      <c r="AG1226" s="6">
        <v>0</v>
      </c>
      <c r="AH1226" s="6">
        <v>0</v>
      </c>
      <c r="AI1226" s="6">
        <v>0</v>
      </c>
      <c r="AJ1226" s="6">
        <v>4602290.6842215201</v>
      </c>
      <c r="AK1226" s="6">
        <v>10929.541783327701</v>
      </c>
      <c r="AL1226" s="6">
        <v>330.98244656580999</v>
      </c>
      <c r="AM1226" s="6">
        <v>93035.839999999997</v>
      </c>
      <c r="AN1226" s="6">
        <v>8691.7587060215392</v>
      </c>
      <c r="AO1226" s="6">
        <v>14602.8046905029</v>
      </c>
      <c r="AP1226" s="6">
        <v>330.98244656580999</v>
      </c>
      <c r="AQ1226" s="6">
        <v>93035.839999999997</v>
      </c>
      <c r="AR1226" s="6">
        <v>10196.233277793101</v>
      </c>
      <c r="AS1226" s="6">
        <v>10929.541783327701</v>
      </c>
      <c r="AT1226" s="6">
        <v>0</v>
      </c>
      <c r="AU1226" t="s">
        <v>2973</v>
      </c>
      <c r="AV1226" t="s">
        <v>2973</v>
      </c>
    </row>
    <row r="1227" spans="1:48" x14ac:dyDescent="0.45">
      <c r="A1227" s="5" t="s">
        <v>2472</v>
      </c>
      <c r="B1227">
        <v>2003</v>
      </c>
      <c r="C1227" t="s">
        <v>2470</v>
      </c>
      <c r="D1227">
        <v>321</v>
      </c>
      <c r="E1227" t="s">
        <v>2473</v>
      </c>
      <c r="F1227" t="s">
        <v>2739</v>
      </c>
      <c r="G1227" t="s">
        <v>2744</v>
      </c>
      <c r="H1227" t="s">
        <v>2745</v>
      </c>
      <c r="I1227" t="s">
        <v>2742</v>
      </c>
      <c r="J1227">
        <v>362.24192691023001</v>
      </c>
      <c r="K1227">
        <v>1</v>
      </c>
      <c r="L1227">
        <v>1</v>
      </c>
      <c r="M1227">
        <v>2</v>
      </c>
      <c r="N1227" s="6">
        <v>2630044.7968913498</v>
      </c>
      <c r="O1227" s="6">
        <v>1434726.84910876</v>
      </c>
      <c r="P1227" s="6">
        <v>769286.12377892097</v>
      </c>
      <c r="Q1227" s="6">
        <v>172743.223624473</v>
      </c>
      <c r="R1227" s="6">
        <v>118599.84682089501</v>
      </c>
      <c r="S1227" s="6">
        <v>164347.26915711901</v>
      </c>
      <c r="T1227" s="6">
        <v>4310167</v>
      </c>
      <c r="U1227" s="6">
        <v>815233.84022439795</v>
      </c>
      <c r="V1227" s="6">
        <v>4261304.4883640297</v>
      </c>
      <c r="W1227" s="6">
        <v>864096.35186036804</v>
      </c>
      <c r="X1227" s="6">
        <v>0</v>
      </c>
      <c r="Y1227" s="6">
        <v>0</v>
      </c>
      <c r="Z1227" s="6">
        <v>0</v>
      </c>
      <c r="AA1227" s="6">
        <v>0</v>
      </c>
      <c r="AB1227" s="6">
        <v>0</v>
      </c>
      <c r="AC1227" s="6">
        <v>150214.18956567199</v>
      </c>
      <c r="AD1227" s="6">
        <v>14133.0795914475</v>
      </c>
      <c r="AE1227" s="6">
        <v>0</v>
      </c>
      <c r="AF1227" s="6">
        <v>0</v>
      </c>
      <c r="AG1227" s="6">
        <v>0</v>
      </c>
      <c r="AH1227" s="6">
        <v>0</v>
      </c>
      <c r="AI1227" s="6">
        <v>0</v>
      </c>
      <c r="AJ1227" s="6">
        <v>5289748.1093815202</v>
      </c>
      <c r="AK1227" s="6">
        <v>14602.8046905029</v>
      </c>
      <c r="AL1227" s="6">
        <v>330.98244656580999</v>
      </c>
      <c r="AM1227" s="6">
        <v>93035.839999999997</v>
      </c>
      <c r="AN1227" s="6">
        <v>8691.7587060215392</v>
      </c>
      <c r="AO1227" s="6">
        <v>14602.8046905029</v>
      </c>
      <c r="AP1227" s="6">
        <v>330.98244656580999</v>
      </c>
      <c r="AQ1227" s="6">
        <v>40734.411818744898</v>
      </c>
      <c r="AR1227" s="6">
        <v>14602.8046905029</v>
      </c>
      <c r="AS1227" s="6">
        <v>14602.8046905029</v>
      </c>
      <c r="AT1227" s="6">
        <v>0</v>
      </c>
      <c r="AU1227" t="s">
        <v>2973</v>
      </c>
      <c r="AV1227" t="s">
        <v>2973</v>
      </c>
    </row>
    <row r="1228" spans="1:48" x14ac:dyDescent="0.45">
      <c r="A1228" s="5" t="s">
        <v>2474</v>
      </c>
      <c r="B1228">
        <v>2003</v>
      </c>
      <c r="C1228" t="s">
        <v>2470</v>
      </c>
      <c r="D1228">
        <v>319</v>
      </c>
      <c r="E1228" t="s">
        <v>2475</v>
      </c>
      <c r="F1228" t="s">
        <v>2739</v>
      </c>
      <c r="G1228" t="s">
        <v>2747</v>
      </c>
      <c r="H1228" t="s">
        <v>2741</v>
      </c>
      <c r="I1228" t="s">
        <v>2742</v>
      </c>
      <c r="J1228">
        <v>197.64422870316201</v>
      </c>
      <c r="K1228">
        <v>1</v>
      </c>
      <c r="L1228">
        <v>1</v>
      </c>
      <c r="M1228">
        <v>2</v>
      </c>
      <c r="N1228" s="6">
        <v>1303792.69332983</v>
      </c>
      <c r="O1228" s="6">
        <v>476287.59598895302</v>
      </c>
      <c r="P1228" s="6">
        <v>518397.79074013402</v>
      </c>
      <c r="Q1228" s="6">
        <v>94251.103090608798</v>
      </c>
      <c r="R1228" s="6">
        <v>37640.727817204301</v>
      </c>
      <c r="S1228" s="6">
        <v>89670.153670752494</v>
      </c>
      <c r="T1228" s="6">
        <v>1985567</v>
      </c>
      <c r="U1228" s="6">
        <v>444802.91096672998</v>
      </c>
      <c r="V1228" s="6">
        <v>2149764.2993040201</v>
      </c>
      <c r="W1228" s="6">
        <v>280605.61166271201</v>
      </c>
      <c r="X1228" s="6">
        <v>0</v>
      </c>
      <c r="Y1228" s="6">
        <v>0</v>
      </c>
      <c r="Z1228" s="6">
        <v>0</v>
      </c>
      <c r="AA1228" s="6">
        <v>0</v>
      </c>
      <c r="AB1228" s="6">
        <v>0</v>
      </c>
      <c r="AC1228" s="6">
        <v>81958.949065371999</v>
      </c>
      <c r="AD1228" s="6">
        <v>7711.2046053804297</v>
      </c>
      <c r="AE1228" s="6">
        <v>0</v>
      </c>
      <c r="AF1228" s="6">
        <v>0</v>
      </c>
      <c r="AG1228" s="6">
        <v>0</v>
      </c>
      <c r="AH1228" s="6">
        <v>0</v>
      </c>
      <c r="AI1228" s="6">
        <v>0</v>
      </c>
      <c r="AJ1228" s="6">
        <v>2520040.0646374798</v>
      </c>
      <c r="AK1228" s="6">
        <v>12750.385281536801</v>
      </c>
      <c r="AL1228" s="6">
        <v>330.98244656580999</v>
      </c>
      <c r="AM1228" s="6">
        <v>93035.839999999997</v>
      </c>
      <c r="AN1228" s="6">
        <v>8691.7587060215392</v>
      </c>
      <c r="AO1228" s="6">
        <v>14602.8046905029</v>
      </c>
      <c r="AP1228" s="6">
        <v>3753.1860850462999</v>
      </c>
      <c r="AQ1228" s="6">
        <v>20687.885194392002</v>
      </c>
      <c r="AR1228" s="6">
        <v>12750.385281536801</v>
      </c>
      <c r="AS1228" s="6">
        <v>12750.385281536801</v>
      </c>
      <c r="AT1228" s="6">
        <v>0</v>
      </c>
      <c r="AU1228" t="s">
        <v>2973</v>
      </c>
      <c r="AV1228" t="s">
        <v>2973</v>
      </c>
    </row>
    <row r="1229" spans="1:48" x14ac:dyDescent="0.45">
      <c r="A1229" s="5" t="s">
        <v>2781</v>
      </c>
      <c r="B1229">
        <v>2003</v>
      </c>
      <c r="C1229" t="s">
        <v>2470</v>
      </c>
      <c r="D1229">
        <v>5357</v>
      </c>
      <c r="E1229" t="s">
        <v>2782</v>
      </c>
      <c r="F1229" t="s">
        <v>2739</v>
      </c>
      <c r="G1229" t="s">
        <v>2748</v>
      </c>
      <c r="H1229" t="s">
        <v>2743</v>
      </c>
      <c r="I1229" t="s">
        <v>2742</v>
      </c>
      <c r="J1229">
        <v>42.750105437231198</v>
      </c>
      <c r="K1229">
        <v>1</v>
      </c>
      <c r="L1229">
        <v>1</v>
      </c>
      <c r="M1229">
        <v>2</v>
      </c>
      <c r="N1229" s="6">
        <v>146073.810957529</v>
      </c>
      <c r="O1229" s="6">
        <v>133439.90042622501</v>
      </c>
      <c r="P1229" s="6">
        <v>44136.414994381703</v>
      </c>
      <c r="Q1229" s="6">
        <v>20386.350874683601</v>
      </c>
      <c r="R1229" s="6">
        <v>8141.6244404300296</v>
      </c>
      <c r="S1229" s="6">
        <v>19395.499424143101</v>
      </c>
      <c r="T1229" s="6">
        <v>255968</v>
      </c>
      <c r="U1229" s="6">
        <v>96210.101693249599</v>
      </c>
      <c r="V1229" s="6">
        <v>322039.11606638099</v>
      </c>
      <c r="W1229" s="6">
        <v>30138.9856268683</v>
      </c>
      <c r="X1229" s="6">
        <v>0</v>
      </c>
      <c r="Y1229" s="6">
        <v>0</v>
      </c>
      <c r="Z1229" s="6">
        <v>0</v>
      </c>
      <c r="AA1229" s="6">
        <v>0</v>
      </c>
      <c r="AB1229" s="6">
        <v>0</v>
      </c>
      <c r="AC1229" s="6">
        <v>17727.579181335699</v>
      </c>
      <c r="AD1229" s="6">
        <v>1667.92024280749</v>
      </c>
      <c r="AE1229" s="6">
        <v>0</v>
      </c>
      <c r="AF1229" s="6">
        <v>0</v>
      </c>
      <c r="AG1229" s="6">
        <v>0</v>
      </c>
      <c r="AH1229" s="6">
        <v>0</v>
      </c>
      <c r="AI1229" s="6">
        <v>0</v>
      </c>
      <c r="AJ1229" s="6">
        <v>371573.601117393</v>
      </c>
      <c r="AK1229" s="6">
        <v>8691.7587060215392</v>
      </c>
      <c r="AL1229" s="6">
        <v>330.98244656580999</v>
      </c>
      <c r="AM1229" s="6">
        <v>93035.839999999997</v>
      </c>
      <c r="AN1229" s="6">
        <v>8691.7587060215392</v>
      </c>
      <c r="AO1229" s="6">
        <v>14602.8046905029</v>
      </c>
      <c r="AP1229" s="6">
        <v>330.98244656580999</v>
      </c>
      <c r="AQ1229" s="6">
        <v>56162.493707719797</v>
      </c>
      <c r="AR1229" s="6">
        <v>8691.7587060215392</v>
      </c>
      <c r="AS1229" s="6">
        <v>8691.7587060215392</v>
      </c>
      <c r="AT1229" s="6">
        <v>0</v>
      </c>
      <c r="AU1229" t="s">
        <v>2973</v>
      </c>
      <c r="AV1229" t="s">
        <v>2973</v>
      </c>
    </row>
    <row r="1230" spans="1:48" x14ac:dyDescent="0.45">
      <c r="A1230" s="5" t="s">
        <v>2476</v>
      </c>
      <c r="B1230">
        <v>2003</v>
      </c>
      <c r="C1230" t="s">
        <v>2470</v>
      </c>
      <c r="D1230">
        <v>320</v>
      </c>
      <c r="E1230" t="s">
        <v>2477</v>
      </c>
      <c r="F1230" t="s">
        <v>2739</v>
      </c>
      <c r="G1230" t="s">
        <v>2740</v>
      </c>
      <c r="H1230" t="s">
        <v>2741</v>
      </c>
      <c r="I1230" t="s">
        <v>2742</v>
      </c>
      <c r="J1230">
        <v>323.39749501649197</v>
      </c>
      <c r="K1230">
        <v>1</v>
      </c>
      <c r="L1230">
        <v>1</v>
      </c>
      <c r="M1230">
        <v>2</v>
      </c>
      <c r="N1230" s="6">
        <v>1747875.12302967</v>
      </c>
      <c r="O1230" s="6">
        <v>478118.736528009</v>
      </c>
      <c r="P1230" s="6">
        <v>708909.26076471002</v>
      </c>
      <c r="Q1230" s="6">
        <v>154219.38116808</v>
      </c>
      <c r="R1230" s="6">
        <v>61590.045743069801</v>
      </c>
      <c r="S1230" s="6">
        <v>146723.75340854799</v>
      </c>
      <c r="T1230" s="6">
        <v>2422899</v>
      </c>
      <c r="U1230" s="6">
        <v>727813.54723353602</v>
      </c>
      <c r="V1230" s="6">
        <v>2602296.1009404501</v>
      </c>
      <c r="W1230" s="6">
        <v>548416.44629308197</v>
      </c>
      <c r="X1230" s="6">
        <v>0</v>
      </c>
      <c r="Y1230" s="6">
        <v>0</v>
      </c>
      <c r="Z1230" s="6">
        <v>0</v>
      </c>
      <c r="AA1230" s="6">
        <v>0</v>
      </c>
      <c r="AB1230" s="6">
        <v>0</v>
      </c>
      <c r="AC1230" s="6">
        <v>134106.21193363299</v>
      </c>
      <c r="AD1230" s="6">
        <v>12617.5414749147</v>
      </c>
      <c r="AE1230" s="6">
        <v>0</v>
      </c>
      <c r="AF1230" s="6">
        <v>0</v>
      </c>
      <c r="AG1230" s="6">
        <v>0</v>
      </c>
      <c r="AH1230" s="6">
        <v>0</v>
      </c>
      <c r="AI1230" s="6">
        <v>0</v>
      </c>
      <c r="AJ1230" s="6">
        <v>3297436.3006420801</v>
      </c>
      <c r="AK1230" s="6">
        <v>10196.233277793101</v>
      </c>
      <c r="AL1230" s="6">
        <v>330.98244656580999</v>
      </c>
      <c r="AM1230" s="6">
        <v>93035.839999999997</v>
      </c>
      <c r="AN1230" s="6">
        <v>8691.7587060215392</v>
      </c>
      <c r="AO1230" s="6">
        <v>14602.8046905029</v>
      </c>
      <c r="AP1230" s="6">
        <v>330.98244656580999</v>
      </c>
      <c r="AQ1230" s="6">
        <v>93035.839999999997</v>
      </c>
      <c r="AR1230" s="6">
        <v>10196.233277793101</v>
      </c>
      <c r="AS1230" s="6">
        <v>10929.541783327701</v>
      </c>
      <c r="AT1230" s="6">
        <v>0</v>
      </c>
      <c r="AU1230" t="s">
        <v>2973</v>
      </c>
      <c r="AV1230" t="s">
        <v>2973</v>
      </c>
    </row>
    <row r="1231" spans="1:48" x14ac:dyDescent="0.45">
      <c r="A1231" s="5" t="s">
        <v>2478</v>
      </c>
      <c r="B1231">
        <v>2102</v>
      </c>
      <c r="C1231" t="s">
        <v>2479</v>
      </c>
      <c r="D1231">
        <v>662</v>
      </c>
      <c r="E1231" t="s">
        <v>2480</v>
      </c>
      <c r="F1231" t="s">
        <v>2739</v>
      </c>
      <c r="G1231" t="s">
        <v>2740</v>
      </c>
      <c r="H1231" t="s">
        <v>2741</v>
      </c>
      <c r="I1231" t="s">
        <v>2742</v>
      </c>
      <c r="J1231">
        <v>334.58731707307697</v>
      </c>
      <c r="K1231">
        <v>1</v>
      </c>
      <c r="L1231">
        <v>2</v>
      </c>
      <c r="M1231">
        <v>2</v>
      </c>
      <c r="N1231" s="6">
        <v>1737053.9004678</v>
      </c>
      <c r="O1231" s="6">
        <v>572318.41740292998</v>
      </c>
      <c r="P1231" s="6">
        <v>959071.80197950394</v>
      </c>
      <c r="Q1231" s="6">
        <v>127720.267457551</v>
      </c>
      <c r="R1231" s="6">
        <v>359088.46850225999</v>
      </c>
      <c r="S1231" s="6">
        <v>163624.75719840801</v>
      </c>
      <c r="T1231" s="6">
        <v>2460801.38</v>
      </c>
      <c r="U1231" s="6">
        <v>1294451.47581004</v>
      </c>
      <c r="V1231" s="6">
        <v>3057069.5530491699</v>
      </c>
      <c r="W1231" s="6">
        <v>604878.82911327505</v>
      </c>
      <c r="X1231" s="6">
        <v>0</v>
      </c>
      <c r="Y1231" s="6">
        <v>0</v>
      </c>
      <c r="Z1231" s="6">
        <v>0</v>
      </c>
      <c r="AA1231" s="6">
        <v>0</v>
      </c>
      <c r="AB1231" s="6">
        <v>93304.473647600098</v>
      </c>
      <c r="AC1231" s="6">
        <v>163624.75719840801</v>
      </c>
      <c r="AD1231" s="6">
        <v>0</v>
      </c>
      <c r="AE1231" s="6">
        <v>0</v>
      </c>
      <c r="AF1231" s="6">
        <v>0</v>
      </c>
      <c r="AG1231" s="6">
        <v>0</v>
      </c>
      <c r="AH1231" s="6">
        <v>0</v>
      </c>
      <c r="AI1231" s="6">
        <v>0</v>
      </c>
      <c r="AJ1231" s="6">
        <v>3918877.6130084498</v>
      </c>
      <c r="AK1231" s="6">
        <v>11712.570719327499</v>
      </c>
      <c r="AL1231" s="6">
        <v>330.98244656580999</v>
      </c>
      <c r="AM1231" s="6">
        <v>93035.839999999997</v>
      </c>
      <c r="AN1231" s="6">
        <v>4357.8347373220804</v>
      </c>
      <c r="AO1231" s="6">
        <v>15415.585545014899</v>
      </c>
      <c r="AP1231" s="6">
        <v>330.98244656580999</v>
      </c>
      <c r="AQ1231" s="6">
        <v>93035.839999999997</v>
      </c>
      <c r="AR1231" s="6">
        <v>4357.8347373220804</v>
      </c>
      <c r="AS1231" s="6">
        <v>15415.585545014899</v>
      </c>
      <c r="AT1231" s="6">
        <v>0</v>
      </c>
      <c r="AU1231" t="s">
        <v>2973</v>
      </c>
      <c r="AV1231" t="s">
        <v>2973</v>
      </c>
    </row>
    <row r="1232" spans="1:48" x14ac:dyDescent="0.45">
      <c r="A1232" s="5" t="s">
        <v>2481</v>
      </c>
      <c r="B1232">
        <v>2102</v>
      </c>
      <c r="C1232" t="s">
        <v>2479</v>
      </c>
      <c r="D1232">
        <v>663</v>
      </c>
      <c r="E1232" t="s">
        <v>2482</v>
      </c>
      <c r="F1232" t="s">
        <v>2739</v>
      </c>
      <c r="G1232" t="s">
        <v>2740</v>
      </c>
      <c r="H1232" t="s">
        <v>2741</v>
      </c>
      <c r="I1232" t="s">
        <v>2742</v>
      </c>
      <c r="J1232">
        <v>347.42972027614002</v>
      </c>
      <c r="K1232">
        <v>1</v>
      </c>
      <c r="L1232">
        <v>2</v>
      </c>
      <c r="M1232">
        <v>2</v>
      </c>
      <c r="N1232" s="6">
        <v>2168925.2050483199</v>
      </c>
      <c r="O1232" s="6">
        <v>552841.84106117999</v>
      </c>
      <c r="P1232" s="6">
        <v>1049791.0642826499</v>
      </c>
      <c r="Q1232" s="6">
        <v>132555.035513332</v>
      </c>
      <c r="R1232" s="6">
        <v>1281814.2918545599</v>
      </c>
      <c r="S1232" s="6">
        <v>169905.136037413</v>
      </c>
      <c r="T1232" s="6">
        <v>3841791.27</v>
      </c>
      <c r="U1232" s="6">
        <v>1344136.1677600399</v>
      </c>
      <c r="V1232" s="6">
        <v>3520168.8885241901</v>
      </c>
      <c r="W1232" s="6">
        <v>1593958.2421059101</v>
      </c>
      <c r="X1232" s="6">
        <v>0</v>
      </c>
      <c r="Y1232" s="6">
        <v>0</v>
      </c>
      <c r="Z1232" s="6">
        <v>0</v>
      </c>
      <c r="AA1232" s="6">
        <v>0</v>
      </c>
      <c r="AB1232" s="6">
        <v>71800.307129941095</v>
      </c>
      <c r="AC1232" s="6">
        <v>169905.136037413</v>
      </c>
      <c r="AD1232" s="6">
        <v>0</v>
      </c>
      <c r="AE1232" s="6">
        <v>0</v>
      </c>
      <c r="AF1232" s="6">
        <v>0</v>
      </c>
      <c r="AG1232" s="6">
        <v>0</v>
      </c>
      <c r="AH1232" s="6">
        <v>0</v>
      </c>
      <c r="AI1232" s="6">
        <v>0</v>
      </c>
      <c r="AJ1232" s="6">
        <v>5355832.5737974504</v>
      </c>
      <c r="AK1232" s="6">
        <v>15415.585545014899</v>
      </c>
      <c r="AL1232" s="6">
        <v>330.98244656580999</v>
      </c>
      <c r="AM1232" s="6">
        <v>93035.839999999997</v>
      </c>
      <c r="AN1232" s="6">
        <v>4357.8347373220804</v>
      </c>
      <c r="AO1232" s="6">
        <v>15415.585545014899</v>
      </c>
      <c r="AP1232" s="6">
        <v>330.98244656580999</v>
      </c>
      <c r="AQ1232" s="6">
        <v>93035.839999999997</v>
      </c>
      <c r="AR1232" s="6">
        <v>4357.8347373220804</v>
      </c>
      <c r="AS1232" s="6">
        <v>15415.585545014899</v>
      </c>
      <c r="AT1232" s="6">
        <v>0</v>
      </c>
      <c r="AU1232" t="s">
        <v>2973</v>
      </c>
      <c r="AV1232" t="s">
        <v>2973</v>
      </c>
    </row>
    <row r="1233" spans="1:48" x14ac:dyDescent="0.45">
      <c r="A1233" s="5" t="s">
        <v>2483</v>
      </c>
      <c r="B1233">
        <v>2102</v>
      </c>
      <c r="C1233" t="s">
        <v>2479</v>
      </c>
      <c r="D1233">
        <v>664</v>
      </c>
      <c r="E1233" t="s">
        <v>2484</v>
      </c>
      <c r="F1233" t="s">
        <v>2739</v>
      </c>
      <c r="G1233" t="s">
        <v>2740</v>
      </c>
      <c r="H1233" t="s">
        <v>2741</v>
      </c>
      <c r="I1233" t="s">
        <v>2742</v>
      </c>
      <c r="J1233">
        <v>142.58171999557601</v>
      </c>
      <c r="K1233">
        <v>1</v>
      </c>
      <c r="L1233">
        <v>1</v>
      </c>
      <c r="M1233">
        <v>2</v>
      </c>
      <c r="N1233" s="6">
        <v>843042.11174689</v>
      </c>
      <c r="O1233" s="6">
        <v>276272.83549327101</v>
      </c>
      <c r="P1233" s="6">
        <v>513047.20220840001</v>
      </c>
      <c r="Q1233" s="6">
        <v>55248.5780299486</v>
      </c>
      <c r="R1233" s="6">
        <v>188733.767907948</v>
      </c>
      <c r="S1233" s="6">
        <v>69727.386917394702</v>
      </c>
      <c r="T1233" s="6">
        <v>1324724.31</v>
      </c>
      <c r="U1233" s="6">
        <v>551620.18538645701</v>
      </c>
      <c r="V1233" s="6">
        <v>1561042.22298149</v>
      </c>
      <c r="W1233" s="6">
        <v>293730.12582879502</v>
      </c>
      <c r="X1233" s="6">
        <v>0</v>
      </c>
      <c r="Y1233" s="6">
        <v>0</v>
      </c>
      <c r="Z1233" s="6">
        <v>0</v>
      </c>
      <c r="AA1233" s="6">
        <v>0</v>
      </c>
      <c r="AB1233" s="6">
        <v>21572.146576171399</v>
      </c>
      <c r="AC1233" s="6">
        <v>69727.386917394702</v>
      </c>
      <c r="AD1233" s="6">
        <v>0</v>
      </c>
      <c r="AE1233" s="6">
        <v>0</v>
      </c>
      <c r="AF1233" s="6">
        <v>0</v>
      </c>
      <c r="AG1233" s="6">
        <v>0</v>
      </c>
      <c r="AH1233" s="6">
        <v>0</v>
      </c>
      <c r="AI1233" s="6">
        <v>0</v>
      </c>
      <c r="AJ1233" s="6">
        <v>1946071.88230385</v>
      </c>
      <c r="AK1233" s="6">
        <v>13648.8175508349</v>
      </c>
      <c r="AL1233" s="6">
        <v>330.98244656580999</v>
      </c>
      <c r="AM1233" s="6">
        <v>93035.839999999997</v>
      </c>
      <c r="AN1233" s="6">
        <v>4357.8347373220804</v>
      </c>
      <c r="AO1233" s="6">
        <v>15415.585545014899</v>
      </c>
      <c r="AP1233" s="6">
        <v>330.98244656580999</v>
      </c>
      <c r="AQ1233" s="6">
        <v>93035.839999999997</v>
      </c>
      <c r="AR1233" s="6">
        <v>4357.8347373220804</v>
      </c>
      <c r="AS1233" s="6">
        <v>15415.585545014899</v>
      </c>
      <c r="AT1233" s="6">
        <v>0</v>
      </c>
      <c r="AU1233" t="s">
        <v>2973</v>
      </c>
      <c r="AV1233" t="s">
        <v>2973</v>
      </c>
    </row>
    <row r="1234" spans="1:48" x14ac:dyDescent="0.45">
      <c r="A1234" s="5" t="s">
        <v>2485</v>
      </c>
      <c r="B1234">
        <v>2102</v>
      </c>
      <c r="C1234" t="s">
        <v>2479</v>
      </c>
      <c r="D1234">
        <v>666</v>
      </c>
      <c r="E1234" t="s">
        <v>2486</v>
      </c>
      <c r="F1234" t="s">
        <v>2739</v>
      </c>
      <c r="G1234" t="s">
        <v>2740</v>
      </c>
      <c r="H1234" t="s">
        <v>2741</v>
      </c>
      <c r="I1234" t="s">
        <v>2742</v>
      </c>
      <c r="J1234">
        <v>286.31167496407801</v>
      </c>
      <c r="K1234">
        <v>1</v>
      </c>
      <c r="L1234">
        <v>1</v>
      </c>
      <c r="M1234">
        <v>2</v>
      </c>
      <c r="N1234" s="6">
        <v>1589956.7281642901</v>
      </c>
      <c r="O1234" s="6">
        <v>451568.71439382201</v>
      </c>
      <c r="P1234" s="6">
        <v>754709.15142075403</v>
      </c>
      <c r="Q1234" s="6">
        <v>109311.363145204</v>
      </c>
      <c r="R1234" s="6">
        <v>202502.97533008401</v>
      </c>
      <c r="S1234" s="6">
        <v>140016.300405179</v>
      </c>
      <c r="T1234" s="6">
        <v>2000366.27</v>
      </c>
      <c r="U1234" s="6">
        <v>1107682.6624541499</v>
      </c>
      <c r="V1234" s="6">
        <v>2671581.0509755001</v>
      </c>
      <c r="W1234" s="6">
        <v>348913.80414104601</v>
      </c>
      <c r="X1234" s="6">
        <v>0</v>
      </c>
      <c r="Y1234" s="6">
        <v>0</v>
      </c>
      <c r="Z1234" s="6">
        <v>0</v>
      </c>
      <c r="AA1234" s="6">
        <v>0</v>
      </c>
      <c r="AB1234" s="6">
        <v>87554.077337607407</v>
      </c>
      <c r="AC1234" s="6">
        <v>140016.300405179</v>
      </c>
      <c r="AD1234" s="6">
        <v>0</v>
      </c>
      <c r="AE1234" s="6">
        <v>0</v>
      </c>
      <c r="AF1234" s="6">
        <v>0</v>
      </c>
      <c r="AG1234" s="6">
        <v>0</v>
      </c>
      <c r="AH1234" s="6">
        <v>0</v>
      </c>
      <c r="AI1234" s="6">
        <v>0</v>
      </c>
      <c r="AJ1234" s="6">
        <v>3248065.2328593298</v>
      </c>
      <c r="AK1234" s="6">
        <v>11344.508509011501</v>
      </c>
      <c r="AL1234" s="6">
        <v>330.98244656580999</v>
      </c>
      <c r="AM1234" s="6">
        <v>93035.839999999997</v>
      </c>
      <c r="AN1234" s="6">
        <v>4357.8347373220804</v>
      </c>
      <c r="AO1234" s="6">
        <v>15415.585545014899</v>
      </c>
      <c r="AP1234" s="6">
        <v>330.98244656580999</v>
      </c>
      <c r="AQ1234" s="6">
        <v>93035.839999999997</v>
      </c>
      <c r="AR1234" s="6">
        <v>4357.8347373220804</v>
      </c>
      <c r="AS1234" s="6">
        <v>15415.585545014899</v>
      </c>
      <c r="AT1234" s="6">
        <v>0</v>
      </c>
      <c r="AU1234" t="s">
        <v>2973</v>
      </c>
      <c r="AV1234" t="s">
        <v>2973</v>
      </c>
    </row>
    <row r="1235" spans="1:48" x14ac:dyDescent="0.45">
      <c r="A1235" s="5" t="s">
        <v>2487</v>
      </c>
      <c r="B1235">
        <v>2102</v>
      </c>
      <c r="C1235" t="s">
        <v>2479</v>
      </c>
      <c r="D1235">
        <v>4484</v>
      </c>
      <c r="E1235" t="s">
        <v>2488</v>
      </c>
      <c r="F1235" t="s">
        <v>3</v>
      </c>
      <c r="G1235" t="s">
        <v>2740</v>
      </c>
      <c r="H1235" t="s">
        <v>2741</v>
      </c>
      <c r="I1235" t="s">
        <v>2742</v>
      </c>
      <c r="J1235">
        <v>137.440251572313</v>
      </c>
      <c r="K1235">
        <v>1</v>
      </c>
      <c r="L1235">
        <v>1</v>
      </c>
      <c r="M1235">
        <v>2</v>
      </c>
      <c r="N1235" s="6">
        <v>60683.333897913901</v>
      </c>
      <c r="O1235" s="6">
        <v>78697.577263748899</v>
      </c>
      <c r="P1235" s="6">
        <v>264497.63549327001</v>
      </c>
      <c r="Q1235" s="6">
        <v>51876.319603380602</v>
      </c>
      <c r="R1235" s="6">
        <v>75974.005116171902</v>
      </c>
      <c r="S1235" s="6">
        <v>67213.031233625705</v>
      </c>
      <c r="T1235" s="6">
        <v>0</v>
      </c>
      <c r="U1235" s="6">
        <v>531728.87137448601</v>
      </c>
      <c r="V1235" s="6">
        <v>418234.99341698998</v>
      </c>
      <c r="W1235" s="6">
        <v>92699.618690067306</v>
      </c>
      <c r="X1235" s="6">
        <v>0</v>
      </c>
      <c r="Y1235" s="6">
        <v>0</v>
      </c>
      <c r="Z1235" s="6">
        <v>0</v>
      </c>
      <c r="AA1235" s="6">
        <v>0</v>
      </c>
      <c r="AB1235" s="6">
        <v>20794.259267427798</v>
      </c>
      <c r="AC1235" s="6">
        <v>67213.031233625705</v>
      </c>
      <c r="AD1235" s="6">
        <v>0</v>
      </c>
      <c r="AE1235" s="6">
        <v>0</v>
      </c>
      <c r="AF1235" s="6">
        <v>0</v>
      </c>
      <c r="AG1235" s="6">
        <v>0</v>
      </c>
      <c r="AH1235" s="6">
        <v>0</v>
      </c>
      <c r="AI1235" s="6">
        <v>0</v>
      </c>
      <c r="AJ1235" s="6">
        <v>598941.90260811104</v>
      </c>
      <c r="AK1235" s="6">
        <v>4357.8347373220804</v>
      </c>
      <c r="AL1235" s="6">
        <v>330.98244656580999</v>
      </c>
      <c r="AM1235" s="6">
        <v>93035.839999999997</v>
      </c>
      <c r="AN1235" s="6">
        <v>4357.8347373220804</v>
      </c>
      <c r="AO1235" s="6">
        <v>15415.585545014899</v>
      </c>
      <c r="AP1235" s="6">
        <v>330.98244656580999</v>
      </c>
      <c r="AQ1235" s="6">
        <v>93035.839999999997</v>
      </c>
      <c r="AR1235" s="6">
        <v>4357.8347373220804</v>
      </c>
      <c r="AS1235" s="6">
        <v>15415.585545014899</v>
      </c>
      <c r="AT1235" s="6">
        <v>0</v>
      </c>
      <c r="AU1235" t="s">
        <v>2973</v>
      </c>
      <c r="AV1235" t="s">
        <v>2976</v>
      </c>
    </row>
    <row r="1236" spans="1:48" x14ac:dyDescent="0.45">
      <c r="A1236" s="5" t="s">
        <v>2489</v>
      </c>
      <c r="B1236">
        <v>2102</v>
      </c>
      <c r="C1236" t="s">
        <v>2479</v>
      </c>
      <c r="D1236">
        <v>669</v>
      </c>
      <c r="E1236" t="s">
        <v>2490</v>
      </c>
      <c r="F1236" t="s">
        <v>2739</v>
      </c>
      <c r="G1236" t="s">
        <v>2744</v>
      </c>
      <c r="H1236" t="s">
        <v>2745</v>
      </c>
      <c r="I1236" t="s">
        <v>2742</v>
      </c>
      <c r="J1236">
        <v>676.755572873083</v>
      </c>
      <c r="K1236">
        <v>1</v>
      </c>
      <c r="L1236">
        <v>1</v>
      </c>
      <c r="M1236">
        <v>2</v>
      </c>
      <c r="N1236" s="6">
        <v>4568607.2663864801</v>
      </c>
      <c r="O1236" s="6">
        <v>1612583.48111529</v>
      </c>
      <c r="P1236" s="6">
        <v>2274645.82249407</v>
      </c>
      <c r="Q1236" s="6">
        <v>257154.712473625</v>
      </c>
      <c r="R1236" s="6">
        <v>383415.87633652898</v>
      </c>
      <c r="S1236" s="6">
        <v>330956.85533663601</v>
      </c>
      <c r="T1236" s="6">
        <v>6478175.0700000003</v>
      </c>
      <c r="U1236" s="6">
        <v>2618232.0888059898</v>
      </c>
      <c r="V1236" s="6">
        <v>7909693.6102588503</v>
      </c>
      <c r="W1236" s="6">
        <v>1082762.7600875599</v>
      </c>
      <c r="X1236" s="6">
        <v>0</v>
      </c>
      <c r="Y1236" s="6">
        <v>0</v>
      </c>
      <c r="Z1236" s="6">
        <v>0</v>
      </c>
      <c r="AA1236" s="6">
        <v>0</v>
      </c>
      <c r="AB1236" s="6">
        <v>103950.78845957801</v>
      </c>
      <c r="AC1236" s="6">
        <v>330956.85533663601</v>
      </c>
      <c r="AD1236" s="6">
        <v>0</v>
      </c>
      <c r="AE1236" s="6">
        <v>0</v>
      </c>
      <c r="AF1236" s="6">
        <v>0</v>
      </c>
      <c r="AG1236" s="6">
        <v>0</v>
      </c>
      <c r="AH1236" s="6">
        <v>0</v>
      </c>
      <c r="AI1236" s="6">
        <v>0</v>
      </c>
      <c r="AJ1236" s="6">
        <v>9427364.0141426194</v>
      </c>
      <c r="AK1236" s="6">
        <v>13930.234773124799</v>
      </c>
      <c r="AL1236" s="6">
        <v>330.98244656580999</v>
      </c>
      <c r="AM1236" s="6">
        <v>93035.839999999997</v>
      </c>
      <c r="AN1236" s="6">
        <v>4357.8347373220804</v>
      </c>
      <c r="AO1236" s="6">
        <v>15415.585545014899</v>
      </c>
      <c r="AP1236" s="6">
        <v>330.98244656580999</v>
      </c>
      <c r="AQ1236" s="6">
        <v>40734.411818744898</v>
      </c>
      <c r="AR1236" s="6">
        <v>13930.234773124799</v>
      </c>
      <c r="AS1236" s="6">
        <v>13930.234773124799</v>
      </c>
      <c r="AT1236" s="6">
        <v>0</v>
      </c>
      <c r="AU1236" t="s">
        <v>2973</v>
      </c>
      <c r="AV1236" t="s">
        <v>2973</v>
      </c>
    </row>
    <row r="1237" spans="1:48" x14ac:dyDescent="0.45">
      <c r="A1237" s="5" t="s">
        <v>2491</v>
      </c>
      <c r="B1237">
        <v>2102</v>
      </c>
      <c r="C1237" t="s">
        <v>2479</v>
      </c>
      <c r="D1237">
        <v>668</v>
      </c>
      <c r="E1237" t="s">
        <v>2492</v>
      </c>
      <c r="F1237" t="s">
        <v>2739</v>
      </c>
      <c r="G1237" t="s">
        <v>2747</v>
      </c>
      <c r="H1237" t="s">
        <v>2741</v>
      </c>
      <c r="I1237" t="s">
        <v>2742</v>
      </c>
      <c r="J1237">
        <v>352.95154342819802</v>
      </c>
      <c r="K1237">
        <v>1</v>
      </c>
      <c r="L1237">
        <v>2</v>
      </c>
      <c r="M1237">
        <v>2</v>
      </c>
      <c r="N1237" s="6">
        <v>2081509.8690931499</v>
      </c>
      <c r="O1237" s="6">
        <v>747957.68844136596</v>
      </c>
      <c r="P1237" s="6">
        <v>1558101.7367127801</v>
      </c>
      <c r="Q1237" s="6">
        <v>134667.237439296</v>
      </c>
      <c r="R1237" s="6">
        <v>197785.116532385</v>
      </c>
      <c r="S1237" s="6">
        <v>172605.49832386099</v>
      </c>
      <c r="T1237" s="6">
        <v>3354522.65</v>
      </c>
      <c r="U1237" s="6">
        <v>1365498.9982189799</v>
      </c>
      <c r="V1237" s="6">
        <v>4201606.2994501302</v>
      </c>
      <c r="W1237" s="6">
        <v>462333.81790724403</v>
      </c>
      <c r="X1237" s="6">
        <v>0</v>
      </c>
      <c r="Y1237" s="6">
        <v>0</v>
      </c>
      <c r="Z1237" s="6">
        <v>0</v>
      </c>
      <c r="AA1237" s="6">
        <v>0</v>
      </c>
      <c r="AB1237" s="6">
        <v>56081.530861611602</v>
      </c>
      <c r="AC1237" s="6">
        <v>172605.49832386099</v>
      </c>
      <c r="AD1237" s="6">
        <v>0</v>
      </c>
      <c r="AE1237" s="6">
        <v>0</v>
      </c>
      <c r="AF1237" s="6">
        <v>0</v>
      </c>
      <c r="AG1237" s="6">
        <v>0</v>
      </c>
      <c r="AH1237" s="6">
        <v>0</v>
      </c>
      <c r="AI1237" s="6">
        <v>0</v>
      </c>
      <c r="AJ1237" s="6">
        <v>4892627.1465428397</v>
      </c>
      <c r="AK1237" s="6">
        <v>13862.036411630501</v>
      </c>
      <c r="AL1237" s="6">
        <v>330.98244656580999</v>
      </c>
      <c r="AM1237" s="6">
        <v>93035.839999999997</v>
      </c>
      <c r="AN1237" s="6">
        <v>4357.8347373220804</v>
      </c>
      <c r="AO1237" s="6">
        <v>15415.585545014899</v>
      </c>
      <c r="AP1237" s="6">
        <v>3753.1860850462999</v>
      </c>
      <c r="AQ1237" s="6">
        <v>20687.885194392002</v>
      </c>
      <c r="AR1237" s="6">
        <v>13862.036411630501</v>
      </c>
      <c r="AS1237" s="6">
        <v>13862.036411630501</v>
      </c>
      <c r="AT1237" s="6">
        <v>0</v>
      </c>
      <c r="AU1237" t="s">
        <v>2973</v>
      </c>
      <c r="AV1237" t="s">
        <v>2973</v>
      </c>
    </row>
    <row r="1238" spans="1:48" x14ac:dyDescent="0.45">
      <c r="A1238" s="5" t="s">
        <v>2493</v>
      </c>
      <c r="B1238">
        <v>2102</v>
      </c>
      <c r="C1238" t="s">
        <v>2479</v>
      </c>
      <c r="D1238">
        <v>2102</v>
      </c>
      <c r="E1238" t="s">
        <v>2479</v>
      </c>
      <c r="F1238" t="s">
        <v>1</v>
      </c>
      <c r="G1238" t="s">
        <v>1</v>
      </c>
      <c r="H1238" t="s">
        <v>2743</v>
      </c>
      <c r="I1238" t="s">
        <v>2742</v>
      </c>
      <c r="J1238">
        <v>1</v>
      </c>
      <c r="K1238">
        <v>0</v>
      </c>
      <c r="L1238">
        <v>0</v>
      </c>
      <c r="M1238">
        <v>2</v>
      </c>
      <c r="N1238" s="6">
        <v>441.525195157155</v>
      </c>
      <c r="O1238" s="6">
        <v>572.59482839598002</v>
      </c>
      <c r="P1238" s="6">
        <v>1924.4554085678999</v>
      </c>
      <c r="Q1238" s="6">
        <v>377.44633766248899</v>
      </c>
      <c r="R1238" s="6">
        <v>552.77842005548803</v>
      </c>
      <c r="S1238" s="6">
        <v>489.03454748307303</v>
      </c>
      <c r="T1238" s="6">
        <v>0</v>
      </c>
      <c r="U1238" s="6">
        <v>3868.8001898390098</v>
      </c>
      <c r="V1238" s="6">
        <v>3043.0313436740198</v>
      </c>
      <c r="W1238" s="6">
        <v>674.47212610269503</v>
      </c>
      <c r="X1238" s="6">
        <v>0</v>
      </c>
      <c r="Y1238" s="6">
        <v>0</v>
      </c>
      <c r="Z1238" s="6">
        <v>0</v>
      </c>
      <c r="AA1238" s="6">
        <v>0</v>
      </c>
      <c r="AB1238" s="6">
        <v>151.296720062296</v>
      </c>
      <c r="AC1238" s="6">
        <v>489.03454748307303</v>
      </c>
      <c r="AD1238" s="6">
        <v>0</v>
      </c>
      <c r="AE1238" s="6">
        <v>0</v>
      </c>
      <c r="AF1238" s="6">
        <v>0</v>
      </c>
      <c r="AG1238" s="6">
        <v>0</v>
      </c>
      <c r="AH1238" s="6">
        <v>0</v>
      </c>
      <c r="AI1238" s="6">
        <v>0</v>
      </c>
      <c r="AJ1238" s="6">
        <v>4357.8347373220804</v>
      </c>
      <c r="AK1238" s="6">
        <v>4357.8347373220804</v>
      </c>
      <c r="AL1238" s="6">
        <v>330.98244656580999</v>
      </c>
      <c r="AM1238" s="6">
        <v>93035.839999999997</v>
      </c>
      <c r="AN1238" s="6">
        <v>4357.8347373220804</v>
      </c>
      <c r="AO1238" s="6">
        <v>15415.585545014899</v>
      </c>
      <c r="AP1238" s="6">
        <v>634.54287297753501</v>
      </c>
      <c r="AQ1238" s="6">
        <v>40331.279999999999</v>
      </c>
      <c r="AR1238" s="6">
        <v>4357.8347373220804</v>
      </c>
      <c r="AS1238" s="6">
        <v>4357.8347373220804</v>
      </c>
      <c r="AT1238" s="6">
        <v>0</v>
      </c>
      <c r="AU1238" t="s">
        <v>2973</v>
      </c>
      <c r="AV1238" t="s">
        <v>2977</v>
      </c>
    </row>
    <row r="1239" spans="1:48" x14ac:dyDescent="0.45">
      <c r="A1239" s="5" t="s">
        <v>2494</v>
      </c>
      <c r="B1239">
        <v>2055</v>
      </c>
      <c r="C1239" t="s">
        <v>2495</v>
      </c>
      <c r="D1239">
        <v>402</v>
      </c>
      <c r="E1239" t="s">
        <v>540</v>
      </c>
      <c r="F1239" t="s">
        <v>2739</v>
      </c>
      <c r="G1239" t="s">
        <v>2740</v>
      </c>
      <c r="H1239" t="s">
        <v>2741</v>
      </c>
      <c r="I1239" t="s">
        <v>2742</v>
      </c>
      <c r="J1239">
        <v>100.74705882351201</v>
      </c>
      <c r="K1239">
        <v>1</v>
      </c>
      <c r="L1239">
        <v>1</v>
      </c>
      <c r="M1239">
        <v>3</v>
      </c>
      <c r="N1239" s="6">
        <v>797613.00620923704</v>
      </c>
      <c r="O1239" s="6">
        <v>350284.32701617299</v>
      </c>
      <c r="P1239" s="6">
        <v>350530.83085487399</v>
      </c>
      <c r="Q1239" s="6">
        <v>51056.111302510697</v>
      </c>
      <c r="R1239" s="6">
        <v>14418.0516390022</v>
      </c>
      <c r="S1239" s="6">
        <v>48726.791510360701</v>
      </c>
      <c r="T1239" s="6">
        <v>1080109.6100000001</v>
      </c>
      <c r="U1239" s="6">
        <v>483792.71702179703</v>
      </c>
      <c r="V1239" s="6">
        <v>1287963.7376584399</v>
      </c>
      <c r="W1239" s="6">
        <v>265905.46000980301</v>
      </c>
      <c r="X1239" s="6">
        <v>0</v>
      </c>
      <c r="Y1239" s="6">
        <v>0</v>
      </c>
      <c r="Z1239" s="6">
        <v>0</v>
      </c>
      <c r="AA1239" s="6">
        <v>10008.8136497697</v>
      </c>
      <c r="AB1239" s="6">
        <v>24.315703781029001</v>
      </c>
      <c r="AC1239" s="6">
        <v>40553.939324497303</v>
      </c>
      <c r="AD1239" s="6">
        <v>8172.8521858633603</v>
      </c>
      <c r="AE1239" s="6">
        <v>0</v>
      </c>
      <c r="AF1239" s="6">
        <v>0</v>
      </c>
      <c r="AG1239" s="6">
        <v>0</v>
      </c>
      <c r="AH1239" s="6">
        <v>0</v>
      </c>
      <c r="AI1239" s="6">
        <v>0</v>
      </c>
      <c r="AJ1239" s="6">
        <v>1612629.1185321601</v>
      </c>
      <c r="AK1239" s="6">
        <v>16006.711633707801</v>
      </c>
      <c r="AL1239" s="6">
        <v>330.98244656580999</v>
      </c>
      <c r="AM1239" s="6">
        <v>93035.839999999997</v>
      </c>
      <c r="AN1239" s="6">
        <v>5285.7077392703004</v>
      </c>
      <c r="AO1239" s="6">
        <v>16372.432636477701</v>
      </c>
      <c r="AP1239" s="6">
        <v>330.98244656580999</v>
      </c>
      <c r="AQ1239" s="6">
        <v>93035.839999999997</v>
      </c>
      <c r="AR1239" s="6">
        <v>5285.7077392703004</v>
      </c>
      <c r="AS1239" s="6">
        <v>16006.711633707801</v>
      </c>
      <c r="AT1239" s="6">
        <v>0</v>
      </c>
      <c r="AU1239" t="s">
        <v>2973</v>
      </c>
      <c r="AV1239" t="s">
        <v>2973</v>
      </c>
    </row>
    <row r="1240" spans="1:48" x14ac:dyDescent="0.45">
      <c r="A1240" s="5" t="s">
        <v>2496</v>
      </c>
      <c r="B1240">
        <v>2055</v>
      </c>
      <c r="C1240" t="s">
        <v>2495</v>
      </c>
      <c r="D1240">
        <v>443</v>
      </c>
      <c r="E1240" t="s">
        <v>2321</v>
      </c>
      <c r="F1240" t="s">
        <v>2739</v>
      </c>
      <c r="G1240" t="s">
        <v>2740</v>
      </c>
      <c r="H1240" t="s">
        <v>2741</v>
      </c>
      <c r="I1240" t="s">
        <v>2742</v>
      </c>
      <c r="J1240">
        <v>387.94839595686102</v>
      </c>
      <c r="K1240">
        <v>1</v>
      </c>
      <c r="L1240">
        <v>1</v>
      </c>
      <c r="M1240">
        <v>3</v>
      </c>
      <c r="N1240" s="6">
        <v>2898918.9742199401</v>
      </c>
      <c r="O1240" s="6">
        <v>836246.85636744404</v>
      </c>
      <c r="P1240" s="6">
        <v>1261486.86994741</v>
      </c>
      <c r="Q1240" s="6">
        <v>196602.627559599</v>
      </c>
      <c r="R1240" s="6">
        <v>55519.834241242301</v>
      </c>
      <c r="S1240" s="6">
        <v>187633.07661103801</v>
      </c>
      <c r="T1240" s="6">
        <v>3385826.4</v>
      </c>
      <c r="U1240" s="6">
        <v>1862948.7623356399</v>
      </c>
      <c r="V1240" s="6">
        <v>3956178.7704936499</v>
      </c>
      <c r="W1240" s="6">
        <v>1253961.65168589</v>
      </c>
      <c r="X1240" s="6">
        <v>0</v>
      </c>
      <c r="Y1240" s="6">
        <v>0</v>
      </c>
      <c r="Z1240" s="6">
        <v>0</v>
      </c>
      <c r="AA1240" s="6">
        <v>38541.107266082297</v>
      </c>
      <c r="AB1240" s="6">
        <v>93.6328900175385</v>
      </c>
      <c r="AC1240" s="6">
        <v>156161.737070968</v>
      </c>
      <c r="AD1240" s="6">
        <v>31471.339540070599</v>
      </c>
      <c r="AE1240" s="6">
        <v>0</v>
      </c>
      <c r="AF1240" s="6">
        <v>0</v>
      </c>
      <c r="AG1240" s="6">
        <v>0</v>
      </c>
      <c r="AH1240" s="6">
        <v>0</v>
      </c>
      <c r="AI1240" s="6">
        <v>0</v>
      </c>
      <c r="AJ1240" s="6">
        <v>5436408.23894668</v>
      </c>
      <c r="AK1240" s="6">
        <v>14013.225201093999</v>
      </c>
      <c r="AL1240" s="6">
        <v>330.98244656580999</v>
      </c>
      <c r="AM1240" s="6">
        <v>93035.839999999997</v>
      </c>
      <c r="AN1240" s="6">
        <v>5285.7077392703004</v>
      </c>
      <c r="AO1240" s="6">
        <v>16372.432636477701</v>
      </c>
      <c r="AP1240" s="6">
        <v>330.98244656580999</v>
      </c>
      <c r="AQ1240" s="6">
        <v>93035.839999999997</v>
      </c>
      <c r="AR1240" s="6">
        <v>5285.7077392703004</v>
      </c>
      <c r="AS1240" s="6">
        <v>16006.711633707801</v>
      </c>
      <c r="AT1240" s="6">
        <v>0</v>
      </c>
      <c r="AU1240" t="s">
        <v>2973</v>
      </c>
      <c r="AV1240" t="s">
        <v>2973</v>
      </c>
    </row>
    <row r="1241" spans="1:48" x14ac:dyDescent="0.45">
      <c r="A1241" s="5" t="s">
        <v>2497</v>
      </c>
      <c r="B1241">
        <v>2055</v>
      </c>
      <c r="C1241" t="s">
        <v>2495</v>
      </c>
      <c r="D1241">
        <v>444</v>
      </c>
      <c r="E1241" t="s">
        <v>2498</v>
      </c>
      <c r="F1241" t="s">
        <v>2739</v>
      </c>
      <c r="G1241" t="s">
        <v>2747</v>
      </c>
      <c r="H1241" t="s">
        <v>2745</v>
      </c>
      <c r="I1241" t="s">
        <v>2742</v>
      </c>
      <c r="J1241">
        <v>409.36935986267002</v>
      </c>
      <c r="K1241">
        <v>1</v>
      </c>
      <c r="L1241">
        <v>1</v>
      </c>
      <c r="M1241">
        <v>3</v>
      </c>
      <c r="N1241" s="6">
        <v>2308050.96122861</v>
      </c>
      <c r="O1241" s="6">
        <v>1039637.12173444</v>
      </c>
      <c r="P1241" s="6">
        <v>1233827.0944833299</v>
      </c>
      <c r="Q1241" s="6">
        <v>207458.240915995</v>
      </c>
      <c r="R1241" s="6">
        <v>58585.418163570001</v>
      </c>
      <c r="S1241" s="6">
        <v>197993.42712030499</v>
      </c>
      <c r="T1241" s="6">
        <v>2881745.47</v>
      </c>
      <c r="U1241" s="6">
        <v>1965813.3665259399</v>
      </c>
      <c r="V1241" s="6">
        <v>4119621.7393830898</v>
      </c>
      <c r="W1241" s="6">
        <v>687169.10064900306</v>
      </c>
      <c r="X1241" s="6">
        <v>0</v>
      </c>
      <c r="Y1241" s="6">
        <v>0</v>
      </c>
      <c r="Z1241" s="6">
        <v>0</v>
      </c>
      <c r="AA1241" s="6">
        <v>40669.193568902003</v>
      </c>
      <c r="AB1241" s="6">
        <v>98.802924945806197</v>
      </c>
      <c r="AC1241" s="6">
        <v>164784.36566829699</v>
      </c>
      <c r="AD1241" s="6">
        <v>33209.061452008398</v>
      </c>
      <c r="AE1241" s="6">
        <v>0</v>
      </c>
      <c r="AF1241" s="6">
        <v>0</v>
      </c>
      <c r="AG1241" s="6">
        <v>0</v>
      </c>
      <c r="AH1241" s="6">
        <v>0</v>
      </c>
      <c r="AI1241" s="6">
        <v>0</v>
      </c>
      <c r="AJ1241" s="6">
        <v>5045552.2636462497</v>
      </c>
      <c r="AK1241" s="6">
        <v>12325.182972508899</v>
      </c>
      <c r="AL1241" s="6">
        <v>330.98244656580999</v>
      </c>
      <c r="AM1241" s="6">
        <v>93035.839999999997</v>
      </c>
      <c r="AN1241" s="6">
        <v>5285.7077392703004</v>
      </c>
      <c r="AO1241" s="6">
        <v>16372.432636477701</v>
      </c>
      <c r="AP1241" s="6">
        <v>3753.1860850462999</v>
      </c>
      <c r="AQ1241" s="6">
        <v>20687.885194392002</v>
      </c>
      <c r="AR1241" s="6">
        <v>12325.182972508899</v>
      </c>
      <c r="AS1241" s="6">
        <v>13938.1406848847</v>
      </c>
      <c r="AT1241" s="6">
        <v>0</v>
      </c>
      <c r="AU1241" t="s">
        <v>2973</v>
      </c>
      <c r="AV1241" t="s">
        <v>2973</v>
      </c>
    </row>
    <row r="1242" spans="1:48" x14ac:dyDescent="0.45">
      <c r="A1242" s="5" t="s">
        <v>2499</v>
      </c>
      <c r="B1242">
        <v>2055</v>
      </c>
      <c r="C1242" t="s">
        <v>2495</v>
      </c>
      <c r="D1242">
        <v>445</v>
      </c>
      <c r="E1242" t="s">
        <v>2500</v>
      </c>
      <c r="F1242" t="s">
        <v>2739</v>
      </c>
      <c r="G1242" t="s">
        <v>2740</v>
      </c>
      <c r="H1242" t="s">
        <v>2741</v>
      </c>
      <c r="I1242" t="s">
        <v>2742</v>
      </c>
      <c r="J1242">
        <v>380.52571428555802</v>
      </c>
      <c r="K1242">
        <v>1</v>
      </c>
      <c r="L1242">
        <v>1</v>
      </c>
      <c r="M1242">
        <v>3</v>
      </c>
      <c r="N1242" s="6">
        <v>2442301.3417439298</v>
      </c>
      <c r="O1242" s="6">
        <v>783526.30058816401</v>
      </c>
      <c r="P1242" s="6">
        <v>1147678.49865617</v>
      </c>
      <c r="Q1242" s="6">
        <v>192840.99654030599</v>
      </c>
      <c r="R1242" s="6">
        <v>54457.563948824201</v>
      </c>
      <c r="S1242" s="6">
        <v>184043.06151313899</v>
      </c>
      <c r="T1242" s="6">
        <v>2793500.05</v>
      </c>
      <c r="U1242" s="6">
        <v>1827304.65147739</v>
      </c>
      <c r="V1242" s="6">
        <v>3589614.73858687</v>
      </c>
      <c r="W1242" s="6">
        <v>993294.42769214301</v>
      </c>
      <c r="X1242" s="6">
        <v>0</v>
      </c>
      <c r="Y1242" s="6">
        <v>0</v>
      </c>
      <c r="Z1242" s="6">
        <v>0</v>
      </c>
      <c r="AA1242" s="6">
        <v>37803.693802134199</v>
      </c>
      <c r="AB1242" s="6">
        <v>91.841396242058295</v>
      </c>
      <c r="AC1242" s="6">
        <v>153173.86838638</v>
      </c>
      <c r="AD1242" s="6">
        <v>30869.193126759001</v>
      </c>
      <c r="AE1242" s="6">
        <v>0</v>
      </c>
      <c r="AF1242" s="6">
        <v>0</v>
      </c>
      <c r="AG1242" s="6">
        <v>0</v>
      </c>
      <c r="AH1242" s="6">
        <v>0</v>
      </c>
      <c r="AI1242" s="6">
        <v>0</v>
      </c>
      <c r="AJ1242" s="6">
        <v>4804847.7629905296</v>
      </c>
      <c r="AK1242" s="6">
        <v>12626.8674694211</v>
      </c>
      <c r="AL1242" s="6">
        <v>330.98244656580999</v>
      </c>
      <c r="AM1242" s="6">
        <v>93035.839999999997</v>
      </c>
      <c r="AN1242" s="6">
        <v>5285.7077392703004</v>
      </c>
      <c r="AO1242" s="6">
        <v>16372.432636477701</v>
      </c>
      <c r="AP1242" s="6">
        <v>330.98244656580999</v>
      </c>
      <c r="AQ1242" s="6">
        <v>93035.839999999997</v>
      </c>
      <c r="AR1242" s="6">
        <v>5285.7077392703004</v>
      </c>
      <c r="AS1242" s="6">
        <v>16006.711633707801</v>
      </c>
      <c r="AT1242" s="6">
        <v>0</v>
      </c>
      <c r="AU1242" t="s">
        <v>2973</v>
      </c>
      <c r="AV1242" t="s">
        <v>2973</v>
      </c>
    </row>
    <row r="1243" spans="1:48" x14ac:dyDescent="0.45">
      <c r="A1243" s="5" t="s">
        <v>2501</v>
      </c>
      <c r="B1243">
        <v>2055</v>
      </c>
      <c r="C1243" t="s">
        <v>2495</v>
      </c>
      <c r="D1243">
        <v>446</v>
      </c>
      <c r="E1243" t="s">
        <v>2502</v>
      </c>
      <c r="F1243" t="s">
        <v>2739</v>
      </c>
      <c r="G1243" t="s">
        <v>2740</v>
      </c>
      <c r="H1243" t="s">
        <v>2741</v>
      </c>
      <c r="I1243" t="s">
        <v>2742</v>
      </c>
      <c r="J1243">
        <v>239.53823529409101</v>
      </c>
      <c r="K1243">
        <v>1</v>
      </c>
      <c r="L1243">
        <v>1</v>
      </c>
      <c r="M1243">
        <v>3</v>
      </c>
      <c r="N1243" s="6">
        <v>1790281.2627471001</v>
      </c>
      <c r="O1243" s="6">
        <v>548583.10736902896</v>
      </c>
      <c r="P1243" s="6">
        <v>817617.15563568298</v>
      </c>
      <c r="Q1243" s="6">
        <v>121392.03809221199</v>
      </c>
      <c r="R1243" s="6">
        <v>37080.5998404661</v>
      </c>
      <c r="S1243" s="6">
        <v>115853.800460634</v>
      </c>
      <c r="T1243" s="6">
        <v>2164678.86</v>
      </c>
      <c r="U1243" s="6">
        <v>1150275.3036845</v>
      </c>
      <c r="V1243" s="6">
        <v>2557544.23042501</v>
      </c>
      <c r="W1243" s="6">
        <v>730755.01292197197</v>
      </c>
      <c r="X1243" s="6">
        <v>0</v>
      </c>
      <c r="Y1243" s="6">
        <v>0</v>
      </c>
      <c r="Z1243" s="6">
        <v>0</v>
      </c>
      <c r="AA1243" s="6">
        <v>26597.106830683799</v>
      </c>
      <c r="AB1243" s="6">
        <v>57.813506832442201</v>
      </c>
      <c r="AC1243" s="6">
        <v>96421.862568028402</v>
      </c>
      <c r="AD1243" s="6">
        <v>19431.937892605602</v>
      </c>
      <c r="AE1243" s="6">
        <v>0</v>
      </c>
      <c r="AF1243" s="6">
        <v>0</v>
      </c>
      <c r="AG1243" s="6">
        <v>0</v>
      </c>
      <c r="AH1243" s="6">
        <v>0</v>
      </c>
      <c r="AI1243" s="6">
        <v>0</v>
      </c>
      <c r="AJ1243" s="6">
        <v>3430807.96414513</v>
      </c>
      <c r="AK1243" s="6">
        <v>14322.5901281813</v>
      </c>
      <c r="AL1243" s="6">
        <v>330.98244656580999</v>
      </c>
      <c r="AM1243" s="6">
        <v>93035.839999999997</v>
      </c>
      <c r="AN1243" s="6">
        <v>5285.7077392703004</v>
      </c>
      <c r="AO1243" s="6">
        <v>16372.432636477701</v>
      </c>
      <c r="AP1243" s="6">
        <v>330.98244656580999</v>
      </c>
      <c r="AQ1243" s="6">
        <v>93035.839999999997</v>
      </c>
      <c r="AR1243" s="6">
        <v>5285.7077392703004</v>
      </c>
      <c r="AS1243" s="6">
        <v>16006.711633707801</v>
      </c>
      <c r="AT1243" s="6">
        <v>0</v>
      </c>
      <c r="AU1243" t="s">
        <v>2973</v>
      </c>
      <c r="AV1243" t="s">
        <v>2973</v>
      </c>
    </row>
    <row r="1244" spans="1:48" x14ac:dyDescent="0.45">
      <c r="A1244" s="5" t="s">
        <v>2503</v>
      </c>
      <c r="B1244">
        <v>2055</v>
      </c>
      <c r="C1244" t="s">
        <v>2495</v>
      </c>
      <c r="D1244">
        <v>455</v>
      </c>
      <c r="E1244" t="s">
        <v>2504</v>
      </c>
      <c r="F1244" t="s">
        <v>2739</v>
      </c>
      <c r="G1244" t="s">
        <v>2744</v>
      </c>
      <c r="H1244" t="s">
        <v>2745</v>
      </c>
      <c r="I1244" t="s">
        <v>2742</v>
      </c>
      <c r="J1244">
        <v>569.97575051282502</v>
      </c>
      <c r="K1244">
        <v>1</v>
      </c>
      <c r="L1244">
        <v>1</v>
      </c>
      <c r="M1244">
        <v>3</v>
      </c>
      <c r="N1244" s="6">
        <v>3296656.1499952301</v>
      </c>
      <c r="O1244" s="6">
        <v>2085760.60829961</v>
      </c>
      <c r="P1244" s="6">
        <v>1841806.14048058</v>
      </c>
      <c r="Q1244" s="6">
        <v>288849.57732506498</v>
      </c>
      <c r="R1244" s="6">
        <v>81570.021992096503</v>
      </c>
      <c r="S1244" s="6">
        <v>275671.46758946503</v>
      </c>
      <c r="T1244" s="6">
        <v>4857588.7300000004</v>
      </c>
      <c r="U1244" s="6">
        <v>2737053.7680925699</v>
      </c>
      <c r="V1244" s="6">
        <v>6387925.67093472</v>
      </c>
      <c r="W1244" s="6">
        <v>1149954.4710150301</v>
      </c>
      <c r="X1244" s="6">
        <v>0</v>
      </c>
      <c r="Y1244" s="6">
        <v>0</v>
      </c>
      <c r="Z1244" s="6">
        <v>0</v>
      </c>
      <c r="AA1244" s="6">
        <v>56624.790226026002</v>
      </c>
      <c r="AB1244" s="6">
        <v>137.56591679880501</v>
      </c>
      <c r="AC1244" s="6">
        <v>229433.61595522301</v>
      </c>
      <c r="AD1244" s="6">
        <v>46237.851634242499</v>
      </c>
      <c r="AE1244" s="6">
        <v>0</v>
      </c>
      <c r="AF1244" s="6">
        <v>0</v>
      </c>
      <c r="AG1244" s="6">
        <v>0</v>
      </c>
      <c r="AH1244" s="6">
        <v>0</v>
      </c>
      <c r="AI1244" s="6">
        <v>0</v>
      </c>
      <c r="AJ1244" s="6">
        <v>7870313.9656820297</v>
      </c>
      <c r="AK1244" s="6">
        <v>13808.155800664999</v>
      </c>
      <c r="AL1244" s="6">
        <v>330.98244656580999</v>
      </c>
      <c r="AM1244" s="6">
        <v>93035.839999999997</v>
      </c>
      <c r="AN1244" s="6">
        <v>5285.7077392703004</v>
      </c>
      <c r="AO1244" s="6">
        <v>16372.432636477701</v>
      </c>
      <c r="AP1244" s="6">
        <v>330.98244656580999</v>
      </c>
      <c r="AQ1244" s="6">
        <v>40734.411818744898</v>
      </c>
      <c r="AR1244" s="6">
        <v>13808.155800664999</v>
      </c>
      <c r="AS1244" s="6">
        <v>16372.432636477701</v>
      </c>
      <c r="AT1244" s="6">
        <v>0</v>
      </c>
      <c r="AU1244" t="s">
        <v>2973</v>
      </c>
      <c r="AV1244" t="s">
        <v>2973</v>
      </c>
    </row>
    <row r="1245" spans="1:48" x14ac:dyDescent="0.45">
      <c r="A1245" s="5" t="s">
        <v>2505</v>
      </c>
      <c r="B1245">
        <v>2055</v>
      </c>
      <c r="C1245" t="s">
        <v>2495</v>
      </c>
      <c r="D1245">
        <v>456</v>
      </c>
      <c r="E1245" t="s">
        <v>2506</v>
      </c>
      <c r="F1245" t="s">
        <v>2739</v>
      </c>
      <c r="G1245" t="s">
        <v>2744</v>
      </c>
      <c r="H1245" t="s">
        <v>2745</v>
      </c>
      <c r="I1245" t="s">
        <v>2742</v>
      </c>
      <c r="J1245">
        <v>307.70329846096303</v>
      </c>
      <c r="K1245">
        <v>1</v>
      </c>
      <c r="L1245">
        <v>1</v>
      </c>
      <c r="M1245">
        <v>3</v>
      </c>
      <c r="N1245" s="6">
        <v>2126189.3513068398</v>
      </c>
      <c r="O1245" s="6">
        <v>1342359.5998480001</v>
      </c>
      <c r="P1245" s="6">
        <v>1192257.67057055</v>
      </c>
      <c r="Q1245" s="6">
        <v>155936.401894307</v>
      </c>
      <c r="R1245" s="6">
        <v>72286.346788076</v>
      </c>
      <c r="S1245" s="6">
        <v>148822.15566633001</v>
      </c>
      <c r="T1245" s="6">
        <v>3411421.82</v>
      </c>
      <c r="U1245" s="6">
        <v>1477607.5504077801</v>
      </c>
      <c r="V1245" s="6">
        <v>4084531.0971903801</v>
      </c>
      <c r="W1245" s="6">
        <v>764604.42707881005</v>
      </c>
      <c r="X1245" s="6">
        <v>0</v>
      </c>
      <c r="Y1245" s="6">
        <v>0</v>
      </c>
      <c r="Z1245" s="6">
        <v>0</v>
      </c>
      <c r="AA1245" s="6">
        <v>30819.580722349499</v>
      </c>
      <c r="AB1245" s="6">
        <v>9074.2654162334293</v>
      </c>
      <c r="AC1245" s="6">
        <v>123860.49817686</v>
      </c>
      <c r="AD1245" s="6">
        <v>24961.657489470501</v>
      </c>
      <c r="AE1245" s="6">
        <v>0</v>
      </c>
      <c r="AF1245" s="6">
        <v>0</v>
      </c>
      <c r="AG1245" s="6">
        <v>0</v>
      </c>
      <c r="AH1245" s="6">
        <v>0</v>
      </c>
      <c r="AI1245" s="6">
        <v>0</v>
      </c>
      <c r="AJ1245" s="6">
        <v>5037851.5260741096</v>
      </c>
      <c r="AK1245" s="6">
        <v>16372.432636477701</v>
      </c>
      <c r="AL1245" s="6">
        <v>330.98244656580999</v>
      </c>
      <c r="AM1245" s="6">
        <v>93035.839999999997</v>
      </c>
      <c r="AN1245" s="6">
        <v>5285.7077392703004</v>
      </c>
      <c r="AO1245" s="6">
        <v>16372.432636477701</v>
      </c>
      <c r="AP1245" s="6">
        <v>330.98244656580999</v>
      </c>
      <c r="AQ1245" s="6">
        <v>40734.411818744898</v>
      </c>
      <c r="AR1245" s="6">
        <v>13808.155800664999</v>
      </c>
      <c r="AS1245" s="6">
        <v>16372.432636477701</v>
      </c>
      <c r="AT1245" s="6">
        <v>0</v>
      </c>
      <c r="AU1245" t="s">
        <v>2973</v>
      </c>
      <c r="AV1245" t="s">
        <v>2973</v>
      </c>
    </row>
    <row r="1246" spans="1:48" x14ac:dyDescent="0.45">
      <c r="A1246" s="5" t="s">
        <v>2507</v>
      </c>
      <c r="B1246">
        <v>2055</v>
      </c>
      <c r="C1246" t="s">
        <v>2495</v>
      </c>
      <c r="D1246">
        <v>448</v>
      </c>
      <c r="E1246" t="s">
        <v>2508</v>
      </c>
      <c r="F1246" t="s">
        <v>2739</v>
      </c>
      <c r="G1246" t="s">
        <v>2747</v>
      </c>
      <c r="H1246" t="s">
        <v>2745</v>
      </c>
      <c r="I1246" t="s">
        <v>2742</v>
      </c>
      <c r="J1246">
        <v>397.95764705875001</v>
      </c>
      <c r="K1246">
        <v>1</v>
      </c>
      <c r="L1246">
        <v>1</v>
      </c>
      <c r="M1246">
        <v>3</v>
      </c>
      <c r="N1246" s="6">
        <v>2288992.08599055</v>
      </c>
      <c r="O1246" s="6">
        <v>1125503.1921665</v>
      </c>
      <c r="P1246" s="6">
        <v>1192445.8986446201</v>
      </c>
      <c r="Q1246" s="6">
        <v>201675.06783012001</v>
      </c>
      <c r="R1246" s="6">
        <v>56952.272080520503</v>
      </c>
      <c r="S1246" s="6">
        <v>192474.09824791801</v>
      </c>
      <c r="T1246" s="6">
        <v>2954554.8</v>
      </c>
      <c r="U1246" s="6">
        <v>1911013.71671231</v>
      </c>
      <c r="V1246" s="6">
        <v>4103488.7885811199</v>
      </c>
      <c r="W1246" s="6">
        <v>722448.19350575795</v>
      </c>
      <c r="X1246" s="6">
        <v>0</v>
      </c>
      <c r="Y1246" s="6">
        <v>0</v>
      </c>
      <c r="Z1246" s="6">
        <v>0</v>
      </c>
      <c r="AA1246" s="6">
        <v>39535.485962814899</v>
      </c>
      <c r="AB1246" s="6">
        <v>96.048662623762596</v>
      </c>
      <c r="AC1246" s="6">
        <v>160190.78334397901</v>
      </c>
      <c r="AD1246" s="6">
        <v>32283.314903939401</v>
      </c>
      <c r="AE1246" s="6">
        <v>0</v>
      </c>
      <c r="AF1246" s="6">
        <v>0</v>
      </c>
      <c r="AG1246" s="6">
        <v>0</v>
      </c>
      <c r="AH1246" s="6">
        <v>0</v>
      </c>
      <c r="AI1246" s="6">
        <v>0</v>
      </c>
      <c r="AJ1246" s="6">
        <v>5058042.6149602402</v>
      </c>
      <c r="AK1246" s="6">
        <v>12710.0023139234</v>
      </c>
      <c r="AL1246" s="6">
        <v>330.98244656580999</v>
      </c>
      <c r="AM1246" s="6">
        <v>93035.839999999997</v>
      </c>
      <c r="AN1246" s="6">
        <v>5285.7077392703004</v>
      </c>
      <c r="AO1246" s="6">
        <v>16372.432636477701</v>
      </c>
      <c r="AP1246" s="6">
        <v>3753.1860850462999</v>
      </c>
      <c r="AQ1246" s="6">
        <v>20687.885194392002</v>
      </c>
      <c r="AR1246" s="6">
        <v>12325.182972508899</v>
      </c>
      <c r="AS1246" s="6">
        <v>13938.1406848847</v>
      </c>
      <c r="AT1246" s="6">
        <v>0</v>
      </c>
      <c r="AU1246" t="s">
        <v>2973</v>
      </c>
      <c r="AV1246" t="s">
        <v>2973</v>
      </c>
    </row>
    <row r="1247" spans="1:48" x14ac:dyDescent="0.45">
      <c r="A1247" s="5" t="s">
        <v>2509</v>
      </c>
      <c r="B1247">
        <v>2055</v>
      </c>
      <c r="C1247" t="s">
        <v>2495</v>
      </c>
      <c r="D1247">
        <v>449</v>
      </c>
      <c r="E1247" t="s">
        <v>2510</v>
      </c>
      <c r="F1247" t="s">
        <v>2739</v>
      </c>
      <c r="G1247" t="s">
        <v>2747</v>
      </c>
      <c r="H1247" t="s">
        <v>2745</v>
      </c>
      <c r="I1247" t="s">
        <v>2742</v>
      </c>
      <c r="J1247">
        <v>319.05413163579999</v>
      </c>
      <c r="K1247">
        <v>1</v>
      </c>
      <c r="L1247">
        <v>1</v>
      </c>
      <c r="M1247">
        <v>3</v>
      </c>
      <c r="N1247" s="6">
        <v>2125388.89861689</v>
      </c>
      <c r="O1247" s="6">
        <v>823288.38438097003</v>
      </c>
      <c r="P1247" s="6">
        <v>1136683.0470209799</v>
      </c>
      <c r="Q1247" s="6">
        <v>161688.72269372601</v>
      </c>
      <c r="R1247" s="6">
        <v>45660.280302777297</v>
      </c>
      <c r="S1247" s="6">
        <v>154312.03981816501</v>
      </c>
      <c r="T1247" s="6">
        <v>2760594.48</v>
      </c>
      <c r="U1247" s="6">
        <v>1532114.8530153499</v>
      </c>
      <c r="V1247" s="6">
        <v>3332833.4133197898</v>
      </c>
      <c r="W1247" s="6">
        <v>928102.174527528</v>
      </c>
      <c r="X1247" s="6">
        <v>0</v>
      </c>
      <c r="Y1247" s="6">
        <v>0</v>
      </c>
      <c r="Z1247" s="6">
        <v>0</v>
      </c>
      <c r="AA1247" s="6">
        <v>31696.740183015099</v>
      </c>
      <c r="AB1247" s="6">
        <v>77.004985014599797</v>
      </c>
      <c r="AC1247" s="6">
        <v>128429.574487675</v>
      </c>
      <c r="AD1247" s="6">
        <v>25882.4653304899</v>
      </c>
      <c r="AE1247" s="6">
        <v>0</v>
      </c>
      <c r="AF1247" s="6">
        <v>0</v>
      </c>
      <c r="AG1247" s="6">
        <v>0</v>
      </c>
      <c r="AH1247" s="6">
        <v>0</v>
      </c>
      <c r="AI1247" s="6">
        <v>0</v>
      </c>
      <c r="AJ1247" s="6">
        <v>4447021.3728335099</v>
      </c>
      <c r="AK1247" s="6">
        <v>13938.1406848847</v>
      </c>
      <c r="AL1247" s="6">
        <v>330.98244656580999</v>
      </c>
      <c r="AM1247" s="6">
        <v>93035.839999999997</v>
      </c>
      <c r="AN1247" s="6">
        <v>5285.7077392703004</v>
      </c>
      <c r="AO1247" s="6">
        <v>16372.432636477701</v>
      </c>
      <c r="AP1247" s="6">
        <v>3753.1860850462999</v>
      </c>
      <c r="AQ1247" s="6">
        <v>20687.885194392002</v>
      </c>
      <c r="AR1247" s="6">
        <v>12325.182972508899</v>
      </c>
      <c r="AS1247" s="6">
        <v>13938.1406848847</v>
      </c>
      <c r="AT1247" s="6">
        <v>0</v>
      </c>
      <c r="AU1247" t="s">
        <v>2973</v>
      </c>
      <c r="AV1247" t="s">
        <v>2973</v>
      </c>
    </row>
    <row r="1248" spans="1:48" x14ac:dyDescent="0.45">
      <c r="A1248" s="5" t="s">
        <v>2511</v>
      </c>
      <c r="B1248">
        <v>2055</v>
      </c>
      <c r="C1248" t="s">
        <v>2495</v>
      </c>
      <c r="D1248">
        <v>450</v>
      </c>
      <c r="E1248" t="s">
        <v>2512</v>
      </c>
      <c r="F1248" t="s">
        <v>2739</v>
      </c>
      <c r="G1248" t="s">
        <v>2740</v>
      </c>
      <c r="H1248" t="s">
        <v>2741</v>
      </c>
      <c r="I1248" t="s">
        <v>2742</v>
      </c>
      <c r="J1248">
        <v>339.77812030921802</v>
      </c>
      <c r="K1248">
        <v>1</v>
      </c>
      <c r="L1248">
        <v>1</v>
      </c>
      <c r="M1248">
        <v>3</v>
      </c>
      <c r="N1248" s="6">
        <v>2733623.0220304299</v>
      </c>
      <c r="O1248" s="6">
        <v>715596.83027233602</v>
      </c>
      <c r="P1248" s="6">
        <v>1049018.1874754699</v>
      </c>
      <c r="Q1248" s="6">
        <v>172191.12628443999</v>
      </c>
      <c r="R1248" s="6">
        <v>48626.119130716397</v>
      </c>
      <c r="S1248" s="6">
        <v>164335.29495975401</v>
      </c>
      <c r="T1248" s="6">
        <v>3087422.74</v>
      </c>
      <c r="U1248" s="6">
        <v>1631632.54519339</v>
      </c>
      <c r="V1248" s="6">
        <v>3887510.4045388298</v>
      </c>
      <c r="W1248" s="6">
        <v>797707.28904267901</v>
      </c>
      <c r="X1248" s="6">
        <v>0</v>
      </c>
      <c r="Y1248" s="6">
        <v>0</v>
      </c>
      <c r="Z1248" s="6">
        <v>0</v>
      </c>
      <c r="AA1248" s="6">
        <v>33755.584809690903</v>
      </c>
      <c r="AB1248" s="6">
        <v>82.006802195456601</v>
      </c>
      <c r="AC1248" s="6">
        <v>136771.64808305001</v>
      </c>
      <c r="AD1248" s="6">
        <v>27563.646876703198</v>
      </c>
      <c r="AE1248" s="6">
        <v>0</v>
      </c>
      <c r="AF1248" s="6">
        <v>0</v>
      </c>
      <c r="AG1248" s="6">
        <v>0</v>
      </c>
      <c r="AH1248" s="6">
        <v>0</v>
      </c>
      <c r="AI1248" s="6">
        <v>0</v>
      </c>
      <c r="AJ1248" s="6">
        <v>4883390.5801531496</v>
      </c>
      <c r="AK1248" s="6">
        <v>14372.292647063299</v>
      </c>
      <c r="AL1248" s="6">
        <v>330.98244656580999</v>
      </c>
      <c r="AM1248" s="6">
        <v>93035.839999999997</v>
      </c>
      <c r="AN1248" s="6">
        <v>5285.7077392703004</v>
      </c>
      <c r="AO1248" s="6">
        <v>16372.432636477701</v>
      </c>
      <c r="AP1248" s="6">
        <v>330.98244656580999</v>
      </c>
      <c r="AQ1248" s="6">
        <v>93035.839999999997</v>
      </c>
      <c r="AR1248" s="6">
        <v>5285.7077392703004</v>
      </c>
      <c r="AS1248" s="6">
        <v>16006.711633707801</v>
      </c>
      <c r="AT1248" s="6">
        <v>0</v>
      </c>
      <c r="AU1248" t="s">
        <v>2973</v>
      </c>
      <c r="AV1248" t="s">
        <v>2973</v>
      </c>
    </row>
    <row r="1249" spans="1:48" x14ac:dyDescent="0.45">
      <c r="A1249" s="5" t="s">
        <v>2513</v>
      </c>
      <c r="B1249">
        <v>2055</v>
      </c>
      <c r="C1249" t="s">
        <v>2495</v>
      </c>
      <c r="D1249">
        <v>451</v>
      </c>
      <c r="E1249" t="s">
        <v>2514</v>
      </c>
      <c r="F1249" t="s">
        <v>2739</v>
      </c>
      <c r="G1249" t="s">
        <v>2740</v>
      </c>
      <c r="H1249" t="s">
        <v>2741</v>
      </c>
      <c r="I1249" t="s">
        <v>2742</v>
      </c>
      <c r="J1249">
        <v>380.74355535757797</v>
      </c>
      <c r="K1249">
        <v>1</v>
      </c>
      <c r="L1249">
        <v>1</v>
      </c>
      <c r="M1249">
        <v>3</v>
      </c>
      <c r="N1249" s="6">
        <v>2970634.3859689501</v>
      </c>
      <c r="O1249" s="6">
        <v>776083.42593249097</v>
      </c>
      <c r="P1249" s="6">
        <v>1132916.7614699199</v>
      </c>
      <c r="Q1249" s="6">
        <v>192951.39299404999</v>
      </c>
      <c r="R1249" s="6">
        <v>54488.739487466701</v>
      </c>
      <c r="S1249" s="6">
        <v>184148.42137795899</v>
      </c>
      <c r="T1249" s="6">
        <v>3298723.97</v>
      </c>
      <c r="U1249" s="6">
        <v>1828350.7358528799</v>
      </c>
      <c r="V1249" s="6">
        <v>4064696.91079723</v>
      </c>
      <c r="W1249" s="6">
        <v>1024460.56564923</v>
      </c>
      <c r="X1249" s="6">
        <v>0</v>
      </c>
      <c r="Y1249" s="6">
        <v>0</v>
      </c>
      <c r="Z1249" s="6">
        <v>0</v>
      </c>
      <c r="AA1249" s="6">
        <v>37825.335433369597</v>
      </c>
      <c r="AB1249" s="6">
        <v>91.8939730521451</v>
      </c>
      <c r="AC1249" s="6">
        <v>153261.55644119999</v>
      </c>
      <c r="AD1249" s="6">
        <v>30886.864936759401</v>
      </c>
      <c r="AE1249" s="6">
        <v>0</v>
      </c>
      <c r="AF1249" s="6">
        <v>0</v>
      </c>
      <c r="AG1249" s="6">
        <v>0</v>
      </c>
      <c r="AH1249" s="6">
        <v>0</v>
      </c>
      <c r="AI1249" s="6">
        <v>0</v>
      </c>
      <c r="AJ1249" s="6">
        <v>5311223.1272308398</v>
      </c>
      <c r="AK1249" s="6">
        <v>13949.607426034499</v>
      </c>
      <c r="AL1249" s="6">
        <v>330.98244656580999</v>
      </c>
      <c r="AM1249" s="6">
        <v>93035.839999999997</v>
      </c>
      <c r="AN1249" s="6">
        <v>5285.7077392703004</v>
      </c>
      <c r="AO1249" s="6">
        <v>16372.432636477701</v>
      </c>
      <c r="AP1249" s="6">
        <v>330.98244656580999</v>
      </c>
      <c r="AQ1249" s="6">
        <v>93035.839999999997</v>
      </c>
      <c r="AR1249" s="6">
        <v>5285.7077392703004</v>
      </c>
      <c r="AS1249" s="6">
        <v>16006.711633707801</v>
      </c>
      <c r="AT1249" s="6">
        <v>0</v>
      </c>
      <c r="AU1249" t="s">
        <v>2973</v>
      </c>
      <c r="AV1249" t="s">
        <v>2973</v>
      </c>
    </row>
    <row r="1250" spans="1:48" x14ac:dyDescent="0.45">
      <c r="A1250" s="5" t="s">
        <v>2516</v>
      </c>
      <c r="B1250">
        <v>2055</v>
      </c>
      <c r="C1250" t="s">
        <v>2495</v>
      </c>
      <c r="D1250">
        <v>457</v>
      </c>
      <c r="E1250" t="s">
        <v>2517</v>
      </c>
      <c r="F1250" t="s">
        <v>2739</v>
      </c>
      <c r="G1250" t="s">
        <v>2744</v>
      </c>
      <c r="H1250" t="s">
        <v>2745</v>
      </c>
      <c r="I1250" t="s">
        <v>2742</v>
      </c>
      <c r="J1250">
        <v>449.08162554524102</v>
      </c>
      <c r="K1250">
        <v>1</v>
      </c>
      <c r="L1250">
        <v>1</v>
      </c>
      <c r="M1250">
        <v>3</v>
      </c>
      <c r="N1250" s="6">
        <v>3281315.1669231001</v>
      </c>
      <c r="O1250" s="6">
        <v>1739992.32856675</v>
      </c>
      <c r="P1250" s="6">
        <v>1509249.99779641</v>
      </c>
      <c r="Q1250" s="6">
        <v>227583.43246442499</v>
      </c>
      <c r="R1250" s="6">
        <v>67370.575710323101</v>
      </c>
      <c r="S1250" s="6">
        <v>217200.45224754501</v>
      </c>
      <c r="T1250" s="6">
        <v>4668997.7300000004</v>
      </c>
      <c r="U1250" s="6">
        <v>2156513.7714610202</v>
      </c>
      <c r="V1250" s="6">
        <v>5880452.6437740996</v>
      </c>
      <c r="W1250" s="6">
        <v>898588.14317429601</v>
      </c>
      <c r="X1250" s="6">
        <v>0</v>
      </c>
      <c r="Y1250" s="6">
        <v>0</v>
      </c>
      <c r="Z1250" s="6">
        <v>0</v>
      </c>
      <c r="AA1250" s="6">
        <v>46362.326874244398</v>
      </c>
      <c r="AB1250" s="6">
        <v>108.387638386449</v>
      </c>
      <c r="AC1250" s="6">
        <v>180769.832953754</v>
      </c>
      <c r="AD1250" s="6">
        <v>36430.619293790602</v>
      </c>
      <c r="AE1250" s="6">
        <v>0</v>
      </c>
      <c r="AF1250" s="6">
        <v>0</v>
      </c>
      <c r="AG1250" s="6">
        <v>0</v>
      </c>
      <c r="AH1250" s="6">
        <v>0</v>
      </c>
      <c r="AI1250" s="6">
        <v>0</v>
      </c>
      <c r="AJ1250" s="6">
        <v>7042711.9537085602</v>
      </c>
      <c r="AK1250" s="6">
        <v>15682.476309641601</v>
      </c>
      <c r="AL1250" s="6">
        <v>330.98244656580999</v>
      </c>
      <c r="AM1250" s="6">
        <v>93035.839999999997</v>
      </c>
      <c r="AN1250" s="6">
        <v>5285.7077392703004</v>
      </c>
      <c r="AO1250" s="6">
        <v>16372.432636477701</v>
      </c>
      <c r="AP1250" s="6">
        <v>330.98244656580999</v>
      </c>
      <c r="AQ1250" s="6">
        <v>40734.411818744898</v>
      </c>
      <c r="AR1250" s="6">
        <v>13808.155800664999</v>
      </c>
      <c r="AS1250" s="6">
        <v>16372.432636477701</v>
      </c>
      <c r="AT1250" s="6">
        <v>0</v>
      </c>
      <c r="AU1250" t="s">
        <v>2973</v>
      </c>
      <c r="AV1250" t="s">
        <v>2973</v>
      </c>
    </row>
    <row r="1251" spans="1:48" x14ac:dyDescent="0.45">
      <c r="A1251" s="5" t="s">
        <v>2518</v>
      </c>
      <c r="B1251">
        <v>2055</v>
      </c>
      <c r="C1251" t="s">
        <v>2495</v>
      </c>
      <c r="D1251">
        <v>4823</v>
      </c>
      <c r="E1251" t="s">
        <v>2519</v>
      </c>
      <c r="F1251" t="s">
        <v>3</v>
      </c>
      <c r="G1251" t="s">
        <v>2740</v>
      </c>
      <c r="H1251" t="s">
        <v>2741</v>
      </c>
      <c r="I1251" t="s">
        <v>2742</v>
      </c>
      <c r="J1251">
        <v>105.378388432222</v>
      </c>
      <c r="K1251">
        <v>1</v>
      </c>
      <c r="L1251">
        <v>1</v>
      </c>
      <c r="M1251">
        <v>3</v>
      </c>
      <c r="N1251" s="6">
        <v>86992.965292698893</v>
      </c>
      <c r="O1251" s="6">
        <v>117556.184938142</v>
      </c>
      <c r="P1251" s="6">
        <v>232999.45510859601</v>
      </c>
      <c r="Q1251" s="6">
        <v>53403.154310437698</v>
      </c>
      <c r="R1251" s="6">
        <v>15080.8476574209</v>
      </c>
      <c r="S1251" s="6">
        <v>50966.755980735201</v>
      </c>
      <c r="T1251" s="6">
        <v>0</v>
      </c>
      <c r="U1251" s="6">
        <v>506032.60730729502</v>
      </c>
      <c r="V1251" s="6">
        <v>340447.43925968098</v>
      </c>
      <c r="W1251" s="6">
        <v>155090.81700098599</v>
      </c>
      <c r="X1251" s="6">
        <v>0</v>
      </c>
      <c r="Y1251" s="6">
        <v>0</v>
      </c>
      <c r="Z1251" s="6">
        <v>0</v>
      </c>
      <c r="AA1251" s="6">
        <v>10468.9175530057</v>
      </c>
      <c r="AB1251" s="6">
        <v>25.4334936221696</v>
      </c>
      <c r="AC1251" s="6">
        <v>42418.198808959402</v>
      </c>
      <c r="AD1251" s="6">
        <v>8548.5571717757593</v>
      </c>
      <c r="AE1251" s="6">
        <v>0</v>
      </c>
      <c r="AF1251" s="6">
        <v>0</v>
      </c>
      <c r="AG1251" s="6">
        <v>0</v>
      </c>
      <c r="AH1251" s="6">
        <v>0</v>
      </c>
      <c r="AI1251" s="6">
        <v>0</v>
      </c>
      <c r="AJ1251" s="6">
        <v>556999.36328803003</v>
      </c>
      <c r="AK1251" s="6">
        <v>5285.7077392703004</v>
      </c>
      <c r="AL1251" s="6">
        <v>330.98244656580999</v>
      </c>
      <c r="AM1251" s="6">
        <v>93035.839999999997</v>
      </c>
      <c r="AN1251" s="6">
        <v>5285.7077392703004</v>
      </c>
      <c r="AO1251" s="6">
        <v>16372.432636477701</v>
      </c>
      <c r="AP1251" s="6">
        <v>330.98244656580999</v>
      </c>
      <c r="AQ1251" s="6">
        <v>93035.839999999997</v>
      </c>
      <c r="AR1251" s="6">
        <v>5285.7077392703004</v>
      </c>
      <c r="AS1251" s="6">
        <v>16006.711633707801</v>
      </c>
      <c r="AT1251" s="6">
        <v>0</v>
      </c>
      <c r="AU1251" t="s">
        <v>2973</v>
      </c>
      <c r="AV1251" t="s">
        <v>2976</v>
      </c>
    </row>
    <row r="1252" spans="1:48" x14ac:dyDescent="0.45">
      <c r="A1252" s="5" t="s">
        <v>2520</v>
      </c>
      <c r="B1252">
        <v>2055</v>
      </c>
      <c r="C1252" t="s">
        <v>2495</v>
      </c>
      <c r="D1252">
        <v>2055</v>
      </c>
      <c r="E1252" t="s">
        <v>2495</v>
      </c>
      <c r="F1252" t="s">
        <v>1</v>
      </c>
      <c r="G1252" t="s">
        <v>1</v>
      </c>
      <c r="H1252" t="s">
        <v>2743</v>
      </c>
      <c r="I1252" t="s">
        <v>2742</v>
      </c>
      <c r="J1252">
        <v>69.388882686691005</v>
      </c>
      <c r="K1252">
        <v>1</v>
      </c>
      <c r="L1252">
        <v>1</v>
      </c>
      <c r="M1252">
        <v>3</v>
      </c>
      <c r="N1252" s="6">
        <v>57282.5676409441</v>
      </c>
      <c r="O1252" s="6">
        <v>77407.639717456404</v>
      </c>
      <c r="P1252" s="6">
        <v>153423.98092367899</v>
      </c>
      <c r="Q1252" s="6">
        <v>35164.565189090798</v>
      </c>
      <c r="R1252" s="6">
        <v>9930.3394603505003</v>
      </c>
      <c r="S1252" s="6">
        <v>33560.261304841202</v>
      </c>
      <c r="T1252" s="6">
        <v>0</v>
      </c>
      <c r="U1252" s="6">
        <v>333209.09293152002</v>
      </c>
      <c r="V1252" s="6">
        <v>224175.63767326399</v>
      </c>
      <c r="W1252" s="6">
        <v>102123.20255387299</v>
      </c>
      <c r="X1252" s="6">
        <v>0</v>
      </c>
      <c r="Y1252" s="6">
        <v>0</v>
      </c>
      <c r="Z1252" s="6">
        <v>0</v>
      </c>
      <c r="AA1252" s="6">
        <v>6893.5054212693203</v>
      </c>
      <c r="AB1252" s="6">
        <v>16.747283114853499</v>
      </c>
      <c r="AC1252" s="6">
        <v>27931.262422263499</v>
      </c>
      <c r="AD1252" s="6">
        <v>5628.9988825777</v>
      </c>
      <c r="AE1252" s="6">
        <v>0</v>
      </c>
      <c r="AF1252" s="6">
        <v>0</v>
      </c>
      <c r="AG1252" s="6">
        <v>0</v>
      </c>
      <c r="AH1252" s="6">
        <v>0</v>
      </c>
      <c r="AI1252" s="6">
        <v>0</v>
      </c>
      <c r="AJ1252" s="6">
        <v>366769.35423636198</v>
      </c>
      <c r="AK1252" s="6">
        <v>5285.7077392703004</v>
      </c>
      <c r="AL1252" s="6">
        <v>330.98244656580999</v>
      </c>
      <c r="AM1252" s="6">
        <v>93035.839999999997</v>
      </c>
      <c r="AN1252" s="6">
        <v>5285.7077392703004</v>
      </c>
      <c r="AO1252" s="6">
        <v>16372.432636477701</v>
      </c>
      <c r="AP1252" s="6">
        <v>634.54287297753501</v>
      </c>
      <c r="AQ1252" s="6">
        <v>40331.279999999999</v>
      </c>
      <c r="AR1252" s="6">
        <v>5285.7077392703004</v>
      </c>
      <c r="AS1252" s="6">
        <v>5285.7077392703004</v>
      </c>
      <c r="AT1252" s="6">
        <v>0</v>
      </c>
      <c r="AU1252" t="s">
        <v>2973</v>
      </c>
      <c r="AV1252" t="s">
        <v>2977</v>
      </c>
    </row>
    <row r="1253" spans="1:48" x14ac:dyDescent="0.45">
      <c r="A1253" s="5" t="s">
        <v>2521</v>
      </c>
      <c r="B1253">
        <v>2055</v>
      </c>
      <c r="C1253" t="s">
        <v>2495</v>
      </c>
      <c r="D1253">
        <v>453</v>
      </c>
      <c r="E1253" t="s">
        <v>2522</v>
      </c>
      <c r="F1253" t="s">
        <v>2739</v>
      </c>
      <c r="G1253" t="s">
        <v>2740</v>
      </c>
      <c r="H1253" t="s">
        <v>2741</v>
      </c>
      <c r="I1253" t="s">
        <v>2742</v>
      </c>
      <c r="J1253">
        <v>74.4152030434403</v>
      </c>
      <c r="K1253">
        <v>1</v>
      </c>
      <c r="L1253">
        <v>1</v>
      </c>
      <c r="M1253">
        <v>3</v>
      </c>
      <c r="N1253" s="6">
        <v>469372.69322781701</v>
      </c>
      <c r="O1253" s="6">
        <v>205666.44453012099</v>
      </c>
      <c r="P1253" s="6">
        <v>298010.29910162702</v>
      </c>
      <c r="Q1253" s="6">
        <v>37711.779713991498</v>
      </c>
      <c r="R1253" s="6">
        <v>10649.663153806699</v>
      </c>
      <c r="S1253" s="6">
        <v>35991.264918719899</v>
      </c>
      <c r="T1253" s="6">
        <v>664065.13</v>
      </c>
      <c r="U1253" s="6">
        <v>357345.74972736399</v>
      </c>
      <c r="V1253" s="6">
        <v>815225.94143075799</v>
      </c>
      <c r="W1253" s="6">
        <v>198774.12783003401</v>
      </c>
      <c r="X1253" s="6">
        <v>0</v>
      </c>
      <c r="Y1253" s="6">
        <v>0</v>
      </c>
      <c r="Z1253" s="6">
        <v>0</v>
      </c>
      <c r="AA1253" s="6">
        <v>7392.8500610257697</v>
      </c>
      <c r="AB1253" s="6">
        <v>17.960405545726399</v>
      </c>
      <c r="AC1253" s="6">
        <v>29954.5184175594</v>
      </c>
      <c r="AD1253" s="6">
        <v>6036.7465011605</v>
      </c>
      <c r="AE1253" s="6">
        <v>0</v>
      </c>
      <c r="AF1253" s="6">
        <v>0</v>
      </c>
      <c r="AG1253" s="6">
        <v>0</v>
      </c>
      <c r="AH1253" s="6">
        <v>0</v>
      </c>
      <c r="AI1253" s="6">
        <v>0</v>
      </c>
      <c r="AJ1253" s="6">
        <v>1057402.14464608</v>
      </c>
      <c r="AK1253" s="6">
        <v>14209.4908217722</v>
      </c>
      <c r="AL1253" s="6">
        <v>330.98244656580999</v>
      </c>
      <c r="AM1253" s="6">
        <v>93035.839999999997</v>
      </c>
      <c r="AN1253" s="6">
        <v>5285.7077392703004</v>
      </c>
      <c r="AO1253" s="6">
        <v>16372.432636477701</v>
      </c>
      <c r="AP1253" s="6">
        <v>330.98244656580999</v>
      </c>
      <c r="AQ1253" s="6">
        <v>93035.839999999997</v>
      </c>
      <c r="AR1253" s="6">
        <v>5285.7077392703004</v>
      </c>
      <c r="AS1253" s="6">
        <v>16006.711633707801</v>
      </c>
      <c r="AT1253" s="6">
        <v>0</v>
      </c>
      <c r="AU1253" t="s">
        <v>2973</v>
      </c>
      <c r="AV1253" t="s">
        <v>2973</v>
      </c>
    </row>
    <row r="1254" spans="1:48" x14ac:dyDescent="0.45">
      <c r="A1254" s="5" t="s">
        <v>2523</v>
      </c>
      <c r="B1254">
        <v>2055</v>
      </c>
      <c r="C1254" t="s">
        <v>2495</v>
      </c>
      <c r="D1254">
        <v>5063</v>
      </c>
      <c r="E1254" t="s">
        <v>2524</v>
      </c>
      <c r="F1254" t="s">
        <v>3</v>
      </c>
      <c r="G1254" t="s">
        <v>2740</v>
      </c>
      <c r="H1254" t="s">
        <v>2741</v>
      </c>
      <c r="I1254" t="s">
        <v>2742</v>
      </c>
      <c r="J1254">
        <v>176.334367108809</v>
      </c>
      <c r="K1254">
        <v>1</v>
      </c>
      <c r="L1254">
        <v>1</v>
      </c>
      <c r="M1254">
        <v>3</v>
      </c>
      <c r="N1254" s="6">
        <v>145569.216857714</v>
      </c>
      <c r="O1254" s="6">
        <v>196712.01827237901</v>
      </c>
      <c r="P1254" s="6">
        <v>389888.40183010697</v>
      </c>
      <c r="Q1254" s="6">
        <v>89361.884889725799</v>
      </c>
      <c r="R1254" s="6">
        <v>25235.456403340999</v>
      </c>
      <c r="S1254" s="6">
        <v>85284.950673091895</v>
      </c>
      <c r="T1254" s="6">
        <v>0</v>
      </c>
      <c r="U1254" s="6">
        <v>846766.97825326899</v>
      </c>
      <c r="V1254" s="6">
        <v>569685.91595308203</v>
      </c>
      <c r="W1254" s="6">
        <v>259520.39566297401</v>
      </c>
      <c r="X1254" s="6">
        <v>0</v>
      </c>
      <c r="Y1254" s="6">
        <v>0</v>
      </c>
      <c r="Z1254" s="6">
        <v>0</v>
      </c>
      <c r="AA1254" s="6">
        <v>17518.107635617202</v>
      </c>
      <c r="AB1254" s="6">
        <v>42.559001593725597</v>
      </c>
      <c r="AC1254" s="6">
        <v>70980.267891308104</v>
      </c>
      <c r="AD1254" s="6">
        <v>14304.6827817839</v>
      </c>
      <c r="AE1254" s="6">
        <v>0</v>
      </c>
      <c r="AF1254" s="6">
        <v>0</v>
      </c>
      <c r="AG1254" s="6">
        <v>0</v>
      </c>
      <c r="AH1254" s="6">
        <v>0</v>
      </c>
      <c r="AI1254" s="6">
        <v>0</v>
      </c>
      <c r="AJ1254" s="6">
        <v>932051.92892635998</v>
      </c>
      <c r="AK1254" s="6">
        <v>5285.7077392703004</v>
      </c>
      <c r="AL1254" s="6">
        <v>330.98244656580999</v>
      </c>
      <c r="AM1254" s="6">
        <v>93035.839999999997</v>
      </c>
      <c r="AN1254" s="6">
        <v>5285.7077392703004</v>
      </c>
      <c r="AO1254" s="6">
        <v>16372.432636477701</v>
      </c>
      <c r="AP1254" s="6">
        <v>330.98244656580999</v>
      </c>
      <c r="AQ1254" s="6">
        <v>93035.839999999997</v>
      </c>
      <c r="AR1254" s="6">
        <v>5285.7077392703004</v>
      </c>
      <c r="AS1254" s="6">
        <v>16006.711633707801</v>
      </c>
      <c r="AT1254" s="6">
        <v>0</v>
      </c>
      <c r="AU1254" t="s">
        <v>2973</v>
      </c>
      <c r="AV1254" t="s">
        <v>2976</v>
      </c>
    </row>
    <row r="1255" spans="1:48" x14ac:dyDescent="0.45">
      <c r="A1255" s="5" t="s">
        <v>2525</v>
      </c>
      <c r="B1255">
        <v>2242</v>
      </c>
      <c r="C1255" t="s">
        <v>2526</v>
      </c>
      <c r="D1255">
        <v>4364</v>
      </c>
      <c r="E1255" t="s">
        <v>2527</v>
      </c>
      <c r="F1255" t="s">
        <v>2739</v>
      </c>
      <c r="G1255" t="s">
        <v>2740</v>
      </c>
      <c r="H1255" t="s">
        <v>2741</v>
      </c>
      <c r="I1255" t="s">
        <v>2742</v>
      </c>
      <c r="J1255">
        <v>549.69907120739401</v>
      </c>
      <c r="K1255">
        <v>1</v>
      </c>
      <c r="L1255">
        <v>1</v>
      </c>
      <c r="M1255">
        <v>1</v>
      </c>
      <c r="N1255" s="6">
        <v>4155849.7905991599</v>
      </c>
      <c r="O1255" s="6">
        <v>1112560.4186616801</v>
      </c>
      <c r="P1255" s="6">
        <v>1013409.0030845</v>
      </c>
      <c r="Q1255" s="6">
        <v>222590.14237913999</v>
      </c>
      <c r="R1255" s="6">
        <v>112078.66340221799</v>
      </c>
      <c r="S1255" s="6">
        <v>195633.24682829899</v>
      </c>
      <c r="T1255" s="6">
        <v>5046413.71</v>
      </c>
      <c r="U1255" s="6">
        <v>1570074.3081267001</v>
      </c>
      <c r="V1255" s="6">
        <v>5941241.6026826696</v>
      </c>
      <c r="W1255" s="6">
        <v>627694.54508575494</v>
      </c>
      <c r="X1255" s="6">
        <v>0</v>
      </c>
      <c r="Y1255" s="6">
        <v>0</v>
      </c>
      <c r="Z1255" s="6">
        <v>0</v>
      </c>
      <c r="AA1255" s="6">
        <v>-1.3146108691530301E-3</v>
      </c>
      <c r="AB1255" s="6">
        <v>47551.871672879701</v>
      </c>
      <c r="AC1255" s="6">
        <v>195633.24682829899</v>
      </c>
      <c r="AD1255" s="6">
        <v>0</v>
      </c>
      <c r="AE1255" s="6">
        <v>0</v>
      </c>
      <c r="AF1255" s="6">
        <v>0</v>
      </c>
      <c r="AG1255" s="6">
        <v>0</v>
      </c>
      <c r="AH1255" s="6">
        <v>0</v>
      </c>
      <c r="AI1255" s="6">
        <v>0</v>
      </c>
      <c r="AJ1255" s="6">
        <v>6812121.2649549898</v>
      </c>
      <c r="AK1255" s="6">
        <v>12392.4554756704</v>
      </c>
      <c r="AL1255" s="6">
        <v>330.98244656580999</v>
      </c>
      <c r="AM1255" s="6">
        <v>93035.839999999997</v>
      </c>
      <c r="AN1255" s="6">
        <v>3212.1348705878099</v>
      </c>
      <c r="AO1255" s="6">
        <v>24624.4922590235</v>
      </c>
      <c r="AP1255" s="6">
        <v>330.98244656580999</v>
      </c>
      <c r="AQ1255" s="6">
        <v>93035.839999999997</v>
      </c>
      <c r="AR1255" s="6">
        <v>3212.1348705878099</v>
      </c>
      <c r="AS1255" s="6">
        <v>13498.2382882314</v>
      </c>
      <c r="AT1255" s="6">
        <v>0</v>
      </c>
      <c r="AU1255" t="s">
        <v>2973</v>
      </c>
      <c r="AV1255" t="s">
        <v>2973</v>
      </c>
    </row>
    <row r="1256" spans="1:48" x14ac:dyDescent="0.45">
      <c r="A1256" s="5" t="s">
        <v>2528</v>
      </c>
      <c r="B1256">
        <v>2242</v>
      </c>
      <c r="C1256" t="s">
        <v>2526</v>
      </c>
      <c r="D1256">
        <v>1135</v>
      </c>
      <c r="E1256" t="s">
        <v>2529</v>
      </c>
      <c r="F1256" t="s">
        <v>2739</v>
      </c>
      <c r="G1256" t="s">
        <v>2740</v>
      </c>
      <c r="H1256" t="s">
        <v>2741</v>
      </c>
      <c r="I1256" t="s">
        <v>2742</v>
      </c>
      <c r="J1256">
        <v>546.93408929833004</v>
      </c>
      <c r="K1256">
        <v>3</v>
      </c>
      <c r="L1256">
        <v>1</v>
      </c>
      <c r="M1256">
        <v>1</v>
      </c>
      <c r="N1256" s="6">
        <v>4221365.3497420298</v>
      </c>
      <c r="O1256" s="6">
        <v>1238646.2644946601</v>
      </c>
      <c r="P1256" s="6">
        <v>1153407.6537416</v>
      </c>
      <c r="Q1256" s="6">
        <v>221005.082389077</v>
      </c>
      <c r="R1256" s="6">
        <v>85545.876611515894</v>
      </c>
      <c r="S1256" s="6">
        <v>194649.21316947599</v>
      </c>
      <c r="T1256" s="6">
        <v>5357793.38</v>
      </c>
      <c r="U1256" s="6">
        <v>1562176.84697888</v>
      </c>
      <c r="V1256" s="6">
        <v>5919619.6885271901</v>
      </c>
      <c r="W1256" s="6">
        <v>953037.85361903498</v>
      </c>
      <c r="X1256" s="6">
        <v>0</v>
      </c>
      <c r="Y1256" s="6">
        <v>0</v>
      </c>
      <c r="Z1256" s="6">
        <v>0</v>
      </c>
      <c r="AA1256" s="6">
        <v>-1.3079983870495401E-3</v>
      </c>
      <c r="AB1256" s="6">
        <v>47312.686140641403</v>
      </c>
      <c r="AC1256" s="6">
        <v>194649.21316947599</v>
      </c>
      <c r="AD1256" s="6">
        <v>0</v>
      </c>
      <c r="AE1256" s="6">
        <v>0</v>
      </c>
      <c r="AF1256" s="6">
        <v>0</v>
      </c>
      <c r="AG1256" s="6">
        <v>0</v>
      </c>
      <c r="AH1256" s="6">
        <v>0</v>
      </c>
      <c r="AI1256" s="6">
        <v>0</v>
      </c>
      <c r="AJ1256" s="6">
        <v>7114619.4401483499</v>
      </c>
      <c r="AK1256" s="6">
        <v>13008.184312072801</v>
      </c>
      <c r="AL1256" s="6">
        <v>330.98244656580999</v>
      </c>
      <c r="AM1256" s="6">
        <v>93035.839999999997</v>
      </c>
      <c r="AN1256" s="6">
        <v>3212.1348705878099</v>
      </c>
      <c r="AO1256" s="6">
        <v>24624.4922590235</v>
      </c>
      <c r="AP1256" s="6">
        <v>330.98244656580999</v>
      </c>
      <c r="AQ1256" s="6">
        <v>93035.839999999997</v>
      </c>
      <c r="AR1256" s="6">
        <v>3212.1348705878099</v>
      </c>
      <c r="AS1256" s="6">
        <v>13498.2382882314</v>
      </c>
      <c r="AT1256" s="6">
        <v>0</v>
      </c>
      <c r="AU1256" t="s">
        <v>2973</v>
      </c>
      <c r="AV1256" t="s">
        <v>2973</v>
      </c>
    </row>
    <row r="1257" spans="1:48" x14ac:dyDescent="0.45">
      <c r="A1257" s="5" t="s">
        <v>2530</v>
      </c>
      <c r="B1257">
        <v>2242</v>
      </c>
      <c r="C1257" t="s">
        <v>2526</v>
      </c>
      <c r="D1257">
        <v>1136</v>
      </c>
      <c r="E1257" t="s">
        <v>2531</v>
      </c>
      <c r="F1257" t="s">
        <v>2739</v>
      </c>
      <c r="G1257" t="s">
        <v>2740</v>
      </c>
      <c r="H1257" t="s">
        <v>2741</v>
      </c>
      <c r="I1257" t="s">
        <v>2742</v>
      </c>
      <c r="J1257">
        <v>473.447330079018</v>
      </c>
      <c r="K1257">
        <v>2</v>
      </c>
      <c r="L1257">
        <v>1</v>
      </c>
      <c r="M1257">
        <v>1</v>
      </c>
      <c r="N1257" s="6">
        <v>4026203.2074948</v>
      </c>
      <c r="O1257" s="6">
        <v>1008505.5669923601</v>
      </c>
      <c r="P1257" s="6">
        <v>922316.45999334299</v>
      </c>
      <c r="Q1257" s="6">
        <v>191049.67797460599</v>
      </c>
      <c r="R1257" s="6">
        <v>74134.068328305206</v>
      </c>
      <c r="S1257" s="6">
        <v>168495.897550102</v>
      </c>
      <c r="T1257" s="6">
        <v>4869928.2</v>
      </c>
      <c r="U1257" s="6">
        <v>1352280.78078341</v>
      </c>
      <c r="V1257" s="6">
        <v>5472644.5868245596</v>
      </c>
      <c r="W1257" s="6">
        <v>708608.70157985296</v>
      </c>
      <c r="X1257" s="6">
        <v>0</v>
      </c>
      <c r="Y1257" s="6">
        <v>0</v>
      </c>
      <c r="Z1257" s="6">
        <v>0</v>
      </c>
      <c r="AA1257" s="6">
        <v>-1.13225406171105E-3</v>
      </c>
      <c r="AB1257" s="6">
        <v>40955.693511243</v>
      </c>
      <c r="AC1257" s="6">
        <v>168495.897550102</v>
      </c>
      <c r="AD1257" s="6">
        <v>0</v>
      </c>
      <c r="AE1257" s="6">
        <v>0</v>
      </c>
      <c r="AF1257" s="6">
        <v>0</v>
      </c>
      <c r="AG1257" s="6">
        <v>0</v>
      </c>
      <c r="AH1257" s="6">
        <v>0</v>
      </c>
      <c r="AI1257" s="6">
        <v>0</v>
      </c>
      <c r="AJ1257" s="6">
        <v>6390704.8783335099</v>
      </c>
      <c r="AK1257" s="6">
        <v>13498.2382882314</v>
      </c>
      <c r="AL1257" s="6">
        <v>330.98244656580999</v>
      </c>
      <c r="AM1257" s="6">
        <v>93035.839999999997</v>
      </c>
      <c r="AN1257" s="6">
        <v>3212.1348705878099</v>
      </c>
      <c r="AO1257" s="6">
        <v>24624.4922590235</v>
      </c>
      <c r="AP1257" s="6">
        <v>330.98244656580999</v>
      </c>
      <c r="AQ1257" s="6">
        <v>93035.839999999997</v>
      </c>
      <c r="AR1257" s="6">
        <v>3212.1348705878099</v>
      </c>
      <c r="AS1257" s="6">
        <v>13498.2382882314</v>
      </c>
      <c r="AT1257" s="6">
        <v>0</v>
      </c>
      <c r="AU1257" t="s">
        <v>2973</v>
      </c>
      <c r="AV1257" t="s">
        <v>2973</v>
      </c>
    </row>
    <row r="1258" spans="1:48" x14ac:dyDescent="0.45">
      <c r="A1258" s="5" t="s">
        <v>2824</v>
      </c>
      <c r="B1258">
        <v>2242</v>
      </c>
      <c r="C1258" t="s">
        <v>2526</v>
      </c>
      <c r="D1258">
        <v>2714</v>
      </c>
      <c r="E1258" t="s">
        <v>2825</v>
      </c>
      <c r="F1258" t="s">
        <v>2750</v>
      </c>
      <c r="G1258" t="s">
        <v>2748</v>
      </c>
      <c r="H1258" t="s">
        <v>2749</v>
      </c>
      <c r="I1258" t="s">
        <v>2742</v>
      </c>
      <c r="J1258">
        <v>150.46900355493199</v>
      </c>
      <c r="K1258">
        <v>1</v>
      </c>
      <c r="L1258">
        <v>1</v>
      </c>
      <c r="M1258">
        <v>1</v>
      </c>
      <c r="N1258" s="6">
        <v>2453270.8437801902</v>
      </c>
      <c r="O1258" s="6">
        <v>751078.11677956395</v>
      </c>
      <c r="P1258" s="6">
        <v>359653.63022621901</v>
      </c>
      <c r="Q1258" s="6">
        <v>63260.105026024401</v>
      </c>
      <c r="R1258" s="6">
        <v>24409.472643301098</v>
      </c>
      <c r="S1258" s="6">
        <v>53550.644806099801</v>
      </c>
      <c r="T1258" s="6">
        <v>3221896.08</v>
      </c>
      <c r="U1258" s="6">
        <v>429776.08845529699</v>
      </c>
      <c r="V1258" s="6">
        <v>3301492.3092304701</v>
      </c>
      <c r="W1258" s="6">
        <v>337163.49640968401</v>
      </c>
      <c r="X1258" s="6">
        <v>0</v>
      </c>
      <c r="Y1258" s="6">
        <v>0</v>
      </c>
      <c r="Z1258" s="6">
        <v>0</v>
      </c>
      <c r="AA1258" s="6">
        <v>-3.5984813856327101E-4</v>
      </c>
      <c r="AB1258" s="6">
        <v>13016.3631749901</v>
      </c>
      <c r="AC1258" s="6">
        <v>53550.644806099801</v>
      </c>
      <c r="AD1258" s="6">
        <v>0</v>
      </c>
      <c r="AE1258" s="6">
        <v>0</v>
      </c>
      <c r="AF1258" s="6">
        <v>0</v>
      </c>
      <c r="AG1258" s="6">
        <v>0</v>
      </c>
      <c r="AH1258" s="6">
        <v>0</v>
      </c>
      <c r="AI1258" s="6">
        <v>0</v>
      </c>
      <c r="AJ1258" s="6">
        <v>3705222.8132614</v>
      </c>
      <c r="AK1258" s="6">
        <v>24624.4922590235</v>
      </c>
      <c r="AL1258" s="6">
        <v>330.98244656580999</v>
      </c>
      <c r="AM1258" s="6">
        <v>93035.839999999997</v>
      </c>
      <c r="AN1258" s="6">
        <v>3212.1348705878099</v>
      </c>
      <c r="AO1258" s="6">
        <v>24624.4922590235</v>
      </c>
      <c r="AP1258" s="6">
        <v>330.98244656580999</v>
      </c>
      <c r="AQ1258" s="6">
        <v>56162.493707719797</v>
      </c>
      <c r="AR1258" s="6">
        <v>24624.4922590235</v>
      </c>
      <c r="AS1258" s="6">
        <v>24624.4922590235</v>
      </c>
      <c r="AT1258" s="6">
        <v>0</v>
      </c>
      <c r="AU1258" t="s">
        <v>2973</v>
      </c>
      <c r="AV1258" t="s">
        <v>2973</v>
      </c>
    </row>
    <row r="1259" spans="1:48" x14ac:dyDescent="0.45">
      <c r="A1259" s="5" t="s">
        <v>2532</v>
      </c>
      <c r="B1259">
        <v>2242</v>
      </c>
      <c r="C1259" t="s">
        <v>2526</v>
      </c>
      <c r="D1259">
        <v>1369</v>
      </c>
      <c r="E1259" t="s">
        <v>2533</v>
      </c>
      <c r="F1259" t="s">
        <v>2739</v>
      </c>
      <c r="G1259" t="s">
        <v>2740</v>
      </c>
      <c r="H1259" t="s">
        <v>2741</v>
      </c>
      <c r="I1259" t="s">
        <v>2742</v>
      </c>
      <c r="J1259">
        <v>600.86823624886097</v>
      </c>
      <c r="K1259">
        <v>2</v>
      </c>
      <c r="L1259">
        <v>1</v>
      </c>
      <c r="M1259">
        <v>1</v>
      </c>
      <c r="N1259" s="6">
        <v>4336028.4165183902</v>
      </c>
      <c r="O1259" s="6">
        <v>1237146.8632157999</v>
      </c>
      <c r="P1259" s="6">
        <v>1100159.8000149101</v>
      </c>
      <c r="Q1259" s="6">
        <v>242826.60116879299</v>
      </c>
      <c r="R1259" s="6">
        <v>93826.103791328103</v>
      </c>
      <c r="S1259" s="6">
        <v>213843.91957433001</v>
      </c>
      <c r="T1259" s="6">
        <v>5293761.8899999997</v>
      </c>
      <c r="U1259" s="6">
        <v>1716225.8947092299</v>
      </c>
      <c r="V1259" s="6">
        <v>6131626.4755824702</v>
      </c>
      <c r="W1259" s="6">
        <v>826383.03597859899</v>
      </c>
      <c r="X1259" s="6">
        <v>0</v>
      </c>
      <c r="Y1259" s="6">
        <v>0</v>
      </c>
      <c r="Z1259" s="6">
        <v>0</v>
      </c>
      <c r="AA1259" s="6">
        <v>-1.43698244307847E-3</v>
      </c>
      <c r="AB1259" s="6">
        <v>51978.274585141902</v>
      </c>
      <c r="AC1259" s="6">
        <v>213843.91957433001</v>
      </c>
      <c r="AD1259" s="6">
        <v>0</v>
      </c>
      <c r="AE1259" s="6">
        <v>0</v>
      </c>
      <c r="AF1259" s="6">
        <v>0</v>
      </c>
      <c r="AG1259" s="6">
        <v>0</v>
      </c>
      <c r="AH1259" s="6">
        <v>0</v>
      </c>
      <c r="AI1259" s="6">
        <v>0</v>
      </c>
      <c r="AJ1259" s="6">
        <v>7223831.7042835597</v>
      </c>
      <c r="AK1259" s="6">
        <v>12022.322480184601</v>
      </c>
      <c r="AL1259" s="6">
        <v>330.98244656580999</v>
      </c>
      <c r="AM1259" s="6">
        <v>93035.839999999997</v>
      </c>
      <c r="AN1259" s="6">
        <v>3212.1348705878099</v>
      </c>
      <c r="AO1259" s="6">
        <v>24624.4922590235</v>
      </c>
      <c r="AP1259" s="6">
        <v>330.98244656580999</v>
      </c>
      <c r="AQ1259" s="6">
        <v>93035.839999999997</v>
      </c>
      <c r="AR1259" s="6">
        <v>3212.1348705878099</v>
      </c>
      <c r="AS1259" s="6">
        <v>13498.2382882314</v>
      </c>
      <c r="AT1259" s="6">
        <v>0</v>
      </c>
      <c r="AU1259" t="s">
        <v>2973</v>
      </c>
      <c r="AV1259" t="s">
        <v>2973</v>
      </c>
    </row>
    <row r="1260" spans="1:48" x14ac:dyDescent="0.45">
      <c r="A1260" s="5" t="s">
        <v>2534</v>
      </c>
      <c r="B1260">
        <v>2242</v>
      </c>
      <c r="C1260" t="s">
        <v>2526</v>
      </c>
      <c r="D1260">
        <v>1138</v>
      </c>
      <c r="E1260" t="s">
        <v>2535</v>
      </c>
      <c r="F1260" t="s">
        <v>2739</v>
      </c>
      <c r="G1260" t="s">
        <v>2740</v>
      </c>
      <c r="H1260" t="s">
        <v>2741</v>
      </c>
      <c r="I1260" t="s">
        <v>2742</v>
      </c>
      <c r="J1260">
        <v>564.45888940463203</v>
      </c>
      <c r="K1260">
        <v>2</v>
      </c>
      <c r="L1260">
        <v>1</v>
      </c>
      <c r="M1260">
        <v>1</v>
      </c>
      <c r="N1260" s="6">
        <v>4434792.1720166402</v>
      </c>
      <c r="O1260" s="6">
        <v>1110934.1045319701</v>
      </c>
      <c r="P1260" s="6">
        <v>1020583.5762527999</v>
      </c>
      <c r="Q1260" s="6">
        <v>227947.970301197</v>
      </c>
      <c r="R1260" s="6">
        <v>90839.467368651502</v>
      </c>
      <c r="S1260" s="6">
        <v>200886.14119862899</v>
      </c>
      <c r="T1260" s="6">
        <v>5272865.3499999996</v>
      </c>
      <c r="U1260" s="6">
        <v>1612231.9404712601</v>
      </c>
      <c r="V1260" s="6">
        <v>6081149.2518338095</v>
      </c>
      <c r="W1260" s="6">
        <v>755119.36611925997</v>
      </c>
      <c r="X1260" s="6">
        <v>0</v>
      </c>
      <c r="Y1260" s="6">
        <v>0</v>
      </c>
      <c r="Z1260" s="6">
        <v>0</v>
      </c>
      <c r="AA1260" s="6">
        <v>-1.34990912313442E-3</v>
      </c>
      <c r="AB1260" s="6">
        <v>48828.673868103499</v>
      </c>
      <c r="AC1260" s="6">
        <v>200886.14119862899</v>
      </c>
      <c r="AD1260" s="6">
        <v>0</v>
      </c>
      <c r="AE1260" s="6">
        <v>0</v>
      </c>
      <c r="AF1260" s="6">
        <v>0</v>
      </c>
      <c r="AG1260" s="6">
        <v>0</v>
      </c>
      <c r="AH1260" s="6">
        <v>0</v>
      </c>
      <c r="AI1260" s="6">
        <v>0</v>
      </c>
      <c r="AJ1260" s="6">
        <v>7085983.4316698899</v>
      </c>
      <c r="AK1260" s="6">
        <v>12553.5863898678</v>
      </c>
      <c r="AL1260" s="6">
        <v>330.98244656580999</v>
      </c>
      <c r="AM1260" s="6">
        <v>93035.839999999997</v>
      </c>
      <c r="AN1260" s="6">
        <v>3212.1348705878099</v>
      </c>
      <c r="AO1260" s="6">
        <v>24624.4922590235</v>
      </c>
      <c r="AP1260" s="6">
        <v>330.98244656580999</v>
      </c>
      <c r="AQ1260" s="6">
        <v>93035.839999999997</v>
      </c>
      <c r="AR1260" s="6">
        <v>3212.1348705878099</v>
      </c>
      <c r="AS1260" s="6">
        <v>13498.2382882314</v>
      </c>
      <c r="AT1260" s="6">
        <v>0</v>
      </c>
      <c r="AU1260" t="s">
        <v>2973</v>
      </c>
      <c r="AV1260" t="s">
        <v>2973</v>
      </c>
    </row>
    <row r="1261" spans="1:48" x14ac:dyDescent="0.45">
      <c r="A1261" s="5" t="s">
        <v>2536</v>
      </c>
      <c r="B1261">
        <v>2242</v>
      </c>
      <c r="C1261" t="s">
        <v>2526</v>
      </c>
      <c r="D1261">
        <v>1142</v>
      </c>
      <c r="E1261" t="s">
        <v>2537</v>
      </c>
      <c r="F1261" t="s">
        <v>2739</v>
      </c>
      <c r="G1261" t="s">
        <v>2740</v>
      </c>
      <c r="H1261" t="s">
        <v>2741</v>
      </c>
      <c r="I1261" t="s">
        <v>2742</v>
      </c>
      <c r="J1261">
        <v>555.55768921910499</v>
      </c>
      <c r="K1261">
        <v>1</v>
      </c>
      <c r="L1261">
        <v>1</v>
      </c>
      <c r="M1261">
        <v>1</v>
      </c>
      <c r="N1261" s="6">
        <v>4151205.7039194298</v>
      </c>
      <c r="O1261" s="6">
        <v>1084517.2427719601</v>
      </c>
      <c r="P1261" s="6">
        <v>967798.632508512</v>
      </c>
      <c r="Q1261" s="6">
        <v>224558.219650196</v>
      </c>
      <c r="R1261" s="6">
        <v>86590.257922036602</v>
      </c>
      <c r="S1261" s="6">
        <v>197718.27939173501</v>
      </c>
      <c r="T1261" s="6">
        <v>4927862.1100000003</v>
      </c>
      <c r="U1261" s="6">
        <v>1586807.94677214</v>
      </c>
      <c r="V1261" s="6">
        <v>5876882.5021876004</v>
      </c>
      <c r="W1261" s="6">
        <v>589728.88285300694</v>
      </c>
      <c r="X1261" s="6">
        <v>0</v>
      </c>
      <c r="Y1261" s="6">
        <v>0</v>
      </c>
      <c r="Z1261" s="6">
        <v>0</v>
      </c>
      <c r="AA1261" s="6">
        <v>-1.3286218131764501E-3</v>
      </c>
      <c r="AB1261" s="6">
        <v>48058.673060157598</v>
      </c>
      <c r="AC1261" s="6">
        <v>197718.27939173501</v>
      </c>
      <c r="AD1261" s="6">
        <v>0</v>
      </c>
      <c r="AE1261" s="6">
        <v>0</v>
      </c>
      <c r="AF1261" s="6">
        <v>0</v>
      </c>
      <c r="AG1261" s="6">
        <v>0</v>
      </c>
      <c r="AH1261" s="6">
        <v>0</v>
      </c>
      <c r="AI1261" s="6">
        <v>0</v>
      </c>
      <c r="AJ1261" s="6">
        <v>6712388.3361638803</v>
      </c>
      <c r="AK1261" s="6">
        <v>12082.2526020634</v>
      </c>
      <c r="AL1261" s="6">
        <v>330.98244656580999</v>
      </c>
      <c r="AM1261" s="6">
        <v>93035.839999999997</v>
      </c>
      <c r="AN1261" s="6">
        <v>3212.1348705878099</v>
      </c>
      <c r="AO1261" s="6">
        <v>24624.4922590235</v>
      </c>
      <c r="AP1261" s="6">
        <v>330.98244656580999</v>
      </c>
      <c r="AQ1261" s="6">
        <v>93035.839999999997</v>
      </c>
      <c r="AR1261" s="6">
        <v>3212.1348705878099</v>
      </c>
      <c r="AS1261" s="6">
        <v>13498.2382882314</v>
      </c>
      <c r="AT1261" s="6">
        <v>0</v>
      </c>
      <c r="AU1261" t="s">
        <v>2973</v>
      </c>
      <c r="AV1261" t="s">
        <v>2973</v>
      </c>
    </row>
    <row r="1262" spans="1:48" x14ac:dyDescent="0.45">
      <c r="A1262" s="5" t="s">
        <v>2538</v>
      </c>
      <c r="B1262">
        <v>2242</v>
      </c>
      <c r="C1262" t="s">
        <v>2526</v>
      </c>
      <c r="D1262">
        <v>1300</v>
      </c>
      <c r="E1262" t="s">
        <v>2539</v>
      </c>
      <c r="F1262" t="s">
        <v>2739</v>
      </c>
      <c r="G1262" t="s">
        <v>2747</v>
      </c>
      <c r="H1262" t="s">
        <v>2741</v>
      </c>
      <c r="I1262" t="s">
        <v>2742</v>
      </c>
      <c r="J1262">
        <v>985.29597470066403</v>
      </c>
      <c r="K1262">
        <v>1</v>
      </c>
      <c r="L1262">
        <v>1</v>
      </c>
      <c r="M1262">
        <v>1</v>
      </c>
      <c r="N1262" s="6">
        <v>7021908.2444593003</v>
      </c>
      <c r="O1262" s="6">
        <v>2480727.6520460001</v>
      </c>
      <c r="P1262" s="6">
        <v>1988145.6609269299</v>
      </c>
      <c r="Q1262" s="6">
        <v>398356.67597196798</v>
      </c>
      <c r="R1262" s="6">
        <v>254034.796861729</v>
      </c>
      <c r="S1262" s="6">
        <v>350658.49791989202</v>
      </c>
      <c r="T1262" s="6">
        <v>9328927.9700000007</v>
      </c>
      <c r="U1262" s="6">
        <v>2814245.0602659099</v>
      </c>
      <c r="V1262" s="6">
        <v>10285381.3898091</v>
      </c>
      <c r="W1262" s="6">
        <v>1772558.33935154</v>
      </c>
      <c r="X1262" s="6">
        <v>0</v>
      </c>
      <c r="Y1262" s="6">
        <v>0</v>
      </c>
      <c r="Z1262" s="6">
        <v>0</v>
      </c>
      <c r="AA1262" s="6">
        <v>-2.3563452541937001E-3</v>
      </c>
      <c r="AB1262" s="6">
        <v>85233.303461584394</v>
      </c>
      <c r="AC1262" s="6">
        <v>350658.49791989202</v>
      </c>
      <c r="AD1262" s="6">
        <v>0</v>
      </c>
      <c r="AE1262" s="6">
        <v>0</v>
      </c>
      <c r="AF1262" s="6">
        <v>0</v>
      </c>
      <c r="AG1262" s="6">
        <v>0</v>
      </c>
      <c r="AH1262" s="6">
        <v>0</v>
      </c>
      <c r="AI1262" s="6">
        <v>0</v>
      </c>
      <c r="AJ1262" s="6">
        <v>12493831.5281858</v>
      </c>
      <c r="AK1262" s="6">
        <v>12680.2827261945</v>
      </c>
      <c r="AL1262" s="6">
        <v>330.98244656580999</v>
      </c>
      <c r="AM1262" s="6">
        <v>93035.839999999997</v>
      </c>
      <c r="AN1262" s="6">
        <v>3212.1348705878099</v>
      </c>
      <c r="AO1262" s="6">
        <v>24624.4922590235</v>
      </c>
      <c r="AP1262" s="6">
        <v>3753.1860850462999</v>
      </c>
      <c r="AQ1262" s="6">
        <v>20687.885194392002</v>
      </c>
      <c r="AR1262" s="6">
        <v>12132.923450545901</v>
      </c>
      <c r="AS1262" s="6">
        <v>13974.9462582121</v>
      </c>
      <c r="AT1262" s="6">
        <v>0</v>
      </c>
      <c r="AU1262" t="s">
        <v>2973</v>
      </c>
      <c r="AV1262" t="s">
        <v>2973</v>
      </c>
    </row>
    <row r="1263" spans="1:48" x14ac:dyDescent="0.45">
      <c r="A1263" s="5" t="s">
        <v>2540</v>
      </c>
      <c r="B1263">
        <v>2242</v>
      </c>
      <c r="C1263" t="s">
        <v>2526</v>
      </c>
      <c r="D1263">
        <v>1139</v>
      </c>
      <c r="E1263" t="s">
        <v>2541</v>
      </c>
      <c r="F1263" t="s">
        <v>2739</v>
      </c>
      <c r="G1263" t="s">
        <v>2740</v>
      </c>
      <c r="H1263" t="s">
        <v>2741</v>
      </c>
      <c r="I1263" t="s">
        <v>2742</v>
      </c>
      <c r="J1263">
        <v>556.67819176552302</v>
      </c>
      <c r="K1263">
        <v>2</v>
      </c>
      <c r="L1263">
        <v>1</v>
      </c>
      <c r="M1263">
        <v>1</v>
      </c>
      <c r="N1263" s="6">
        <v>4272023.1102259802</v>
      </c>
      <c r="O1263" s="6">
        <v>1171572.14751729</v>
      </c>
      <c r="P1263" s="6">
        <v>1243568.50682003</v>
      </c>
      <c r="Q1263" s="6">
        <v>224870.56811574899</v>
      </c>
      <c r="R1263" s="6">
        <v>87421.552022598305</v>
      </c>
      <c r="S1263" s="6">
        <v>198117.05676415001</v>
      </c>
      <c r="T1263" s="6">
        <v>5409447.5099999998</v>
      </c>
      <c r="U1263" s="6">
        <v>1590008.3747016501</v>
      </c>
      <c r="V1263" s="6">
        <v>6034355.7253600396</v>
      </c>
      <c r="W1263" s="6">
        <v>916944.55822704302</v>
      </c>
      <c r="X1263" s="6">
        <v>0</v>
      </c>
      <c r="Y1263" s="6">
        <v>0</v>
      </c>
      <c r="Z1263" s="6">
        <v>0</v>
      </c>
      <c r="AA1263" s="6">
        <v>-1.3313015063096401E-3</v>
      </c>
      <c r="AB1263" s="6">
        <v>48155.602445865698</v>
      </c>
      <c r="AC1263" s="6">
        <v>198117.05676415001</v>
      </c>
      <c r="AD1263" s="6">
        <v>0</v>
      </c>
      <c r="AE1263" s="6">
        <v>0</v>
      </c>
      <c r="AF1263" s="6">
        <v>0</v>
      </c>
      <c r="AG1263" s="6">
        <v>0</v>
      </c>
      <c r="AH1263" s="6">
        <v>0</v>
      </c>
      <c r="AI1263" s="6">
        <v>0</v>
      </c>
      <c r="AJ1263" s="6">
        <v>7197572.9414657904</v>
      </c>
      <c r="AK1263" s="6">
        <v>12929.5040616527</v>
      </c>
      <c r="AL1263" s="6">
        <v>330.98244656580999</v>
      </c>
      <c r="AM1263" s="6">
        <v>93035.839999999997</v>
      </c>
      <c r="AN1263" s="6">
        <v>3212.1348705878099</v>
      </c>
      <c r="AO1263" s="6">
        <v>24624.4922590235</v>
      </c>
      <c r="AP1263" s="6">
        <v>330.98244656580999</v>
      </c>
      <c r="AQ1263" s="6">
        <v>93035.839999999997</v>
      </c>
      <c r="AR1263" s="6">
        <v>3212.1348705878099</v>
      </c>
      <c r="AS1263" s="6">
        <v>13498.2382882314</v>
      </c>
      <c r="AT1263" s="6">
        <v>0</v>
      </c>
      <c r="AU1263" t="s">
        <v>2973</v>
      </c>
      <c r="AV1263" t="s">
        <v>2973</v>
      </c>
    </row>
    <row r="1264" spans="1:48" x14ac:dyDescent="0.45">
      <c r="A1264" s="5" t="s">
        <v>2544</v>
      </c>
      <c r="B1264">
        <v>2242</v>
      </c>
      <c r="C1264" t="s">
        <v>2526</v>
      </c>
      <c r="D1264">
        <v>1137</v>
      </c>
      <c r="E1264" t="s">
        <v>2545</v>
      </c>
      <c r="F1264" t="s">
        <v>2739</v>
      </c>
      <c r="G1264" t="s">
        <v>2740</v>
      </c>
      <c r="H1264" t="s">
        <v>2741</v>
      </c>
      <c r="I1264" t="s">
        <v>2742</v>
      </c>
      <c r="J1264">
        <v>574.13083414298001</v>
      </c>
      <c r="K1264">
        <v>1</v>
      </c>
      <c r="L1264">
        <v>1</v>
      </c>
      <c r="M1264">
        <v>1</v>
      </c>
      <c r="N1264" s="6">
        <v>4220946.04341722</v>
      </c>
      <c r="O1264" s="6">
        <v>1065138.56721319</v>
      </c>
      <c r="P1264" s="6">
        <v>986127.13010547799</v>
      </c>
      <c r="Q1264" s="6">
        <v>231381.710708478</v>
      </c>
      <c r="R1264" s="6">
        <v>89321.386717624904</v>
      </c>
      <c r="S1264" s="6">
        <v>204328.30446834501</v>
      </c>
      <c r="T1264" s="6">
        <v>4953057.47</v>
      </c>
      <c r="U1264" s="6">
        <v>1639857.3681619901</v>
      </c>
      <c r="V1264" s="6">
        <v>5939842.6079434697</v>
      </c>
      <c r="W1264" s="6">
        <v>603406.88344270503</v>
      </c>
      <c r="X1264" s="6">
        <v>0</v>
      </c>
      <c r="Y1264" s="6">
        <v>0</v>
      </c>
      <c r="Z1264" s="6">
        <v>0</v>
      </c>
      <c r="AA1264" s="6">
        <v>-1.3730396764587199E-3</v>
      </c>
      <c r="AB1264" s="6">
        <v>49665.348148842102</v>
      </c>
      <c r="AC1264" s="6">
        <v>204328.30446834501</v>
      </c>
      <c r="AD1264" s="6">
        <v>0</v>
      </c>
      <c r="AE1264" s="6">
        <v>0</v>
      </c>
      <c r="AF1264" s="6">
        <v>0</v>
      </c>
      <c r="AG1264" s="6">
        <v>0</v>
      </c>
      <c r="AH1264" s="6">
        <v>0</v>
      </c>
      <c r="AI1264" s="6">
        <v>0</v>
      </c>
      <c r="AJ1264" s="6">
        <v>6797243.1426303303</v>
      </c>
      <c r="AK1264" s="6">
        <v>11839.1884539292</v>
      </c>
      <c r="AL1264" s="6">
        <v>330.98244656580999</v>
      </c>
      <c r="AM1264" s="6">
        <v>93035.839999999997</v>
      </c>
      <c r="AN1264" s="6">
        <v>3212.1348705878099</v>
      </c>
      <c r="AO1264" s="6">
        <v>24624.4922590235</v>
      </c>
      <c r="AP1264" s="6">
        <v>330.98244656580999</v>
      </c>
      <c r="AQ1264" s="6">
        <v>93035.839999999997</v>
      </c>
      <c r="AR1264" s="6">
        <v>3212.1348705878099</v>
      </c>
      <c r="AS1264" s="6">
        <v>13498.2382882314</v>
      </c>
      <c r="AT1264" s="6">
        <v>0</v>
      </c>
      <c r="AU1264" t="s">
        <v>2973</v>
      </c>
      <c r="AV1264" t="s">
        <v>2973</v>
      </c>
    </row>
    <row r="1265" spans="1:48" x14ac:dyDescent="0.45">
      <c r="A1265" s="5" t="s">
        <v>2546</v>
      </c>
      <c r="B1265">
        <v>2242</v>
      </c>
      <c r="C1265" t="s">
        <v>2526</v>
      </c>
      <c r="D1265">
        <v>1140</v>
      </c>
      <c r="E1265" t="s">
        <v>2547</v>
      </c>
      <c r="F1265" t="s">
        <v>2739</v>
      </c>
      <c r="G1265" t="s">
        <v>2740</v>
      </c>
      <c r="H1265" t="s">
        <v>2741</v>
      </c>
      <c r="I1265" t="s">
        <v>2742</v>
      </c>
      <c r="J1265">
        <v>623.150130771617</v>
      </c>
      <c r="K1265">
        <v>3</v>
      </c>
      <c r="L1265">
        <v>1</v>
      </c>
      <c r="M1265">
        <v>1</v>
      </c>
      <c r="N1265" s="6">
        <v>5105529.2741190502</v>
      </c>
      <c r="O1265" s="6">
        <v>1461107.4623179</v>
      </c>
      <c r="P1265" s="6">
        <v>1240887.9569779399</v>
      </c>
      <c r="Q1265" s="6">
        <v>251539.05635488499</v>
      </c>
      <c r="R1265" s="6">
        <v>97507.537650515296</v>
      </c>
      <c r="S1265" s="6">
        <v>221773.85724258501</v>
      </c>
      <c r="T1265" s="6">
        <v>6376702.8799999999</v>
      </c>
      <c r="U1265" s="6">
        <v>1779868.4074202799</v>
      </c>
      <c r="V1265" s="6">
        <v>6848811.7552331099</v>
      </c>
      <c r="W1265" s="6">
        <v>1253853.75758379</v>
      </c>
      <c r="X1265" s="6">
        <v>0</v>
      </c>
      <c r="Y1265" s="6">
        <v>0</v>
      </c>
      <c r="Z1265" s="6">
        <v>0</v>
      </c>
      <c r="AA1265" s="6">
        <v>-1.49026981840657E-3</v>
      </c>
      <c r="AB1265" s="6">
        <v>53905.776093644497</v>
      </c>
      <c r="AC1265" s="6">
        <v>221773.85724258501</v>
      </c>
      <c r="AD1265" s="6">
        <v>0</v>
      </c>
      <c r="AE1265" s="6">
        <v>0</v>
      </c>
      <c r="AF1265" s="6">
        <v>0</v>
      </c>
      <c r="AG1265" s="6">
        <v>0</v>
      </c>
      <c r="AH1265" s="6">
        <v>0</v>
      </c>
      <c r="AI1265" s="6">
        <v>0</v>
      </c>
      <c r="AJ1265" s="6">
        <v>8378345.1446628598</v>
      </c>
      <c r="AK1265" s="6">
        <v>13445.147053549301</v>
      </c>
      <c r="AL1265" s="6">
        <v>330.98244656580999</v>
      </c>
      <c r="AM1265" s="6">
        <v>93035.839999999997</v>
      </c>
      <c r="AN1265" s="6">
        <v>3212.1348705878099</v>
      </c>
      <c r="AO1265" s="6">
        <v>24624.4922590235</v>
      </c>
      <c r="AP1265" s="6">
        <v>330.98244656580999</v>
      </c>
      <c r="AQ1265" s="6">
        <v>93035.839999999997</v>
      </c>
      <c r="AR1265" s="6">
        <v>3212.1348705878099</v>
      </c>
      <c r="AS1265" s="6">
        <v>13498.2382882314</v>
      </c>
      <c r="AT1265" s="6">
        <v>0</v>
      </c>
      <c r="AU1265" t="s">
        <v>2973</v>
      </c>
      <c r="AV1265" t="s">
        <v>2973</v>
      </c>
    </row>
    <row r="1266" spans="1:48" x14ac:dyDescent="0.45">
      <c r="A1266" s="5" t="s">
        <v>2548</v>
      </c>
      <c r="B1266">
        <v>2242</v>
      </c>
      <c r="C1266" t="s">
        <v>2526</v>
      </c>
      <c r="D1266">
        <v>3579</v>
      </c>
      <c r="E1266" t="s">
        <v>2549</v>
      </c>
      <c r="F1266" t="s">
        <v>3</v>
      </c>
      <c r="G1266" t="s">
        <v>2740</v>
      </c>
      <c r="H1266" t="s">
        <v>2741</v>
      </c>
      <c r="I1266" t="s">
        <v>2742</v>
      </c>
      <c r="J1266">
        <v>220.683358631093</v>
      </c>
      <c r="K1266">
        <v>1</v>
      </c>
      <c r="L1266">
        <v>1</v>
      </c>
      <c r="M1266">
        <v>1</v>
      </c>
      <c r="N1266" s="6">
        <v>90677.179083056006</v>
      </c>
      <c r="O1266" s="6">
        <v>160808.91853407401</v>
      </c>
      <c r="P1266" s="6">
        <v>255920.09178057799</v>
      </c>
      <c r="Q1266" s="6">
        <v>88585.991677667407</v>
      </c>
      <c r="R1266" s="6">
        <v>34333.191053666997</v>
      </c>
      <c r="S1266" s="6">
        <v>78539.339488325102</v>
      </c>
      <c r="T1266" s="6">
        <v>0</v>
      </c>
      <c r="U1266" s="6">
        <v>630325.37212904205</v>
      </c>
      <c r="V1266" s="6">
        <v>472088.622737856</v>
      </c>
      <c r="W1266" s="6">
        <v>139146.47434887401</v>
      </c>
      <c r="X1266" s="6">
        <v>0</v>
      </c>
      <c r="Y1266" s="6">
        <v>0</v>
      </c>
      <c r="Z1266" s="6">
        <v>0</v>
      </c>
      <c r="AA1266" s="6">
        <v>-5.2776647641119201E-4</v>
      </c>
      <c r="AB1266" s="6">
        <v>19090.275570079299</v>
      </c>
      <c r="AC1266" s="6">
        <v>78539.339488325102</v>
      </c>
      <c r="AD1266" s="6">
        <v>0</v>
      </c>
      <c r="AE1266" s="6">
        <v>0</v>
      </c>
      <c r="AF1266" s="6">
        <v>0</v>
      </c>
      <c r="AG1266" s="6">
        <v>0</v>
      </c>
      <c r="AH1266" s="6">
        <v>0</v>
      </c>
      <c r="AI1266" s="6">
        <v>0</v>
      </c>
      <c r="AJ1266" s="6">
        <v>708864.71161736699</v>
      </c>
      <c r="AK1266" s="6">
        <v>3212.1348705878099</v>
      </c>
      <c r="AL1266" s="6">
        <v>330.98244656580999</v>
      </c>
      <c r="AM1266" s="6">
        <v>93035.839999999997</v>
      </c>
      <c r="AN1266" s="6">
        <v>3212.1348705878099</v>
      </c>
      <c r="AO1266" s="6">
        <v>24624.4922590235</v>
      </c>
      <c r="AP1266" s="6">
        <v>330.98244656580999</v>
      </c>
      <c r="AQ1266" s="6">
        <v>93035.839999999997</v>
      </c>
      <c r="AR1266" s="6">
        <v>3212.1348705878099</v>
      </c>
      <c r="AS1266" s="6">
        <v>13498.2382882314</v>
      </c>
      <c r="AT1266" s="6">
        <v>0</v>
      </c>
      <c r="AU1266" t="s">
        <v>2973</v>
      </c>
      <c r="AV1266" t="s">
        <v>2976</v>
      </c>
    </row>
    <row r="1267" spans="1:48" x14ac:dyDescent="0.45">
      <c r="A1267" s="5" t="s">
        <v>2550</v>
      </c>
      <c r="B1267">
        <v>2242</v>
      </c>
      <c r="C1267" t="s">
        <v>2526</v>
      </c>
      <c r="D1267">
        <v>1144</v>
      </c>
      <c r="E1267" t="s">
        <v>2551</v>
      </c>
      <c r="F1267" t="s">
        <v>2739</v>
      </c>
      <c r="G1267" t="s">
        <v>2747</v>
      </c>
      <c r="H1267" t="s">
        <v>2741</v>
      </c>
      <c r="I1267" t="s">
        <v>2742</v>
      </c>
      <c r="J1267">
        <v>836.59764402760902</v>
      </c>
      <c r="K1267">
        <v>1</v>
      </c>
      <c r="L1267">
        <v>1</v>
      </c>
      <c r="M1267">
        <v>1</v>
      </c>
      <c r="N1267" s="6">
        <v>6254330.3972243899</v>
      </c>
      <c r="O1267" s="6">
        <v>2377382.0601644199</v>
      </c>
      <c r="P1267" s="6">
        <v>2231399.6486970698</v>
      </c>
      <c r="Q1267" s="6">
        <v>338526.31865999801</v>
      </c>
      <c r="R1267" s="6">
        <v>192030.66968121001</v>
      </c>
      <c r="S1267" s="6">
        <v>297738.02060559997</v>
      </c>
      <c r="T1267" s="6">
        <v>9004142.6500000004</v>
      </c>
      <c r="U1267" s="6">
        <v>2389526.4444270902</v>
      </c>
      <c r="V1267" s="6">
        <v>9730883.0763288494</v>
      </c>
      <c r="W1267" s="6">
        <v>1590415.9072602401</v>
      </c>
      <c r="X1267" s="6">
        <v>0</v>
      </c>
      <c r="Y1267" s="6">
        <v>0</v>
      </c>
      <c r="Z1267" s="6">
        <v>0</v>
      </c>
      <c r="AA1267" s="6">
        <v>-2.00073169767386E-3</v>
      </c>
      <c r="AB1267" s="6">
        <v>72370.112838748493</v>
      </c>
      <c r="AC1267" s="6">
        <v>297738.02060559997</v>
      </c>
      <c r="AD1267" s="6">
        <v>0</v>
      </c>
      <c r="AE1267" s="6">
        <v>0</v>
      </c>
      <c r="AF1267" s="6">
        <v>0</v>
      </c>
      <c r="AG1267" s="6">
        <v>0</v>
      </c>
      <c r="AH1267" s="6">
        <v>0</v>
      </c>
      <c r="AI1267" s="6">
        <v>0</v>
      </c>
      <c r="AJ1267" s="6">
        <v>11691407.115032701</v>
      </c>
      <c r="AK1267" s="6">
        <v>13974.9462582121</v>
      </c>
      <c r="AL1267" s="6">
        <v>330.98244656580999</v>
      </c>
      <c r="AM1267" s="6">
        <v>93035.839999999997</v>
      </c>
      <c r="AN1267" s="6">
        <v>3212.1348705878099</v>
      </c>
      <c r="AO1267" s="6">
        <v>24624.4922590235</v>
      </c>
      <c r="AP1267" s="6">
        <v>3753.1860850462999</v>
      </c>
      <c r="AQ1267" s="6">
        <v>20687.885194392002</v>
      </c>
      <c r="AR1267" s="6">
        <v>12132.923450545901</v>
      </c>
      <c r="AS1267" s="6">
        <v>13974.9462582121</v>
      </c>
      <c r="AT1267" s="6">
        <v>0</v>
      </c>
      <c r="AU1267" t="s">
        <v>2973</v>
      </c>
      <c r="AV1267" t="s">
        <v>2973</v>
      </c>
    </row>
    <row r="1268" spans="1:48" x14ac:dyDescent="0.45">
      <c r="A1268" s="5" t="s">
        <v>2552</v>
      </c>
      <c r="B1268">
        <v>2242</v>
      </c>
      <c r="C1268" t="s">
        <v>2526</v>
      </c>
      <c r="D1268">
        <v>1146</v>
      </c>
      <c r="E1268" t="s">
        <v>2553</v>
      </c>
      <c r="F1268" t="s">
        <v>2739</v>
      </c>
      <c r="G1268" t="s">
        <v>2744</v>
      </c>
      <c r="H1268" t="s">
        <v>2745</v>
      </c>
      <c r="I1268" t="s">
        <v>2742</v>
      </c>
      <c r="J1268">
        <v>1784.07072266314</v>
      </c>
      <c r="K1268">
        <v>1</v>
      </c>
      <c r="L1268">
        <v>1</v>
      </c>
      <c r="M1268">
        <v>1</v>
      </c>
      <c r="N1268" s="6">
        <v>13221556.5201387</v>
      </c>
      <c r="O1268" s="6">
        <v>6965796.1297129001</v>
      </c>
      <c r="P1268" s="6">
        <v>4139635.9538195198</v>
      </c>
      <c r="Q1268" s="6">
        <v>720034.03146168205</v>
      </c>
      <c r="R1268" s="6">
        <v>679246.26478198695</v>
      </c>
      <c r="S1268" s="6">
        <v>634935.66994625097</v>
      </c>
      <c r="T1268" s="6">
        <v>20630528.789999999</v>
      </c>
      <c r="U1268" s="6">
        <v>5095740.1099148104</v>
      </c>
      <c r="V1268" s="6">
        <v>21491422.900076602</v>
      </c>
      <c r="W1268" s="6">
        <v>4080514.4679916399</v>
      </c>
      <c r="X1268" s="6">
        <v>0</v>
      </c>
      <c r="Y1268" s="6">
        <v>0</v>
      </c>
      <c r="Z1268" s="6">
        <v>0</v>
      </c>
      <c r="AA1268" s="6">
        <v>-4.2666231147147002E-3</v>
      </c>
      <c r="AB1268" s="6">
        <v>154331.53611316899</v>
      </c>
      <c r="AC1268" s="6">
        <v>634935.66994625097</v>
      </c>
      <c r="AD1268" s="6">
        <v>0</v>
      </c>
      <c r="AE1268" s="6">
        <v>0</v>
      </c>
      <c r="AF1268" s="6">
        <v>0</v>
      </c>
      <c r="AG1268" s="6">
        <v>0</v>
      </c>
      <c r="AH1268" s="6">
        <v>0</v>
      </c>
      <c r="AI1268" s="6">
        <v>0</v>
      </c>
      <c r="AJ1268" s="6">
        <v>26361204.569861099</v>
      </c>
      <c r="AK1268" s="6">
        <v>14775.874204420999</v>
      </c>
      <c r="AL1268" s="6">
        <v>330.98244656580999</v>
      </c>
      <c r="AM1268" s="6">
        <v>93035.839999999997</v>
      </c>
      <c r="AN1268" s="6">
        <v>3212.1348705878099</v>
      </c>
      <c r="AO1268" s="6">
        <v>24624.4922590235</v>
      </c>
      <c r="AP1268" s="6">
        <v>330.98244656580999</v>
      </c>
      <c r="AQ1268" s="6">
        <v>40734.411818744898</v>
      </c>
      <c r="AR1268" s="6">
        <v>13711.5226267454</v>
      </c>
      <c r="AS1268" s="6">
        <v>14775.874204420999</v>
      </c>
      <c r="AT1268" s="6">
        <v>0</v>
      </c>
      <c r="AU1268" t="s">
        <v>2973</v>
      </c>
      <c r="AV1268" t="s">
        <v>2973</v>
      </c>
    </row>
    <row r="1269" spans="1:48" x14ac:dyDescent="0.45">
      <c r="A1269" s="5" t="s">
        <v>2554</v>
      </c>
      <c r="B1269">
        <v>2242</v>
      </c>
      <c r="C1269" t="s">
        <v>2526</v>
      </c>
      <c r="D1269">
        <v>2242</v>
      </c>
      <c r="E1269" t="s">
        <v>2526</v>
      </c>
      <c r="F1269" t="s">
        <v>1</v>
      </c>
      <c r="G1269" t="s">
        <v>1</v>
      </c>
      <c r="H1269" t="s">
        <v>2743</v>
      </c>
      <c r="I1269" t="s">
        <v>2742</v>
      </c>
      <c r="J1269">
        <v>91.703413539843794</v>
      </c>
      <c r="K1269">
        <v>1</v>
      </c>
      <c r="L1269">
        <v>2</v>
      </c>
      <c r="M1269">
        <v>1</v>
      </c>
      <c r="N1269" s="6">
        <v>37680.262361696601</v>
      </c>
      <c r="O1269" s="6">
        <v>66823.012159592603</v>
      </c>
      <c r="P1269" s="6">
        <v>106345.78952978901</v>
      </c>
      <c r="Q1269" s="6">
        <v>36811.284181306401</v>
      </c>
      <c r="R1269" s="6">
        <v>14266.9154433165</v>
      </c>
      <c r="S1269" s="6">
        <v>32636.468707565298</v>
      </c>
      <c r="T1269" s="6">
        <v>0</v>
      </c>
      <c r="U1269" s="6">
        <v>261927.26367570099</v>
      </c>
      <c r="V1269" s="6">
        <v>196173.09826589399</v>
      </c>
      <c r="W1269" s="6">
        <v>57821.3362302354</v>
      </c>
      <c r="X1269" s="6">
        <v>0</v>
      </c>
      <c r="Y1269" s="6">
        <v>0</v>
      </c>
      <c r="Z1269" s="6">
        <v>0</v>
      </c>
      <c r="AA1269" s="6">
        <v>-2.1930963774983501E-4</v>
      </c>
      <c r="AB1269" s="6">
        <v>7932.8293988811402</v>
      </c>
      <c r="AC1269" s="6">
        <v>32636.468707565298</v>
      </c>
      <c r="AD1269" s="6">
        <v>0</v>
      </c>
      <c r="AE1269" s="6">
        <v>0</v>
      </c>
      <c r="AF1269" s="6">
        <v>0</v>
      </c>
      <c r="AG1269" s="6">
        <v>0</v>
      </c>
      <c r="AH1269" s="6">
        <v>0</v>
      </c>
      <c r="AI1269" s="6">
        <v>0</v>
      </c>
      <c r="AJ1269" s="6">
        <v>294563.73238326702</v>
      </c>
      <c r="AK1269" s="6">
        <v>3212.1348705878099</v>
      </c>
      <c r="AL1269" s="6">
        <v>330.98244656580999</v>
      </c>
      <c r="AM1269" s="6">
        <v>93035.839999999997</v>
      </c>
      <c r="AN1269" s="6">
        <v>3212.1348705878099</v>
      </c>
      <c r="AO1269" s="6">
        <v>24624.4922590235</v>
      </c>
      <c r="AP1269" s="6">
        <v>634.54287297753501</v>
      </c>
      <c r="AQ1269" s="6">
        <v>40331.279999999999</v>
      </c>
      <c r="AR1269" s="6">
        <v>3212.1348705878099</v>
      </c>
      <c r="AS1269" s="6">
        <v>3212.1348705878099</v>
      </c>
      <c r="AT1269" s="6">
        <v>0</v>
      </c>
      <c r="AU1269" t="s">
        <v>2973</v>
      </c>
      <c r="AV1269" t="s">
        <v>2977</v>
      </c>
    </row>
    <row r="1270" spans="1:48" x14ac:dyDescent="0.45">
      <c r="A1270" s="5" t="s">
        <v>2555</v>
      </c>
      <c r="B1270">
        <v>2242</v>
      </c>
      <c r="C1270" t="s">
        <v>2526</v>
      </c>
      <c r="D1270">
        <v>1143</v>
      </c>
      <c r="E1270" t="s">
        <v>2556</v>
      </c>
      <c r="F1270" t="s">
        <v>2739</v>
      </c>
      <c r="G1270" t="s">
        <v>2740</v>
      </c>
      <c r="H1270" t="s">
        <v>2741</v>
      </c>
      <c r="I1270" t="s">
        <v>2742</v>
      </c>
      <c r="J1270">
        <v>485.897236002802</v>
      </c>
      <c r="K1270">
        <v>2</v>
      </c>
      <c r="L1270">
        <v>1</v>
      </c>
      <c r="M1270">
        <v>1</v>
      </c>
      <c r="N1270" s="6">
        <v>4038641.0828423002</v>
      </c>
      <c r="O1270" s="6">
        <v>1112967.7616602101</v>
      </c>
      <c r="P1270" s="6">
        <v>949181.84487936599</v>
      </c>
      <c r="Q1270" s="6">
        <v>196674.91847059899</v>
      </c>
      <c r="R1270" s="6">
        <v>76001.093741107194</v>
      </c>
      <c r="S1270" s="6">
        <v>172926.71369324601</v>
      </c>
      <c r="T1270" s="6">
        <v>4985625.96</v>
      </c>
      <c r="U1270" s="6">
        <v>1387840.74159359</v>
      </c>
      <c r="V1270" s="6">
        <v>5595285.0525213499</v>
      </c>
      <c r="W1270" s="6">
        <v>736148.97413411504</v>
      </c>
      <c r="X1270" s="6">
        <v>0</v>
      </c>
      <c r="Y1270" s="6">
        <v>0</v>
      </c>
      <c r="Z1270" s="6">
        <v>0</v>
      </c>
      <c r="AA1270" s="6">
        <v>-1.1620281372091E-3</v>
      </c>
      <c r="AB1270" s="6">
        <v>42032.676100147299</v>
      </c>
      <c r="AC1270" s="6">
        <v>172926.71369324601</v>
      </c>
      <c r="AD1270" s="6">
        <v>0</v>
      </c>
      <c r="AE1270" s="6">
        <v>0</v>
      </c>
      <c r="AF1270" s="6">
        <v>0</v>
      </c>
      <c r="AG1270" s="6">
        <v>0</v>
      </c>
      <c r="AH1270" s="6">
        <v>0</v>
      </c>
      <c r="AI1270" s="6">
        <v>0</v>
      </c>
      <c r="AJ1270" s="6">
        <v>6546393.4152868297</v>
      </c>
      <c r="AK1270" s="6">
        <v>13472.794101774</v>
      </c>
      <c r="AL1270" s="6">
        <v>330.98244656580999</v>
      </c>
      <c r="AM1270" s="6">
        <v>93035.839999999997</v>
      </c>
      <c r="AN1270" s="6">
        <v>3212.1348705878099</v>
      </c>
      <c r="AO1270" s="6">
        <v>24624.4922590235</v>
      </c>
      <c r="AP1270" s="6">
        <v>330.98244656580999</v>
      </c>
      <c r="AQ1270" s="6">
        <v>93035.839999999997</v>
      </c>
      <c r="AR1270" s="6">
        <v>3212.1348705878099</v>
      </c>
      <c r="AS1270" s="6">
        <v>13498.2382882314</v>
      </c>
      <c r="AT1270" s="6">
        <v>0</v>
      </c>
      <c r="AU1270" t="s">
        <v>2973</v>
      </c>
      <c r="AV1270" t="s">
        <v>2973</v>
      </c>
    </row>
    <row r="1271" spans="1:48" x14ac:dyDescent="0.45">
      <c r="A1271" s="5" t="s">
        <v>2557</v>
      </c>
      <c r="B1271">
        <v>2242</v>
      </c>
      <c r="C1271" t="s">
        <v>2526</v>
      </c>
      <c r="D1271">
        <v>1301</v>
      </c>
      <c r="E1271" t="s">
        <v>2558</v>
      </c>
      <c r="F1271" t="s">
        <v>2739</v>
      </c>
      <c r="G1271" t="s">
        <v>2744</v>
      </c>
      <c r="H1271" t="s">
        <v>2745</v>
      </c>
      <c r="I1271" t="s">
        <v>2742</v>
      </c>
      <c r="J1271">
        <v>1904.7126827249101</v>
      </c>
      <c r="K1271">
        <v>1</v>
      </c>
      <c r="L1271">
        <v>1</v>
      </c>
      <c r="M1271">
        <v>1</v>
      </c>
      <c r="N1271" s="6">
        <v>12866859.189754</v>
      </c>
      <c r="O1271" s="6">
        <v>7006888.4414405702</v>
      </c>
      <c r="P1271" s="6">
        <v>4106342.0566107701</v>
      </c>
      <c r="Q1271" s="6">
        <v>768534.49229197099</v>
      </c>
      <c r="R1271" s="6">
        <v>690015.74410714698</v>
      </c>
      <c r="S1271" s="6">
        <v>677871.12242714304</v>
      </c>
      <c r="T1271" s="6">
        <v>19998317.02</v>
      </c>
      <c r="U1271" s="6">
        <v>5440322.9042044003</v>
      </c>
      <c r="V1271" s="6">
        <v>21127715.431864101</v>
      </c>
      <c r="W1271" s="6">
        <v>4146156.7943346198</v>
      </c>
      <c r="X1271" s="6">
        <v>0</v>
      </c>
      <c r="Y1271" s="6">
        <v>0</v>
      </c>
      <c r="Z1271" s="6">
        <v>0</v>
      </c>
      <c r="AA1271" s="6">
        <v>-4.5551395781403704E-3</v>
      </c>
      <c r="AB1271" s="6">
        <v>164767.70256078799</v>
      </c>
      <c r="AC1271" s="6">
        <v>677871.12242714304</v>
      </c>
      <c r="AD1271" s="6">
        <v>0</v>
      </c>
      <c r="AE1271" s="6">
        <v>0</v>
      </c>
      <c r="AF1271" s="6">
        <v>0</v>
      </c>
      <c r="AG1271" s="6">
        <v>0</v>
      </c>
      <c r="AH1271" s="6">
        <v>0</v>
      </c>
      <c r="AI1271" s="6">
        <v>0</v>
      </c>
      <c r="AJ1271" s="6">
        <v>26116511.0466315</v>
      </c>
      <c r="AK1271" s="6">
        <v>13711.5226267454</v>
      </c>
      <c r="AL1271" s="6">
        <v>330.98244656580999</v>
      </c>
      <c r="AM1271" s="6">
        <v>93035.839999999997</v>
      </c>
      <c r="AN1271" s="6">
        <v>3212.1348705878099</v>
      </c>
      <c r="AO1271" s="6">
        <v>24624.4922590235</v>
      </c>
      <c r="AP1271" s="6">
        <v>330.98244656580999</v>
      </c>
      <c r="AQ1271" s="6">
        <v>40734.411818744898</v>
      </c>
      <c r="AR1271" s="6">
        <v>13711.5226267454</v>
      </c>
      <c r="AS1271" s="6">
        <v>14775.874204420999</v>
      </c>
      <c r="AT1271" s="6">
        <v>0</v>
      </c>
      <c r="AU1271" t="s">
        <v>2973</v>
      </c>
      <c r="AV1271" t="s">
        <v>2973</v>
      </c>
    </row>
    <row r="1272" spans="1:48" x14ac:dyDescent="0.45">
      <c r="A1272" s="5" t="s">
        <v>2559</v>
      </c>
      <c r="B1272">
        <v>2242</v>
      </c>
      <c r="C1272" t="s">
        <v>2526</v>
      </c>
      <c r="D1272">
        <v>1145</v>
      </c>
      <c r="E1272" t="s">
        <v>2560</v>
      </c>
      <c r="F1272" t="s">
        <v>2739</v>
      </c>
      <c r="G1272" t="s">
        <v>2747</v>
      </c>
      <c r="H1272" t="s">
        <v>2741</v>
      </c>
      <c r="I1272" t="s">
        <v>2742</v>
      </c>
      <c r="J1272">
        <v>1040.02081731249</v>
      </c>
      <c r="K1272">
        <v>1</v>
      </c>
      <c r="L1272">
        <v>1</v>
      </c>
      <c r="M1272">
        <v>1</v>
      </c>
      <c r="N1272" s="6">
        <v>7014088.8223036798</v>
      </c>
      <c r="O1272" s="6">
        <v>2567288.9397858302</v>
      </c>
      <c r="P1272" s="6">
        <v>2011887.3040306</v>
      </c>
      <c r="Q1272" s="6">
        <v>420275.26321664097</v>
      </c>
      <c r="R1272" s="6">
        <v>234818.02787173301</v>
      </c>
      <c r="S1272" s="6">
        <v>370134.60621820902</v>
      </c>
      <c r="T1272" s="6">
        <v>9277805.8300000001</v>
      </c>
      <c r="U1272" s="6">
        <v>2970552.5272084801</v>
      </c>
      <c r="V1272" s="6">
        <v>10405262.5029906</v>
      </c>
      <c r="W1272" s="6">
        <v>1753128.5654499801</v>
      </c>
      <c r="X1272" s="6">
        <v>0</v>
      </c>
      <c r="Y1272" s="6">
        <v>0</v>
      </c>
      <c r="Z1272" s="6">
        <v>0</v>
      </c>
      <c r="AA1272" s="6">
        <v>-2.4872202668659599E-3</v>
      </c>
      <c r="AB1272" s="6">
        <v>89967.291255088203</v>
      </c>
      <c r="AC1272" s="6">
        <v>370134.60621820902</v>
      </c>
      <c r="AD1272" s="6">
        <v>0</v>
      </c>
      <c r="AE1272" s="6">
        <v>0</v>
      </c>
      <c r="AF1272" s="6">
        <v>0</v>
      </c>
      <c r="AG1272" s="6">
        <v>0</v>
      </c>
      <c r="AH1272" s="6">
        <v>0</v>
      </c>
      <c r="AI1272" s="6">
        <v>0</v>
      </c>
      <c r="AJ1272" s="6">
        <v>12618492.9634267</v>
      </c>
      <c r="AK1272" s="6">
        <v>12132.923450545901</v>
      </c>
      <c r="AL1272" s="6">
        <v>330.98244656580999</v>
      </c>
      <c r="AM1272" s="6">
        <v>93035.839999999997</v>
      </c>
      <c r="AN1272" s="6">
        <v>3212.1348705878099</v>
      </c>
      <c r="AO1272" s="6">
        <v>24624.4922590235</v>
      </c>
      <c r="AP1272" s="6">
        <v>3753.1860850462999</v>
      </c>
      <c r="AQ1272" s="6">
        <v>20687.885194392002</v>
      </c>
      <c r="AR1272" s="6">
        <v>12132.923450545901</v>
      </c>
      <c r="AS1272" s="6">
        <v>13974.9462582121</v>
      </c>
      <c r="AT1272" s="6">
        <v>0</v>
      </c>
      <c r="AU1272" t="s">
        <v>2973</v>
      </c>
      <c r="AV1272" t="s">
        <v>2973</v>
      </c>
    </row>
    <row r="1273" spans="1:48" x14ac:dyDescent="0.45">
      <c r="A1273" s="5" t="s">
        <v>2561</v>
      </c>
      <c r="B1273">
        <v>2197</v>
      </c>
      <c r="C1273" t="s">
        <v>2562</v>
      </c>
      <c r="D1273">
        <v>1012</v>
      </c>
      <c r="E1273" t="s">
        <v>2563</v>
      </c>
      <c r="F1273" t="s">
        <v>2739</v>
      </c>
      <c r="G1273" t="s">
        <v>2740</v>
      </c>
      <c r="H1273" t="s">
        <v>2741</v>
      </c>
      <c r="I1273" t="s">
        <v>2742</v>
      </c>
      <c r="J1273">
        <v>552.69999999996298</v>
      </c>
      <c r="K1273">
        <v>1</v>
      </c>
      <c r="L1273">
        <v>1</v>
      </c>
      <c r="M1273">
        <v>2</v>
      </c>
      <c r="N1273" s="6">
        <v>3559691.05054026</v>
      </c>
      <c r="O1273" s="6">
        <v>979950.73574965901</v>
      </c>
      <c r="P1273" s="6">
        <v>1057637.18037814</v>
      </c>
      <c r="Q1273" s="6">
        <v>366489.17656583001</v>
      </c>
      <c r="R1273" s="6">
        <v>260685.37258946101</v>
      </c>
      <c r="S1273" s="6">
        <v>207388.22920213899</v>
      </c>
      <c r="T1273" s="6">
        <v>4097804.74</v>
      </c>
      <c r="U1273" s="6">
        <v>2126648.7758233501</v>
      </c>
      <c r="V1273" s="6">
        <v>4927638.4748442098</v>
      </c>
      <c r="W1273" s="6">
        <v>1169246.1066801399</v>
      </c>
      <c r="X1273" s="6">
        <v>0</v>
      </c>
      <c r="Y1273" s="6">
        <v>0</v>
      </c>
      <c r="Z1273" s="6">
        <v>0</v>
      </c>
      <c r="AA1273" s="6">
        <v>127568.934299008</v>
      </c>
      <c r="AB1273" s="6">
        <v>0</v>
      </c>
      <c r="AC1273" s="6">
        <v>207388.22920213899</v>
      </c>
      <c r="AD1273" s="6">
        <v>0</v>
      </c>
      <c r="AE1273" s="6">
        <v>0</v>
      </c>
      <c r="AF1273" s="6">
        <v>0</v>
      </c>
      <c r="AG1273" s="6">
        <v>0</v>
      </c>
      <c r="AH1273" s="6">
        <v>0</v>
      </c>
      <c r="AI1273" s="6">
        <v>0</v>
      </c>
      <c r="AJ1273" s="6">
        <v>6431841.7450254904</v>
      </c>
      <c r="AK1273" s="6">
        <v>11637.1299891911</v>
      </c>
      <c r="AL1273" s="6">
        <v>330.98244656580999</v>
      </c>
      <c r="AM1273" s="6">
        <v>93035.839999999997</v>
      </c>
      <c r="AN1273" s="6">
        <v>11637.1299891911</v>
      </c>
      <c r="AO1273" s="6">
        <v>15396.6816251817</v>
      </c>
      <c r="AP1273" s="6">
        <v>330.98244656580999</v>
      </c>
      <c r="AQ1273" s="6">
        <v>93035.839999999997</v>
      </c>
      <c r="AR1273" s="6">
        <v>11637.1299891911</v>
      </c>
      <c r="AS1273" s="6">
        <v>14018.4991918784</v>
      </c>
      <c r="AT1273" s="6">
        <v>0</v>
      </c>
      <c r="AU1273" t="s">
        <v>2973</v>
      </c>
      <c r="AV1273" t="s">
        <v>2973</v>
      </c>
    </row>
    <row r="1274" spans="1:48" x14ac:dyDescent="0.45">
      <c r="A1274" s="5" t="s">
        <v>2564</v>
      </c>
      <c r="B1274">
        <v>2197</v>
      </c>
      <c r="C1274" t="s">
        <v>2562</v>
      </c>
      <c r="D1274">
        <v>1013</v>
      </c>
      <c r="E1274" t="s">
        <v>896</v>
      </c>
      <c r="F1274" t="s">
        <v>2739</v>
      </c>
      <c r="G1274" t="s">
        <v>2740</v>
      </c>
      <c r="H1274" t="s">
        <v>2741</v>
      </c>
      <c r="I1274" t="s">
        <v>2742</v>
      </c>
      <c r="J1274">
        <v>323.37647058820602</v>
      </c>
      <c r="K1274">
        <v>2</v>
      </c>
      <c r="L1274">
        <v>1</v>
      </c>
      <c r="M1274">
        <v>2</v>
      </c>
      <c r="N1274" s="6">
        <v>2467733.4240743299</v>
      </c>
      <c r="O1274" s="6">
        <v>579256.69378645194</v>
      </c>
      <c r="P1274" s="6">
        <v>708311.49669448601</v>
      </c>
      <c r="Q1274" s="6">
        <v>217830.803138916</v>
      </c>
      <c r="R1274" s="6">
        <v>152523.09701819599</v>
      </c>
      <c r="S1274" s="6">
        <v>121339.738738792</v>
      </c>
      <c r="T1274" s="6">
        <v>2881385.25</v>
      </c>
      <c r="U1274" s="6">
        <v>1244270.26471238</v>
      </c>
      <c r="V1274" s="6">
        <v>3425782.3980448199</v>
      </c>
      <c r="W1274" s="6">
        <v>625234.44880014902</v>
      </c>
      <c r="X1274" s="6">
        <v>0</v>
      </c>
      <c r="Y1274" s="6">
        <v>0</v>
      </c>
      <c r="Z1274" s="6">
        <v>0</v>
      </c>
      <c r="AA1274" s="6">
        <v>74638.6678674047</v>
      </c>
      <c r="AB1274" s="6">
        <v>0</v>
      </c>
      <c r="AC1274" s="6">
        <v>121339.738738792</v>
      </c>
      <c r="AD1274" s="6">
        <v>0</v>
      </c>
      <c r="AE1274" s="6">
        <v>0</v>
      </c>
      <c r="AF1274" s="6">
        <v>0</v>
      </c>
      <c r="AG1274" s="6">
        <v>0</v>
      </c>
      <c r="AH1274" s="6">
        <v>0</v>
      </c>
      <c r="AI1274" s="6">
        <v>0</v>
      </c>
      <c r="AJ1274" s="6">
        <v>4246995.2534511704</v>
      </c>
      <c r="AK1274" s="6">
        <v>13133.2846997993</v>
      </c>
      <c r="AL1274" s="6">
        <v>330.98244656580999</v>
      </c>
      <c r="AM1274" s="6">
        <v>93035.839999999997</v>
      </c>
      <c r="AN1274" s="6">
        <v>11637.1299891911</v>
      </c>
      <c r="AO1274" s="6">
        <v>15396.6816251817</v>
      </c>
      <c r="AP1274" s="6">
        <v>330.98244656580999</v>
      </c>
      <c r="AQ1274" s="6">
        <v>93035.839999999997</v>
      </c>
      <c r="AR1274" s="6">
        <v>11637.1299891911</v>
      </c>
      <c r="AS1274" s="6">
        <v>14018.4991918784</v>
      </c>
      <c r="AT1274" s="6">
        <v>0</v>
      </c>
      <c r="AU1274" t="s">
        <v>2973</v>
      </c>
      <c r="AV1274" t="s">
        <v>2973</v>
      </c>
    </row>
    <row r="1275" spans="1:48" x14ac:dyDescent="0.45">
      <c r="A1275" s="5" t="s">
        <v>2565</v>
      </c>
      <c r="B1275">
        <v>2197</v>
      </c>
      <c r="C1275" t="s">
        <v>2562</v>
      </c>
      <c r="D1275">
        <v>1014</v>
      </c>
      <c r="E1275" t="s">
        <v>2566</v>
      </c>
      <c r="F1275" t="s">
        <v>2739</v>
      </c>
      <c r="G1275" t="s">
        <v>2740</v>
      </c>
      <c r="H1275" t="s">
        <v>2741</v>
      </c>
      <c r="I1275" t="s">
        <v>2742</v>
      </c>
      <c r="J1275">
        <v>322.03441938169101</v>
      </c>
      <c r="K1275">
        <v>2</v>
      </c>
      <c r="L1275">
        <v>1</v>
      </c>
      <c r="M1275">
        <v>2</v>
      </c>
      <c r="N1275" s="6">
        <v>2505526.0629720301</v>
      </c>
      <c r="O1275" s="6">
        <v>623037.57375971403</v>
      </c>
      <c r="P1275" s="6">
        <v>899441.58998011495</v>
      </c>
      <c r="Q1275" s="6">
        <v>213707.74906333801</v>
      </c>
      <c r="R1275" s="6">
        <v>151890.10783997201</v>
      </c>
      <c r="S1275" s="6">
        <v>120836.164244097</v>
      </c>
      <c r="T1275" s="6">
        <v>3154496.69</v>
      </c>
      <c r="U1275" s="6">
        <v>1239106.3936151699</v>
      </c>
      <c r="V1275" s="6">
        <v>3555743.5758192898</v>
      </c>
      <c r="W1275" s="6">
        <v>763530.59936793102</v>
      </c>
      <c r="X1275" s="6">
        <v>0</v>
      </c>
      <c r="Y1275" s="6">
        <v>0</v>
      </c>
      <c r="Z1275" s="6">
        <v>0</v>
      </c>
      <c r="AA1275" s="6">
        <v>74328.908427944101</v>
      </c>
      <c r="AB1275" s="6">
        <v>0</v>
      </c>
      <c r="AC1275" s="6">
        <v>120836.164244097</v>
      </c>
      <c r="AD1275" s="6">
        <v>0</v>
      </c>
      <c r="AE1275" s="6">
        <v>0</v>
      </c>
      <c r="AF1275" s="6">
        <v>0</v>
      </c>
      <c r="AG1275" s="6">
        <v>0</v>
      </c>
      <c r="AH1275" s="6">
        <v>0</v>
      </c>
      <c r="AI1275" s="6">
        <v>0</v>
      </c>
      <c r="AJ1275" s="6">
        <v>4514439.2478592703</v>
      </c>
      <c r="AK1275" s="6">
        <v>14018.4991918784</v>
      </c>
      <c r="AL1275" s="6">
        <v>330.98244656580999</v>
      </c>
      <c r="AM1275" s="6">
        <v>93035.839999999997</v>
      </c>
      <c r="AN1275" s="6">
        <v>11637.1299891911</v>
      </c>
      <c r="AO1275" s="6">
        <v>15396.6816251817</v>
      </c>
      <c r="AP1275" s="6">
        <v>330.98244656580999</v>
      </c>
      <c r="AQ1275" s="6">
        <v>93035.839999999997</v>
      </c>
      <c r="AR1275" s="6">
        <v>11637.1299891911</v>
      </c>
      <c r="AS1275" s="6">
        <v>14018.4991918784</v>
      </c>
      <c r="AT1275" s="6">
        <v>0</v>
      </c>
      <c r="AU1275" t="s">
        <v>2973</v>
      </c>
      <c r="AV1275" t="s">
        <v>2973</v>
      </c>
    </row>
    <row r="1276" spans="1:48" x14ac:dyDescent="0.45">
      <c r="A1276" s="5" t="s">
        <v>2567</v>
      </c>
      <c r="B1276">
        <v>2197</v>
      </c>
      <c r="C1276" t="s">
        <v>2562</v>
      </c>
      <c r="D1276">
        <v>1017</v>
      </c>
      <c r="E1276" t="s">
        <v>2568</v>
      </c>
      <c r="F1276" t="s">
        <v>2739</v>
      </c>
      <c r="G1276" t="s">
        <v>2744</v>
      </c>
      <c r="H1276" t="s">
        <v>2745</v>
      </c>
      <c r="I1276" t="s">
        <v>2742</v>
      </c>
      <c r="J1276">
        <v>662.833283207882</v>
      </c>
      <c r="K1276">
        <v>1</v>
      </c>
      <c r="L1276">
        <v>1</v>
      </c>
      <c r="M1276">
        <v>2</v>
      </c>
      <c r="N1276" s="6">
        <v>4124903.0105775301</v>
      </c>
      <c r="O1276" s="6">
        <v>2425176.34686503</v>
      </c>
      <c r="P1276" s="6">
        <v>1472060.3917012101</v>
      </c>
      <c r="Q1276" s="6">
        <v>443542.72337542003</v>
      </c>
      <c r="R1276" s="6">
        <v>1491037.2958815901</v>
      </c>
      <c r="S1276" s="6">
        <v>248713.26372486301</v>
      </c>
      <c r="T1276" s="6">
        <v>7406306.1799999997</v>
      </c>
      <c r="U1276" s="6">
        <v>2550413.5884007802</v>
      </c>
      <c r="V1276" s="6">
        <v>6661092.38798586</v>
      </c>
      <c r="W1276" s="6">
        <v>3142638.5337408702</v>
      </c>
      <c r="X1276" s="6">
        <v>0</v>
      </c>
      <c r="Y1276" s="6">
        <v>0</v>
      </c>
      <c r="Z1276" s="6">
        <v>0</v>
      </c>
      <c r="AA1276" s="6">
        <v>152988.84667405</v>
      </c>
      <c r="AB1276" s="6">
        <v>0</v>
      </c>
      <c r="AC1276" s="6">
        <v>248713.26372486301</v>
      </c>
      <c r="AD1276" s="6">
        <v>0</v>
      </c>
      <c r="AE1276" s="6">
        <v>0</v>
      </c>
      <c r="AF1276" s="6">
        <v>0</v>
      </c>
      <c r="AG1276" s="6">
        <v>0</v>
      </c>
      <c r="AH1276" s="6">
        <v>0</v>
      </c>
      <c r="AI1276" s="6">
        <v>0</v>
      </c>
      <c r="AJ1276" s="6">
        <v>10205433.0321256</v>
      </c>
      <c r="AK1276" s="6">
        <v>15396.6816251817</v>
      </c>
      <c r="AL1276" s="6">
        <v>330.98244656580999</v>
      </c>
      <c r="AM1276" s="6">
        <v>93035.839999999997</v>
      </c>
      <c r="AN1276" s="6">
        <v>11637.1299891911</v>
      </c>
      <c r="AO1276" s="6">
        <v>15396.6816251817</v>
      </c>
      <c r="AP1276" s="6">
        <v>330.98244656580999</v>
      </c>
      <c r="AQ1276" s="6">
        <v>40734.411818744898</v>
      </c>
      <c r="AR1276" s="6">
        <v>15396.6816251817</v>
      </c>
      <c r="AS1276" s="6">
        <v>15396.6816251817</v>
      </c>
      <c r="AT1276" s="6">
        <v>0</v>
      </c>
      <c r="AU1276" t="s">
        <v>2973</v>
      </c>
      <c r="AV1276" t="s">
        <v>2973</v>
      </c>
    </row>
    <row r="1277" spans="1:48" x14ac:dyDescent="0.45">
      <c r="A1277" s="5" t="s">
        <v>2569</v>
      </c>
      <c r="B1277">
        <v>2197</v>
      </c>
      <c r="C1277" t="s">
        <v>2562</v>
      </c>
      <c r="D1277">
        <v>1016</v>
      </c>
      <c r="E1277" t="s">
        <v>2570</v>
      </c>
      <c r="F1277" t="s">
        <v>2739</v>
      </c>
      <c r="G1277" t="s">
        <v>2747</v>
      </c>
      <c r="H1277" t="s">
        <v>2741</v>
      </c>
      <c r="I1277" t="s">
        <v>2742</v>
      </c>
      <c r="J1277">
        <v>355.92969747887798</v>
      </c>
      <c r="K1277">
        <v>1</v>
      </c>
      <c r="L1277">
        <v>1</v>
      </c>
      <c r="M1277">
        <v>2</v>
      </c>
      <c r="N1277" s="6">
        <v>2321675.7318358398</v>
      </c>
      <c r="O1277" s="6">
        <v>947908.75983915001</v>
      </c>
      <c r="P1277" s="6">
        <v>721357.74124604196</v>
      </c>
      <c r="Q1277" s="6">
        <v>237331.507856496</v>
      </c>
      <c r="R1277" s="6">
        <v>167877.086670783</v>
      </c>
      <c r="S1277" s="6">
        <v>133554.60409010801</v>
      </c>
      <c r="T1277" s="6">
        <v>3026624.04</v>
      </c>
      <c r="U1277" s="6">
        <v>1369526.7874483201</v>
      </c>
      <c r="V1277" s="6">
        <v>3705427.8933058199</v>
      </c>
      <c r="W1277" s="6">
        <v>608570.64141090796</v>
      </c>
      <c r="X1277" s="6">
        <v>0</v>
      </c>
      <c r="Y1277" s="6">
        <v>0</v>
      </c>
      <c r="Z1277" s="6">
        <v>0</v>
      </c>
      <c r="AA1277" s="6">
        <v>82152.292731593494</v>
      </c>
      <c r="AB1277" s="6">
        <v>0</v>
      </c>
      <c r="AC1277" s="6">
        <v>133554.60409010801</v>
      </c>
      <c r="AD1277" s="6">
        <v>0</v>
      </c>
      <c r="AE1277" s="6">
        <v>0</v>
      </c>
      <c r="AF1277" s="6">
        <v>0</v>
      </c>
      <c r="AG1277" s="6">
        <v>0</v>
      </c>
      <c r="AH1277" s="6">
        <v>0</v>
      </c>
      <c r="AI1277" s="6">
        <v>0</v>
      </c>
      <c r="AJ1277" s="6">
        <v>4529705.43153843</v>
      </c>
      <c r="AK1277" s="6">
        <v>12726.404859227099</v>
      </c>
      <c r="AL1277" s="6">
        <v>330.98244656580999</v>
      </c>
      <c r="AM1277" s="6">
        <v>93035.839999999997</v>
      </c>
      <c r="AN1277" s="6">
        <v>11637.1299891911</v>
      </c>
      <c r="AO1277" s="6">
        <v>15396.6816251817</v>
      </c>
      <c r="AP1277" s="6">
        <v>3753.1860850462999</v>
      </c>
      <c r="AQ1277" s="6">
        <v>20687.885194392002</v>
      </c>
      <c r="AR1277" s="6">
        <v>12726.404859227099</v>
      </c>
      <c r="AS1277" s="6">
        <v>12726.404859227099</v>
      </c>
      <c r="AT1277" s="6">
        <v>0</v>
      </c>
      <c r="AU1277" t="s">
        <v>2973</v>
      </c>
      <c r="AV1277" t="s">
        <v>2973</v>
      </c>
    </row>
    <row r="1278" spans="1:48" x14ac:dyDescent="0.45">
      <c r="A1278" s="5" t="s">
        <v>2571</v>
      </c>
      <c r="B1278">
        <v>2222</v>
      </c>
      <c r="C1278" t="s">
        <v>2572</v>
      </c>
      <c r="D1278">
        <v>1092</v>
      </c>
      <c r="E1278" t="s">
        <v>2573</v>
      </c>
      <c r="F1278" t="s">
        <v>2739</v>
      </c>
      <c r="G1278" t="s">
        <v>2740</v>
      </c>
      <c r="H1278" t="s">
        <v>2741</v>
      </c>
      <c r="I1278" t="s">
        <v>2742</v>
      </c>
      <c r="J1278">
        <v>2</v>
      </c>
      <c r="K1278">
        <v>0</v>
      </c>
      <c r="L1278">
        <v>0</v>
      </c>
      <c r="M1278">
        <v>1</v>
      </c>
      <c r="N1278" s="6">
        <v>116812.68</v>
      </c>
      <c r="O1278" s="6">
        <v>0</v>
      </c>
      <c r="P1278" s="6">
        <v>45688.24</v>
      </c>
      <c r="Q1278" s="6">
        <v>19870.759999999998</v>
      </c>
      <c r="R1278" s="6">
        <v>0</v>
      </c>
      <c r="S1278" s="6">
        <v>3700</v>
      </c>
      <c r="T1278" s="6">
        <v>182371.68</v>
      </c>
      <c r="U1278" s="6">
        <v>0</v>
      </c>
      <c r="V1278" s="6">
        <v>182371.68</v>
      </c>
      <c r="W1278" s="6">
        <v>0</v>
      </c>
      <c r="X1278" s="6">
        <v>0</v>
      </c>
      <c r="Y1278" s="6">
        <v>0</v>
      </c>
      <c r="Z1278" s="6">
        <v>0</v>
      </c>
      <c r="AA1278" s="6">
        <v>0</v>
      </c>
      <c r="AB1278" s="6">
        <v>0</v>
      </c>
      <c r="AC1278" s="6">
        <v>3700</v>
      </c>
      <c r="AD1278" s="6">
        <v>0</v>
      </c>
      <c r="AE1278" s="6">
        <v>0</v>
      </c>
      <c r="AF1278" s="6">
        <v>0</v>
      </c>
      <c r="AG1278" s="6">
        <v>0</v>
      </c>
      <c r="AH1278" s="6">
        <v>0</v>
      </c>
      <c r="AI1278" s="6">
        <v>0</v>
      </c>
      <c r="AJ1278" s="6">
        <v>186071.67999999999</v>
      </c>
      <c r="AK1278" s="6">
        <v>93035.839999999997</v>
      </c>
      <c r="AL1278" s="6">
        <v>330.98244656580999</v>
      </c>
      <c r="AM1278" s="6">
        <v>93035.839999999997</v>
      </c>
      <c r="AN1278" s="6">
        <v>93035.839999999997</v>
      </c>
      <c r="AO1278" s="6">
        <v>93035.839999999997</v>
      </c>
      <c r="AP1278" s="6">
        <v>330.98244656580999</v>
      </c>
      <c r="AQ1278" s="6">
        <v>93035.839999999997</v>
      </c>
      <c r="AR1278" s="6">
        <v>93035.839999999997</v>
      </c>
      <c r="AS1278" s="6">
        <v>93035.839999999997</v>
      </c>
      <c r="AT1278" s="6">
        <v>0</v>
      </c>
      <c r="AU1278" t="s">
        <v>2973</v>
      </c>
      <c r="AV1278" t="s">
        <v>2973</v>
      </c>
    </row>
    <row r="1279" spans="1:48" x14ac:dyDescent="0.45">
      <c r="A1279" s="5" t="s">
        <v>2574</v>
      </c>
      <c r="B1279">
        <v>2210</v>
      </c>
      <c r="C1279" t="s">
        <v>2575</v>
      </c>
      <c r="D1279">
        <v>3432</v>
      </c>
      <c r="E1279" t="s">
        <v>2576</v>
      </c>
      <c r="F1279" t="s">
        <v>2739</v>
      </c>
      <c r="G1279" t="s">
        <v>2748</v>
      </c>
      <c r="H1279" t="s">
        <v>2741</v>
      </c>
      <c r="I1279" t="s">
        <v>2742</v>
      </c>
      <c r="J1279">
        <v>33.667663371099003</v>
      </c>
      <c r="K1279">
        <v>1</v>
      </c>
      <c r="L1279">
        <v>1</v>
      </c>
      <c r="M1279">
        <v>2</v>
      </c>
      <c r="N1279" s="6">
        <v>470892.37</v>
      </c>
      <c r="O1279" s="6">
        <v>87565.16</v>
      </c>
      <c r="P1279" s="6">
        <v>499959.51</v>
      </c>
      <c r="Q1279" s="6">
        <v>115059.11</v>
      </c>
      <c r="R1279" s="6">
        <v>26400</v>
      </c>
      <c r="S1279" s="6">
        <v>14942.5</v>
      </c>
      <c r="T1279" s="6">
        <v>0</v>
      </c>
      <c r="U1279" s="6">
        <v>1199876.1499999999</v>
      </c>
      <c r="V1279" s="6">
        <v>1076448.8899999999</v>
      </c>
      <c r="W1279" s="6">
        <v>123427.26</v>
      </c>
      <c r="X1279" s="6">
        <v>0</v>
      </c>
      <c r="Y1279" s="6">
        <v>0</v>
      </c>
      <c r="Z1279" s="6">
        <v>0</v>
      </c>
      <c r="AA1279" s="6">
        <v>0</v>
      </c>
      <c r="AB1279" s="6">
        <v>0</v>
      </c>
      <c r="AC1279" s="6">
        <v>14575.94</v>
      </c>
      <c r="AD1279" s="6">
        <v>366.56</v>
      </c>
      <c r="AE1279" s="6">
        <v>0</v>
      </c>
      <c r="AF1279" s="6">
        <v>0</v>
      </c>
      <c r="AG1279" s="6">
        <v>0</v>
      </c>
      <c r="AH1279" s="6">
        <v>0</v>
      </c>
      <c r="AI1279" s="6">
        <v>0</v>
      </c>
      <c r="AJ1279" s="6">
        <v>1214818.6499999999</v>
      </c>
      <c r="AK1279" s="6">
        <v>36082.654047290504</v>
      </c>
      <c r="AL1279" s="6">
        <v>330.98244656580999</v>
      </c>
      <c r="AM1279" s="6">
        <v>93035.839999999997</v>
      </c>
      <c r="AN1279" s="6">
        <v>36082.654047290504</v>
      </c>
      <c r="AO1279" s="6">
        <v>36082.654047290504</v>
      </c>
      <c r="AP1279" s="6">
        <v>330.98244656580999</v>
      </c>
      <c r="AQ1279" s="6">
        <v>56162.493707719797</v>
      </c>
      <c r="AR1279" s="6">
        <v>36082.654047290504</v>
      </c>
      <c r="AS1279" s="6">
        <v>36082.654047290504</v>
      </c>
      <c r="AT1279" s="6">
        <v>0</v>
      </c>
      <c r="AU1279" t="s">
        <v>2973</v>
      </c>
      <c r="AV1279" t="s">
        <v>2976</v>
      </c>
    </row>
    <row r="1280" spans="1:48" x14ac:dyDescent="0.45">
      <c r="A1280" s="5" t="s">
        <v>2577</v>
      </c>
      <c r="B1280">
        <v>2204</v>
      </c>
      <c r="C1280" t="s">
        <v>2578</v>
      </c>
      <c r="D1280">
        <v>1031</v>
      </c>
      <c r="E1280" t="s">
        <v>2579</v>
      </c>
      <c r="F1280" t="s">
        <v>2739</v>
      </c>
      <c r="G1280" t="s">
        <v>2747</v>
      </c>
      <c r="H1280" t="s">
        <v>2745</v>
      </c>
      <c r="I1280" t="s">
        <v>2742</v>
      </c>
      <c r="J1280">
        <v>339.28518415552099</v>
      </c>
      <c r="K1280">
        <v>2</v>
      </c>
      <c r="L1280">
        <v>1</v>
      </c>
      <c r="M1280">
        <v>3</v>
      </c>
      <c r="N1280" s="6">
        <v>2006710.46850003</v>
      </c>
      <c r="O1280" s="6">
        <v>689978.25572413695</v>
      </c>
      <c r="P1280" s="6">
        <v>957969.57284107304</v>
      </c>
      <c r="Q1280" s="6">
        <v>201256.09074848701</v>
      </c>
      <c r="R1280" s="6">
        <v>10286.565983381101</v>
      </c>
      <c r="S1280" s="6">
        <v>136262.162472394</v>
      </c>
      <c r="T1280" s="6">
        <v>2311078.35</v>
      </c>
      <c r="U1280" s="6">
        <v>1555122.60379711</v>
      </c>
      <c r="V1280" s="6">
        <v>2920859.01497766</v>
      </c>
      <c r="W1280" s="6">
        <v>945341.93881945603</v>
      </c>
      <c r="X1280" s="6">
        <v>0</v>
      </c>
      <c r="Y1280" s="6">
        <v>0</v>
      </c>
      <c r="Z1280" s="6">
        <v>0</v>
      </c>
      <c r="AA1280" s="6">
        <v>0</v>
      </c>
      <c r="AB1280" s="6">
        <v>0</v>
      </c>
      <c r="AC1280" s="6">
        <v>136262.162472394</v>
      </c>
      <c r="AD1280" s="6">
        <v>0</v>
      </c>
      <c r="AE1280" s="6">
        <v>0</v>
      </c>
      <c r="AF1280" s="6">
        <v>0</v>
      </c>
      <c r="AG1280" s="6">
        <v>0</v>
      </c>
      <c r="AH1280" s="6">
        <v>0</v>
      </c>
      <c r="AI1280" s="6">
        <v>0</v>
      </c>
      <c r="AJ1280" s="6">
        <v>4002463.1162695098</v>
      </c>
      <c r="AK1280" s="6">
        <v>11796.751827615501</v>
      </c>
      <c r="AL1280" s="6">
        <v>330.98244656580999</v>
      </c>
      <c r="AM1280" s="6">
        <v>93035.839999999997</v>
      </c>
      <c r="AN1280" s="6">
        <v>11796.751827615501</v>
      </c>
      <c r="AO1280" s="6">
        <v>15460.7723473266</v>
      </c>
      <c r="AP1280" s="6">
        <v>3753.1860850462999</v>
      </c>
      <c r="AQ1280" s="6">
        <v>20687.885194392002</v>
      </c>
      <c r="AR1280" s="6">
        <v>11796.751827615501</v>
      </c>
      <c r="AS1280" s="6">
        <v>11796.751827615501</v>
      </c>
      <c r="AT1280" s="6">
        <v>0</v>
      </c>
      <c r="AU1280" t="s">
        <v>2973</v>
      </c>
      <c r="AV1280" t="s">
        <v>2973</v>
      </c>
    </row>
    <row r="1281" spans="1:48" x14ac:dyDescent="0.45">
      <c r="A1281" s="5" t="s">
        <v>2580</v>
      </c>
      <c r="B1281">
        <v>2204</v>
      </c>
      <c r="C1281" t="s">
        <v>2578</v>
      </c>
      <c r="D1281">
        <v>1032</v>
      </c>
      <c r="E1281" t="s">
        <v>2581</v>
      </c>
      <c r="F1281" t="s">
        <v>2739</v>
      </c>
      <c r="G1281" t="s">
        <v>2740</v>
      </c>
      <c r="H1281" t="s">
        <v>2741</v>
      </c>
      <c r="I1281" t="s">
        <v>2742</v>
      </c>
      <c r="J1281">
        <v>635.76043999966498</v>
      </c>
      <c r="K1281">
        <v>5</v>
      </c>
      <c r="L1281">
        <v>1</v>
      </c>
      <c r="M1281">
        <v>3</v>
      </c>
      <c r="N1281" s="6">
        <v>5338732.7650678698</v>
      </c>
      <c r="O1281" s="6">
        <v>843925.08138405601</v>
      </c>
      <c r="P1281" s="6">
        <v>1776652.381844</v>
      </c>
      <c r="Q1281" s="6">
        <v>377118.32635822101</v>
      </c>
      <c r="R1281" s="6">
        <v>19275.205700353399</v>
      </c>
      <c r="S1281" s="6">
        <v>255331.19751272499</v>
      </c>
      <c r="T1281" s="6">
        <v>5441678.9900000002</v>
      </c>
      <c r="U1281" s="6">
        <v>2914024.7703545</v>
      </c>
      <c r="V1281" s="6">
        <v>6878623.8642794797</v>
      </c>
      <c r="W1281" s="6">
        <v>1477079.8960750301</v>
      </c>
      <c r="X1281" s="6">
        <v>0</v>
      </c>
      <c r="Y1281" s="6">
        <v>0</v>
      </c>
      <c r="Z1281" s="6">
        <v>0</v>
      </c>
      <c r="AA1281" s="6">
        <v>0</v>
      </c>
      <c r="AB1281" s="6">
        <v>0</v>
      </c>
      <c r="AC1281" s="6">
        <v>255331.19751272499</v>
      </c>
      <c r="AD1281" s="6">
        <v>0</v>
      </c>
      <c r="AE1281" s="6">
        <v>0</v>
      </c>
      <c r="AF1281" s="6">
        <v>0</v>
      </c>
      <c r="AG1281" s="6">
        <v>0</v>
      </c>
      <c r="AH1281" s="6">
        <v>0</v>
      </c>
      <c r="AI1281" s="6">
        <v>0</v>
      </c>
      <c r="AJ1281" s="6">
        <v>8611034.9578672294</v>
      </c>
      <c r="AK1281" s="6">
        <v>13544.464889749601</v>
      </c>
      <c r="AL1281" s="6">
        <v>330.98244656580999</v>
      </c>
      <c r="AM1281" s="6">
        <v>93035.839999999997</v>
      </c>
      <c r="AN1281" s="6">
        <v>11796.751827615501</v>
      </c>
      <c r="AO1281" s="6">
        <v>15460.7723473266</v>
      </c>
      <c r="AP1281" s="6">
        <v>330.98244656580999</v>
      </c>
      <c r="AQ1281" s="6">
        <v>93035.839999999997</v>
      </c>
      <c r="AR1281" s="6">
        <v>13544.464889749601</v>
      </c>
      <c r="AS1281" s="6">
        <v>13544.464889749601</v>
      </c>
      <c r="AT1281" s="6">
        <v>0</v>
      </c>
      <c r="AU1281" t="s">
        <v>2973</v>
      </c>
      <c r="AV1281" t="s">
        <v>2973</v>
      </c>
    </row>
    <row r="1282" spans="1:48" x14ac:dyDescent="0.45">
      <c r="A1282" s="5" t="s">
        <v>2582</v>
      </c>
      <c r="B1282">
        <v>2204</v>
      </c>
      <c r="C1282" t="s">
        <v>2578</v>
      </c>
      <c r="D1282">
        <v>1033</v>
      </c>
      <c r="E1282" t="s">
        <v>2583</v>
      </c>
      <c r="F1282" t="s">
        <v>2739</v>
      </c>
      <c r="G1282" t="s">
        <v>2744</v>
      </c>
      <c r="H1282" t="s">
        <v>2749</v>
      </c>
      <c r="I1282" t="s">
        <v>2742</v>
      </c>
      <c r="J1282">
        <v>381.878612091729</v>
      </c>
      <c r="K1282">
        <v>1</v>
      </c>
      <c r="L1282">
        <v>1</v>
      </c>
      <c r="M1282">
        <v>3</v>
      </c>
      <c r="N1282" s="6">
        <v>3041734.9464320899</v>
      </c>
      <c r="O1282" s="6">
        <v>1076191.86289181</v>
      </c>
      <c r="P1282" s="6">
        <v>1320445.18531493</v>
      </c>
      <c r="Q1282" s="6">
        <v>226521.522893291</v>
      </c>
      <c r="R1282" s="6">
        <v>85876.428316265505</v>
      </c>
      <c r="S1282" s="6">
        <v>153368.34001488099</v>
      </c>
      <c r="T1282" s="6">
        <v>4000419.24</v>
      </c>
      <c r="U1282" s="6">
        <v>1750350.70584839</v>
      </c>
      <c r="V1282" s="6">
        <v>4609031.5907428702</v>
      </c>
      <c r="W1282" s="6">
        <v>1141738.35510552</v>
      </c>
      <c r="X1282" s="6">
        <v>0</v>
      </c>
      <c r="Y1282" s="6">
        <v>0</v>
      </c>
      <c r="Z1282" s="6">
        <v>0</v>
      </c>
      <c r="AA1282" s="6">
        <v>0</v>
      </c>
      <c r="AB1282" s="6">
        <v>0</v>
      </c>
      <c r="AC1282" s="6">
        <v>153368.34001488099</v>
      </c>
      <c r="AD1282" s="6">
        <v>0</v>
      </c>
      <c r="AE1282" s="6">
        <v>0</v>
      </c>
      <c r="AF1282" s="6">
        <v>0</v>
      </c>
      <c r="AG1282" s="6">
        <v>0</v>
      </c>
      <c r="AH1282" s="6">
        <v>0</v>
      </c>
      <c r="AI1282" s="6">
        <v>0</v>
      </c>
      <c r="AJ1282" s="6">
        <v>5904138.2858632701</v>
      </c>
      <c r="AK1282" s="6">
        <v>15460.7723473266</v>
      </c>
      <c r="AL1282" s="6">
        <v>330.98244656580999</v>
      </c>
      <c r="AM1282" s="6">
        <v>93035.839999999997</v>
      </c>
      <c r="AN1282" s="6">
        <v>11796.751827615501</v>
      </c>
      <c r="AO1282" s="6">
        <v>15460.7723473266</v>
      </c>
      <c r="AP1282" s="6">
        <v>330.98244656580999</v>
      </c>
      <c r="AQ1282" s="6">
        <v>40734.411818744898</v>
      </c>
      <c r="AR1282" s="6">
        <v>15460.7723473266</v>
      </c>
      <c r="AS1282" s="6">
        <v>15460.7723473266</v>
      </c>
      <c r="AT1282" s="6">
        <v>0</v>
      </c>
      <c r="AU1282" t="s">
        <v>2973</v>
      </c>
      <c r="AV1282" t="s">
        <v>2973</v>
      </c>
    </row>
    <row r="1283" spans="1:48" x14ac:dyDescent="0.45">
      <c r="A1283" s="5" t="s">
        <v>2584</v>
      </c>
      <c r="B1283">
        <v>2213</v>
      </c>
      <c r="C1283" t="s">
        <v>2585</v>
      </c>
      <c r="D1283">
        <v>1074</v>
      </c>
      <c r="E1283" t="s">
        <v>1262</v>
      </c>
      <c r="F1283" t="s">
        <v>2739</v>
      </c>
      <c r="G1283" t="s">
        <v>2740</v>
      </c>
      <c r="H1283" t="s">
        <v>2741</v>
      </c>
      <c r="I1283" t="s">
        <v>2742</v>
      </c>
      <c r="J1283">
        <v>176.99999999989899</v>
      </c>
      <c r="K1283">
        <v>1</v>
      </c>
      <c r="L1283">
        <v>1</v>
      </c>
      <c r="M1283">
        <v>2</v>
      </c>
      <c r="N1283" s="6">
        <v>1243530.47663977</v>
      </c>
      <c r="O1283" s="6">
        <v>186422.266057865</v>
      </c>
      <c r="P1283" s="6">
        <v>492009.51490260102</v>
      </c>
      <c r="Q1283" s="6">
        <v>158955.42394749</v>
      </c>
      <c r="R1283" s="6">
        <v>101963.060603933</v>
      </c>
      <c r="S1283" s="6">
        <v>74494.588054573702</v>
      </c>
      <c r="T1283" s="6">
        <v>1305179.46</v>
      </c>
      <c r="U1283" s="6">
        <v>877701.28215165704</v>
      </c>
      <c r="V1283" s="6">
        <v>1901598.4757942201</v>
      </c>
      <c r="W1283" s="6">
        <v>281282.26635744201</v>
      </c>
      <c r="X1283" s="6">
        <v>0</v>
      </c>
      <c r="Y1283" s="6">
        <v>0</v>
      </c>
      <c r="Z1283" s="6">
        <v>0</v>
      </c>
      <c r="AA1283" s="6">
        <v>0</v>
      </c>
      <c r="AB1283" s="6">
        <v>0</v>
      </c>
      <c r="AC1283" s="6">
        <v>74316.2934815154</v>
      </c>
      <c r="AD1283" s="6">
        <v>178.294573058315</v>
      </c>
      <c r="AE1283" s="6">
        <v>0</v>
      </c>
      <c r="AF1283" s="6">
        <v>0</v>
      </c>
      <c r="AG1283" s="6">
        <v>0</v>
      </c>
      <c r="AH1283" s="6">
        <v>0</v>
      </c>
      <c r="AI1283" s="6">
        <v>0</v>
      </c>
      <c r="AJ1283" s="6">
        <v>2257375.3302062298</v>
      </c>
      <c r="AK1283" s="6">
        <v>12753.532939025599</v>
      </c>
      <c r="AL1283" s="6">
        <v>330.98244656580999</v>
      </c>
      <c r="AM1283" s="6">
        <v>93035.839999999997</v>
      </c>
      <c r="AN1283" s="6">
        <v>12753.532939025599</v>
      </c>
      <c r="AO1283" s="6">
        <v>13235.445197036401</v>
      </c>
      <c r="AP1283" s="6">
        <v>330.98244656580999</v>
      </c>
      <c r="AQ1283" s="6">
        <v>93035.839999999997</v>
      </c>
      <c r="AR1283" s="6">
        <v>12753.532939025599</v>
      </c>
      <c r="AS1283" s="6">
        <v>12753.532939025599</v>
      </c>
      <c r="AT1283" s="6">
        <v>0</v>
      </c>
      <c r="AU1283" t="s">
        <v>2973</v>
      </c>
      <c r="AV1283" t="s">
        <v>2973</v>
      </c>
    </row>
    <row r="1284" spans="1:48" x14ac:dyDescent="0.45">
      <c r="A1284" s="5" t="s">
        <v>2586</v>
      </c>
      <c r="B1284">
        <v>2213</v>
      </c>
      <c r="C1284" t="s">
        <v>2585</v>
      </c>
      <c r="D1284">
        <v>1075</v>
      </c>
      <c r="E1284" t="s">
        <v>2587</v>
      </c>
      <c r="F1284" t="s">
        <v>2739</v>
      </c>
      <c r="G1284" t="s">
        <v>2744</v>
      </c>
      <c r="H1284" t="s">
        <v>2745</v>
      </c>
      <c r="I1284" t="s">
        <v>2742</v>
      </c>
      <c r="J1284">
        <v>169.56523157198299</v>
      </c>
      <c r="K1284">
        <v>1</v>
      </c>
      <c r="L1284">
        <v>1</v>
      </c>
      <c r="M1284">
        <v>2</v>
      </c>
      <c r="N1284" s="6">
        <v>1204730.3433602301</v>
      </c>
      <c r="O1284" s="6">
        <v>287819.30394213501</v>
      </c>
      <c r="P1284" s="6">
        <v>430397.41509740101</v>
      </c>
      <c r="Q1284" s="6">
        <v>152278.60605251</v>
      </c>
      <c r="R1284" s="6">
        <v>97680.169396067504</v>
      </c>
      <c r="S1284" s="6">
        <v>71365.491945426606</v>
      </c>
      <c r="T1284" s="6">
        <v>1332071.82</v>
      </c>
      <c r="U1284" s="6">
        <v>840834.01784834696</v>
      </c>
      <c r="V1284" s="6">
        <v>2020621.8142057899</v>
      </c>
      <c r="W1284" s="6">
        <v>152284.02364255901</v>
      </c>
      <c r="X1284" s="6">
        <v>0</v>
      </c>
      <c r="Y1284" s="6">
        <v>0</v>
      </c>
      <c r="Z1284" s="6">
        <v>0</v>
      </c>
      <c r="AA1284" s="6">
        <v>0</v>
      </c>
      <c r="AB1284" s="6">
        <v>0</v>
      </c>
      <c r="AC1284" s="6">
        <v>71194.686518484901</v>
      </c>
      <c r="AD1284" s="6">
        <v>170.80542694168599</v>
      </c>
      <c r="AE1284" s="6">
        <v>0</v>
      </c>
      <c r="AF1284" s="6">
        <v>0</v>
      </c>
      <c r="AG1284" s="6">
        <v>0</v>
      </c>
      <c r="AH1284" s="6">
        <v>0</v>
      </c>
      <c r="AI1284" s="6">
        <v>0</v>
      </c>
      <c r="AJ1284" s="6">
        <v>2244271.3297937699</v>
      </c>
      <c r="AK1284" s="6">
        <v>13235.445197036401</v>
      </c>
      <c r="AL1284" s="6">
        <v>330.98244656580999</v>
      </c>
      <c r="AM1284" s="6">
        <v>93035.839999999997</v>
      </c>
      <c r="AN1284" s="6">
        <v>12753.532939025599</v>
      </c>
      <c r="AO1284" s="6">
        <v>13235.445197036401</v>
      </c>
      <c r="AP1284" s="6">
        <v>330.98244656580999</v>
      </c>
      <c r="AQ1284" s="6">
        <v>40734.411818744898</v>
      </c>
      <c r="AR1284" s="6">
        <v>13235.445197036401</v>
      </c>
      <c r="AS1284" s="6">
        <v>13235.445197036401</v>
      </c>
      <c r="AT1284" s="6">
        <v>0</v>
      </c>
      <c r="AU1284" t="s">
        <v>2973</v>
      </c>
      <c r="AV1284" t="s">
        <v>2973</v>
      </c>
    </row>
    <row r="1285" spans="1:48" x14ac:dyDescent="0.45">
      <c r="A1285" s="5" t="s">
        <v>2588</v>
      </c>
      <c r="B1285">
        <v>2116</v>
      </c>
      <c r="C1285" t="s">
        <v>2589</v>
      </c>
      <c r="D1285">
        <v>701</v>
      </c>
      <c r="E1285" t="s">
        <v>2590</v>
      </c>
      <c r="F1285" t="s">
        <v>2739</v>
      </c>
      <c r="G1285" t="s">
        <v>2740</v>
      </c>
      <c r="H1285" t="s">
        <v>2741</v>
      </c>
      <c r="I1285" t="s">
        <v>2742</v>
      </c>
      <c r="J1285">
        <v>443.62499999996902</v>
      </c>
      <c r="K1285">
        <v>1</v>
      </c>
      <c r="L1285">
        <v>1</v>
      </c>
      <c r="M1285">
        <v>3</v>
      </c>
      <c r="N1285" s="6">
        <v>3050360.5958005502</v>
      </c>
      <c r="O1285" s="6">
        <v>375640.13216850802</v>
      </c>
      <c r="P1285" s="6">
        <v>983676.65040798299</v>
      </c>
      <c r="Q1285" s="6">
        <v>240181.33418583701</v>
      </c>
      <c r="R1285" s="6">
        <v>176672.79784965099</v>
      </c>
      <c r="S1285" s="6">
        <v>264789.37845056801</v>
      </c>
      <c r="T1285" s="6">
        <v>2987582.33</v>
      </c>
      <c r="U1285" s="6">
        <v>1838949.18041253</v>
      </c>
      <c r="V1285" s="6">
        <v>4063646.90704558</v>
      </c>
      <c r="W1285" s="6">
        <v>733089.745653352</v>
      </c>
      <c r="X1285" s="6">
        <v>0</v>
      </c>
      <c r="Y1285" s="6">
        <v>0</v>
      </c>
      <c r="Z1285" s="6">
        <v>0</v>
      </c>
      <c r="AA1285" s="6">
        <v>26426.031390169101</v>
      </c>
      <c r="AB1285" s="6">
        <v>3368.8263234282899</v>
      </c>
      <c r="AC1285" s="6">
        <v>194534.86846650601</v>
      </c>
      <c r="AD1285" s="6">
        <v>70254.5099840615</v>
      </c>
      <c r="AE1285" s="6">
        <v>0</v>
      </c>
      <c r="AF1285" s="6">
        <v>0</v>
      </c>
      <c r="AG1285" s="6">
        <v>0</v>
      </c>
      <c r="AH1285" s="6">
        <v>0</v>
      </c>
      <c r="AI1285" s="6">
        <v>0</v>
      </c>
      <c r="AJ1285" s="6">
        <v>5091320.8888630997</v>
      </c>
      <c r="AK1285" s="6">
        <v>11476.632040267001</v>
      </c>
      <c r="AL1285" s="6">
        <v>330.98244656580999</v>
      </c>
      <c r="AM1285" s="6">
        <v>93035.839999999997</v>
      </c>
      <c r="AN1285" s="6">
        <v>4742.1551059188396</v>
      </c>
      <c r="AO1285" s="6">
        <v>16562.110065597401</v>
      </c>
      <c r="AP1285" s="6">
        <v>330.98244656580999</v>
      </c>
      <c r="AQ1285" s="6">
        <v>93035.839999999997</v>
      </c>
      <c r="AR1285" s="6">
        <v>11476.632040267001</v>
      </c>
      <c r="AS1285" s="6">
        <v>12702.5950573475</v>
      </c>
      <c r="AT1285" s="6">
        <v>0</v>
      </c>
      <c r="AU1285" t="s">
        <v>2973</v>
      </c>
      <c r="AV1285" t="s">
        <v>2973</v>
      </c>
    </row>
    <row r="1286" spans="1:48" x14ac:dyDescent="0.45">
      <c r="A1286" s="5" t="s">
        <v>2591</v>
      </c>
      <c r="B1286">
        <v>2116</v>
      </c>
      <c r="C1286" t="s">
        <v>2589</v>
      </c>
      <c r="D1286">
        <v>713</v>
      </c>
      <c r="E1286" t="s">
        <v>2592</v>
      </c>
      <c r="F1286" t="s">
        <v>2739</v>
      </c>
      <c r="G1286" t="s">
        <v>2744</v>
      </c>
      <c r="H1286" t="s">
        <v>2745</v>
      </c>
      <c r="I1286" t="s">
        <v>2742</v>
      </c>
      <c r="J1286">
        <v>263.06756756749701</v>
      </c>
      <c r="K1286">
        <v>1</v>
      </c>
      <c r="L1286">
        <v>1</v>
      </c>
      <c r="M1286">
        <v>3</v>
      </c>
      <c r="N1286" s="6">
        <v>2514218.9543351801</v>
      </c>
      <c r="O1286" s="6">
        <v>783225.333910243</v>
      </c>
      <c r="P1286" s="6">
        <v>655298.28008674202</v>
      </c>
      <c r="Q1286" s="6">
        <v>142426.417265458</v>
      </c>
      <c r="R1286" s="6">
        <v>104766.14975633701</v>
      </c>
      <c r="S1286" s="6">
        <v>157018.87338789599</v>
      </c>
      <c r="T1286" s="6">
        <v>3109446.8</v>
      </c>
      <c r="U1286" s="6">
        <v>1090488.3353539601</v>
      </c>
      <c r="V1286" s="6">
        <v>3450972.8186876802</v>
      </c>
      <c r="W1286" s="6">
        <v>731294.10422393202</v>
      </c>
      <c r="X1286" s="6">
        <v>0</v>
      </c>
      <c r="Y1286" s="6">
        <v>0</v>
      </c>
      <c r="Z1286" s="6">
        <v>0</v>
      </c>
      <c r="AA1286" s="6">
        <v>15670.5140564094</v>
      </c>
      <c r="AB1286" s="6">
        <v>1997.69838593789</v>
      </c>
      <c r="AC1286" s="6">
        <v>115358.274791886</v>
      </c>
      <c r="AD1286" s="6">
        <v>41660.598596009702</v>
      </c>
      <c r="AE1286" s="6">
        <v>0</v>
      </c>
      <c r="AF1286" s="6">
        <v>0</v>
      </c>
      <c r="AG1286" s="6">
        <v>0</v>
      </c>
      <c r="AH1286" s="6">
        <v>0</v>
      </c>
      <c r="AI1286" s="6">
        <v>0</v>
      </c>
      <c r="AJ1286" s="6">
        <v>4356954.0087418603</v>
      </c>
      <c r="AK1286" s="6">
        <v>16562.110065597401</v>
      </c>
      <c r="AL1286" s="6">
        <v>330.98244656580999</v>
      </c>
      <c r="AM1286" s="6">
        <v>93035.839999999997</v>
      </c>
      <c r="AN1286" s="6">
        <v>4742.1551059188396</v>
      </c>
      <c r="AO1286" s="6">
        <v>16562.110065597401</v>
      </c>
      <c r="AP1286" s="6">
        <v>330.98244656580999</v>
      </c>
      <c r="AQ1286" s="6">
        <v>40734.411818744898</v>
      </c>
      <c r="AR1286" s="6">
        <v>16562.110065597401</v>
      </c>
      <c r="AS1286" s="6">
        <v>16562.110065597401</v>
      </c>
      <c r="AT1286" s="6">
        <v>0</v>
      </c>
      <c r="AU1286" t="s">
        <v>2973</v>
      </c>
      <c r="AV1286" t="s">
        <v>2973</v>
      </c>
    </row>
    <row r="1287" spans="1:48" x14ac:dyDescent="0.45">
      <c r="A1287" s="5" t="s">
        <v>2593</v>
      </c>
      <c r="B1287">
        <v>2116</v>
      </c>
      <c r="C1287" t="s">
        <v>2589</v>
      </c>
      <c r="D1287">
        <v>1357</v>
      </c>
      <c r="E1287" t="s">
        <v>2594</v>
      </c>
      <c r="F1287" t="s">
        <v>2739</v>
      </c>
      <c r="G1287" t="s">
        <v>2747</v>
      </c>
      <c r="H1287" t="s">
        <v>2741</v>
      </c>
      <c r="I1287" t="s">
        <v>2742</v>
      </c>
      <c r="J1287">
        <v>111.749999999992</v>
      </c>
      <c r="K1287">
        <v>1</v>
      </c>
      <c r="L1287">
        <v>1</v>
      </c>
      <c r="M1287">
        <v>3</v>
      </c>
      <c r="N1287" s="6">
        <v>940661.23896751099</v>
      </c>
      <c r="O1287" s="6">
        <v>272277.781746589</v>
      </c>
      <c r="P1287" s="6">
        <v>285570.27682297397</v>
      </c>
      <c r="Q1287" s="6">
        <v>60502.1450442766</v>
      </c>
      <c r="R1287" s="6">
        <v>44504.221267282999</v>
      </c>
      <c r="S1287" s="6">
        <v>66700.959237759103</v>
      </c>
      <c r="T1287" s="6">
        <v>1140280.79</v>
      </c>
      <c r="U1287" s="6">
        <v>463234.87384863303</v>
      </c>
      <c r="V1287" s="6">
        <v>1465192.0356970299</v>
      </c>
      <c r="W1287" s="6">
        <v>130818.24556610201</v>
      </c>
      <c r="X1287" s="6">
        <v>0</v>
      </c>
      <c r="Y1287" s="6">
        <v>0</v>
      </c>
      <c r="Z1287" s="6">
        <v>0</v>
      </c>
      <c r="AA1287" s="6">
        <v>6656.7686849284801</v>
      </c>
      <c r="AB1287" s="6">
        <v>848.61390057618598</v>
      </c>
      <c r="AC1287" s="6">
        <v>49003.711583278797</v>
      </c>
      <c r="AD1287" s="6">
        <v>17697.247654480401</v>
      </c>
      <c r="AE1287" s="6">
        <v>0</v>
      </c>
      <c r="AF1287" s="6">
        <v>0</v>
      </c>
      <c r="AG1287" s="6">
        <v>0</v>
      </c>
      <c r="AH1287" s="6">
        <v>0</v>
      </c>
      <c r="AI1287" s="6">
        <v>0</v>
      </c>
      <c r="AJ1287" s="6">
        <v>1670216.6230863901</v>
      </c>
      <c r="AK1287" s="6">
        <v>14946.010049991201</v>
      </c>
      <c r="AL1287" s="6">
        <v>330.98244656580999</v>
      </c>
      <c r="AM1287" s="6">
        <v>93035.839999999997</v>
      </c>
      <c r="AN1287" s="6">
        <v>4742.1551059188396</v>
      </c>
      <c r="AO1287" s="6">
        <v>16562.110065597401</v>
      </c>
      <c r="AP1287" s="6">
        <v>3753.1860850462999</v>
      </c>
      <c r="AQ1287" s="6">
        <v>20687.885194392002</v>
      </c>
      <c r="AR1287" s="6">
        <v>14946.010049991201</v>
      </c>
      <c r="AS1287" s="6">
        <v>14946.010049991201</v>
      </c>
      <c r="AT1287" s="6">
        <v>0</v>
      </c>
      <c r="AU1287" t="s">
        <v>2973</v>
      </c>
      <c r="AV1287" t="s">
        <v>2973</v>
      </c>
    </row>
    <row r="1288" spans="1:48" x14ac:dyDescent="0.45">
      <c r="A1288" s="5" t="s">
        <v>2595</v>
      </c>
      <c r="B1288">
        <v>2116</v>
      </c>
      <c r="C1288" t="s">
        <v>2589</v>
      </c>
      <c r="D1288">
        <v>2116</v>
      </c>
      <c r="E1288" t="s">
        <v>2589</v>
      </c>
      <c r="F1288" t="s">
        <v>1</v>
      </c>
      <c r="G1288" t="s">
        <v>1</v>
      </c>
      <c r="H1288" t="s">
        <v>2743</v>
      </c>
      <c r="I1288" t="s">
        <v>2742</v>
      </c>
      <c r="J1288">
        <v>8.7601351351269994</v>
      </c>
      <c r="K1288">
        <v>0</v>
      </c>
      <c r="L1288">
        <v>0</v>
      </c>
      <c r="M1288">
        <v>3</v>
      </c>
      <c r="N1288" s="6">
        <v>15293.950240411201</v>
      </c>
      <c r="O1288" s="6">
        <v>2030.3133360193699</v>
      </c>
      <c r="P1288" s="6">
        <v>10757.4378578411</v>
      </c>
      <c r="Q1288" s="6">
        <v>4742.7916470063101</v>
      </c>
      <c r="R1288" s="6">
        <v>3488.7068669800501</v>
      </c>
      <c r="S1288" s="6">
        <v>5228.7196113235696</v>
      </c>
      <c r="T1288" s="6">
        <v>0</v>
      </c>
      <c r="U1288" s="6">
        <v>36313.199948257999</v>
      </c>
      <c r="V1288" s="6">
        <v>25469.945585938302</v>
      </c>
      <c r="W1288" s="6">
        <v>10254.9038863478</v>
      </c>
      <c r="X1288" s="6">
        <v>0</v>
      </c>
      <c r="Y1288" s="6">
        <v>0</v>
      </c>
      <c r="Z1288" s="6">
        <v>0</v>
      </c>
      <c r="AA1288" s="6">
        <v>521.82723260187299</v>
      </c>
      <c r="AB1288" s="6">
        <v>66.5232433699789</v>
      </c>
      <c r="AC1288" s="6">
        <v>3841.4240321462298</v>
      </c>
      <c r="AD1288" s="6">
        <v>1387.29557917735</v>
      </c>
      <c r="AE1288" s="6">
        <v>0</v>
      </c>
      <c r="AF1288" s="6">
        <v>0</v>
      </c>
      <c r="AG1288" s="6">
        <v>0</v>
      </c>
      <c r="AH1288" s="6">
        <v>0</v>
      </c>
      <c r="AI1288" s="6">
        <v>0</v>
      </c>
      <c r="AJ1288" s="6">
        <v>41541.919559581504</v>
      </c>
      <c r="AK1288" s="6">
        <v>4742.1551059188396</v>
      </c>
      <c r="AL1288" s="6">
        <v>330.98244656580999</v>
      </c>
      <c r="AM1288" s="6">
        <v>93035.839999999997</v>
      </c>
      <c r="AN1288" s="6">
        <v>4742.1551059188396</v>
      </c>
      <c r="AO1288" s="6">
        <v>16562.110065597401</v>
      </c>
      <c r="AP1288" s="6">
        <v>634.54287297753501</v>
      </c>
      <c r="AQ1288" s="6">
        <v>40331.279999999999</v>
      </c>
      <c r="AR1288" s="6">
        <v>4742.1551059188396</v>
      </c>
      <c r="AS1288" s="6">
        <v>4742.1551059188396</v>
      </c>
      <c r="AT1288" s="6">
        <v>0</v>
      </c>
      <c r="AU1288" t="s">
        <v>2973</v>
      </c>
      <c r="AV1288" t="s">
        <v>2977</v>
      </c>
    </row>
    <row r="1289" spans="1:48" x14ac:dyDescent="0.45">
      <c r="A1289" s="5" t="s">
        <v>2596</v>
      </c>
      <c r="B1289">
        <v>2116</v>
      </c>
      <c r="C1289" t="s">
        <v>2589</v>
      </c>
      <c r="D1289">
        <v>706</v>
      </c>
      <c r="E1289" t="s">
        <v>2597</v>
      </c>
      <c r="F1289" t="s">
        <v>2739</v>
      </c>
      <c r="G1289" t="s">
        <v>2740</v>
      </c>
      <c r="H1289" t="s">
        <v>2741</v>
      </c>
      <c r="I1289" t="s">
        <v>2742</v>
      </c>
      <c r="J1289">
        <v>94.594594594593005</v>
      </c>
      <c r="K1289">
        <v>1</v>
      </c>
      <c r="L1289">
        <v>1</v>
      </c>
      <c r="M1289">
        <v>3</v>
      </c>
      <c r="N1289" s="6">
        <v>699506.700656345</v>
      </c>
      <c r="O1289" s="6">
        <v>97964.0788386403</v>
      </c>
      <c r="P1289" s="6">
        <v>258778.53482445999</v>
      </c>
      <c r="Q1289" s="6">
        <v>51214.101857422997</v>
      </c>
      <c r="R1289" s="6">
        <v>37672.114259749498</v>
      </c>
      <c r="S1289" s="6">
        <v>56461.299312454103</v>
      </c>
      <c r="T1289" s="6">
        <v>753014.59</v>
      </c>
      <c r="U1289" s="6">
        <v>392120.940436618</v>
      </c>
      <c r="V1289" s="6">
        <v>980287.70298377296</v>
      </c>
      <c r="W1289" s="6">
        <v>158494.640670266</v>
      </c>
      <c r="X1289" s="6">
        <v>0</v>
      </c>
      <c r="Y1289" s="6">
        <v>0</v>
      </c>
      <c r="Z1289" s="6">
        <v>0</v>
      </c>
      <c r="AA1289" s="6">
        <v>5634.8486358911596</v>
      </c>
      <c r="AB1289" s="6">
        <v>718.33814668766297</v>
      </c>
      <c r="AC1289" s="6">
        <v>41480.861126183001</v>
      </c>
      <c r="AD1289" s="6">
        <v>14980.4381862712</v>
      </c>
      <c r="AE1289" s="6">
        <v>0</v>
      </c>
      <c r="AF1289" s="6">
        <v>0</v>
      </c>
      <c r="AG1289" s="6">
        <v>0</v>
      </c>
      <c r="AH1289" s="6">
        <v>0</v>
      </c>
      <c r="AI1289" s="6">
        <v>0</v>
      </c>
      <c r="AJ1289" s="6">
        <v>1201596.8297490701</v>
      </c>
      <c r="AK1289" s="6">
        <v>12702.5950573475</v>
      </c>
      <c r="AL1289" s="6">
        <v>330.98244656580999</v>
      </c>
      <c r="AM1289" s="6">
        <v>93035.839999999997</v>
      </c>
      <c r="AN1289" s="6">
        <v>4742.1551059188396</v>
      </c>
      <c r="AO1289" s="6">
        <v>16562.110065597401</v>
      </c>
      <c r="AP1289" s="6">
        <v>330.98244656580999</v>
      </c>
      <c r="AQ1289" s="6">
        <v>93035.839999999997</v>
      </c>
      <c r="AR1289" s="6">
        <v>11476.632040267001</v>
      </c>
      <c r="AS1289" s="6">
        <v>12702.5950573475</v>
      </c>
      <c r="AT1289" s="6">
        <v>0</v>
      </c>
      <c r="AU1289" t="s">
        <v>2973</v>
      </c>
      <c r="AV1289" t="s">
        <v>2973</v>
      </c>
    </row>
    <row r="1290" spans="1:48" x14ac:dyDescent="0.45">
      <c r="A1290" s="5" t="s">
        <v>2598</v>
      </c>
      <c r="B1290">
        <v>1947</v>
      </c>
      <c r="C1290" t="s">
        <v>2599</v>
      </c>
      <c r="D1290">
        <v>176</v>
      </c>
      <c r="E1290" t="s">
        <v>2600</v>
      </c>
      <c r="F1290" t="s">
        <v>2739</v>
      </c>
      <c r="G1290" t="s">
        <v>2740</v>
      </c>
      <c r="H1290" t="s">
        <v>2741</v>
      </c>
      <c r="I1290" t="s">
        <v>2742</v>
      </c>
      <c r="J1290">
        <v>20.695121951219001</v>
      </c>
      <c r="K1290">
        <v>1</v>
      </c>
      <c r="L1290">
        <v>1</v>
      </c>
      <c r="M1290">
        <v>2</v>
      </c>
      <c r="N1290" s="6">
        <v>182746.28062513299</v>
      </c>
      <c r="O1290" s="6">
        <v>22829.072114408202</v>
      </c>
      <c r="P1290" s="6">
        <v>93956.753150611796</v>
      </c>
      <c r="Q1290" s="6">
        <v>19578.266274859201</v>
      </c>
      <c r="R1290" s="6">
        <v>11565.0280834894</v>
      </c>
      <c r="S1290" s="6">
        <v>9209.0914485684007</v>
      </c>
      <c r="T1290" s="6">
        <v>175272.42</v>
      </c>
      <c r="U1290" s="6">
        <v>155402.98024850199</v>
      </c>
      <c r="V1290" s="6">
        <v>298655.972742807</v>
      </c>
      <c r="W1290" s="6">
        <v>32019.427505694999</v>
      </c>
      <c r="X1290" s="6">
        <v>0</v>
      </c>
      <c r="Y1290" s="6">
        <v>0</v>
      </c>
      <c r="Z1290" s="6">
        <v>0</v>
      </c>
      <c r="AA1290" s="6">
        <v>0</v>
      </c>
      <c r="AB1290" s="6">
        <v>0</v>
      </c>
      <c r="AC1290" s="6">
        <v>9209.0914485684007</v>
      </c>
      <c r="AD1290" s="6">
        <v>0</v>
      </c>
      <c r="AE1290" s="6">
        <v>0</v>
      </c>
      <c r="AF1290" s="6">
        <v>0</v>
      </c>
      <c r="AG1290" s="6">
        <v>0</v>
      </c>
      <c r="AH1290" s="6">
        <v>0</v>
      </c>
      <c r="AI1290" s="6">
        <v>0</v>
      </c>
      <c r="AJ1290" s="6">
        <v>339884.49169707001</v>
      </c>
      <c r="AK1290" s="6">
        <v>16423.410912881802</v>
      </c>
      <c r="AL1290" s="6">
        <v>330.98244656580999</v>
      </c>
      <c r="AM1290" s="6">
        <v>93035.839999999997</v>
      </c>
      <c r="AN1290" s="6">
        <v>7954.1484261403002</v>
      </c>
      <c r="AO1290" s="6">
        <v>18730.449790812399</v>
      </c>
      <c r="AP1290" s="6">
        <v>330.98244656580999</v>
      </c>
      <c r="AQ1290" s="6">
        <v>93035.839999999997</v>
      </c>
      <c r="AR1290" s="6">
        <v>13587.0951899179</v>
      </c>
      <c r="AS1290" s="6">
        <v>16423.410912881802</v>
      </c>
      <c r="AT1290" s="6">
        <v>0</v>
      </c>
      <c r="AU1290" t="s">
        <v>2973</v>
      </c>
      <c r="AV1290" t="s">
        <v>2973</v>
      </c>
    </row>
    <row r="1291" spans="1:48" x14ac:dyDescent="0.45">
      <c r="A1291" s="5" t="s">
        <v>2601</v>
      </c>
      <c r="B1291">
        <v>1947</v>
      </c>
      <c r="C1291" t="s">
        <v>2599</v>
      </c>
      <c r="D1291">
        <v>177</v>
      </c>
      <c r="E1291" t="s">
        <v>2602</v>
      </c>
      <c r="F1291" t="s">
        <v>2739</v>
      </c>
      <c r="G1291" t="s">
        <v>2740</v>
      </c>
      <c r="H1291" t="s">
        <v>2741</v>
      </c>
      <c r="I1291" t="s">
        <v>2742</v>
      </c>
      <c r="J1291">
        <v>210.2455357142</v>
      </c>
      <c r="K1291">
        <v>1</v>
      </c>
      <c r="L1291">
        <v>1</v>
      </c>
      <c r="M1291">
        <v>2</v>
      </c>
      <c r="N1291" s="6">
        <v>1274278.9897286301</v>
      </c>
      <c r="O1291" s="6">
        <v>471678.705262748</v>
      </c>
      <c r="P1291" s="6">
        <v>688118.13113569003</v>
      </c>
      <c r="Q1291" s="6">
        <v>198899.194264983</v>
      </c>
      <c r="R1291" s="6">
        <v>130094.239273407</v>
      </c>
      <c r="S1291" s="6">
        <v>93556.847338668304</v>
      </c>
      <c r="T1291" s="6">
        <v>1184301.9099999999</v>
      </c>
      <c r="U1291" s="6">
        <v>1578767.3496654599</v>
      </c>
      <c r="V1291" s="6">
        <v>2436804.7789558801</v>
      </c>
      <c r="W1291" s="6">
        <v>326264.48070957803</v>
      </c>
      <c r="X1291" s="6">
        <v>0</v>
      </c>
      <c r="Y1291" s="6">
        <v>0</v>
      </c>
      <c r="Z1291" s="6">
        <v>0</v>
      </c>
      <c r="AA1291" s="6">
        <v>0</v>
      </c>
      <c r="AB1291" s="6">
        <v>0</v>
      </c>
      <c r="AC1291" s="6">
        <v>93556.847338668304</v>
      </c>
      <c r="AD1291" s="6">
        <v>0</v>
      </c>
      <c r="AE1291" s="6">
        <v>0</v>
      </c>
      <c r="AF1291" s="6">
        <v>0</v>
      </c>
      <c r="AG1291" s="6">
        <v>0</v>
      </c>
      <c r="AH1291" s="6">
        <v>0</v>
      </c>
      <c r="AI1291" s="6">
        <v>0</v>
      </c>
      <c r="AJ1291" s="6">
        <v>2856626.1070041298</v>
      </c>
      <c r="AK1291" s="6">
        <v>13587.0951899179</v>
      </c>
      <c r="AL1291" s="6">
        <v>330.98244656580999</v>
      </c>
      <c r="AM1291" s="6">
        <v>93035.839999999997</v>
      </c>
      <c r="AN1291" s="6">
        <v>7954.1484261403002</v>
      </c>
      <c r="AO1291" s="6">
        <v>18730.449790812399</v>
      </c>
      <c r="AP1291" s="6">
        <v>330.98244656580999</v>
      </c>
      <c r="AQ1291" s="6">
        <v>93035.839999999997</v>
      </c>
      <c r="AR1291" s="6">
        <v>13587.0951899179</v>
      </c>
      <c r="AS1291" s="6">
        <v>16423.410912881802</v>
      </c>
      <c r="AT1291" s="6">
        <v>0</v>
      </c>
      <c r="AU1291" t="s">
        <v>2973</v>
      </c>
      <c r="AV1291" t="s">
        <v>2973</v>
      </c>
    </row>
    <row r="1292" spans="1:48" x14ac:dyDescent="0.45">
      <c r="A1292" s="5" t="s">
        <v>2603</v>
      </c>
      <c r="B1292">
        <v>1947</v>
      </c>
      <c r="C1292" t="s">
        <v>2599</v>
      </c>
      <c r="D1292">
        <v>178</v>
      </c>
      <c r="E1292" t="s">
        <v>2604</v>
      </c>
      <c r="F1292" t="s">
        <v>2739</v>
      </c>
      <c r="G1292" t="s">
        <v>2744</v>
      </c>
      <c r="H1292" t="s">
        <v>2745</v>
      </c>
      <c r="I1292" t="s">
        <v>2742</v>
      </c>
      <c r="J1292">
        <v>172.144539877244</v>
      </c>
      <c r="K1292">
        <v>1</v>
      </c>
      <c r="L1292">
        <v>1</v>
      </c>
      <c r="M1292">
        <v>2</v>
      </c>
      <c r="N1292" s="6">
        <v>1540874.00699806</v>
      </c>
      <c r="O1292" s="6">
        <v>619711.44617717701</v>
      </c>
      <c r="P1292" s="6">
        <v>649188.43779344496</v>
      </c>
      <c r="Q1292" s="6">
        <v>162854.398607749</v>
      </c>
      <c r="R1292" s="6">
        <v>175114.02932479599</v>
      </c>
      <c r="S1292" s="6">
        <v>76602.342032001805</v>
      </c>
      <c r="T1292" s="6">
        <v>1855081.44</v>
      </c>
      <c r="U1292" s="6">
        <v>1292660.8789012199</v>
      </c>
      <c r="V1292" s="6">
        <v>2686265.6789552802</v>
      </c>
      <c r="W1292" s="6">
        <v>461476.63994594198</v>
      </c>
      <c r="X1292" s="6">
        <v>0</v>
      </c>
      <c r="Y1292" s="6">
        <v>0</v>
      </c>
      <c r="Z1292" s="6">
        <v>0</v>
      </c>
      <c r="AA1292" s="6">
        <v>0</v>
      </c>
      <c r="AB1292" s="6">
        <v>0</v>
      </c>
      <c r="AC1292" s="6">
        <v>76602.342032001805</v>
      </c>
      <c r="AD1292" s="6">
        <v>0</v>
      </c>
      <c r="AE1292" s="6">
        <v>0</v>
      </c>
      <c r="AF1292" s="6">
        <v>0</v>
      </c>
      <c r="AG1292" s="6">
        <v>0</v>
      </c>
      <c r="AH1292" s="6">
        <v>0</v>
      </c>
      <c r="AI1292" s="6">
        <v>0</v>
      </c>
      <c r="AJ1292" s="6">
        <v>3224344.6609332301</v>
      </c>
      <c r="AK1292" s="6">
        <v>18730.449790812399</v>
      </c>
      <c r="AL1292" s="6">
        <v>330.98244656580999</v>
      </c>
      <c r="AM1292" s="6">
        <v>93035.839999999997</v>
      </c>
      <c r="AN1292" s="6">
        <v>7954.1484261403002</v>
      </c>
      <c r="AO1292" s="6">
        <v>18730.449790812399</v>
      </c>
      <c r="AP1292" s="6">
        <v>330.98244656580999</v>
      </c>
      <c r="AQ1292" s="6">
        <v>40734.411818744898</v>
      </c>
      <c r="AR1292" s="6">
        <v>18730.449790812399</v>
      </c>
      <c r="AS1292" s="6">
        <v>18730.449790812399</v>
      </c>
      <c r="AT1292" s="6">
        <v>0</v>
      </c>
      <c r="AU1292" t="s">
        <v>2973</v>
      </c>
      <c r="AV1292" t="s">
        <v>2973</v>
      </c>
    </row>
    <row r="1293" spans="1:48" x14ac:dyDescent="0.45">
      <c r="A1293" s="5" t="s">
        <v>2605</v>
      </c>
      <c r="B1293">
        <v>1947</v>
      </c>
      <c r="C1293" t="s">
        <v>2599</v>
      </c>
      <c r="D1293">
        <v>4396</v>
      </c>
      <c r="E1293" t="s">
        <v>2606</v>
      </c>
      <c r="F1293" t="s">
        <v>2739</v>
      </c>
      <c r="G1293" t="s">
        <v>2747</v>
      </c>
      <c r="H1293" t="s">
        <v>2741</v>
      </c>
      <c r="I1293" t="s">
        <v>2742</v>
      </c>
      <c r="J1293">
        <v>119.799141104257</v>
      </c>
      <c r="K1293">
        <v>1</v>
      </c>
      <c r="L1293">
        <v>2</v>
      </c>
      <c r="M1293">
        <v>2</v>
      </c>
      <c r="N1293" s="6">
        <v>860684.21022061002</v>
      </c>
      <c r="O1293" s="6">
        <v>212887.83511865401</v>
      </c>
      <c r="P1293" s="6">
        <v>374510.60590357101</v>
      </c>
      <c r="Q1293" s="6">
        <v>113333.92910499001</v>
      </c>
      <c r="R1293" s="6">
        <v>79856.518210012902</v>
      </c>
      <c r="S1293" s="6">
        <v>53309.241109548901</v>
      </c>
      <c r="T1293" s="6">
        <v>741682.19</v>
      </c>
      <c r="U1293" s="6">
        <v>899590.90855783597</v>
      </c>
      <c r="V1293" s="6">
        <v>1426485.8947368299</v>
      </c>
      <c r="W1293" s="6">
        <v>214787.203821011</v>
      </c>
      <c r="X1293" s="6">
        <v>0</v>
      </c>
      <c r="Y1293" s="6">
        <v>0</v>
      </c>
      <c r="Z1293" s="6">
        <v>0</v>
      </c>
      <c r="AA1293" s="6">
        <v>0</v>
      </c>
      <c r="AB1293" s="6">
        <v>0</v>
      </c>
      <c r="AC1293" s="6">
        <v>53309.241109548901</v>
      </c>
      <c r="AD1293" s="6">
        <v>0</v>
      </c>
      <c r="AE1293" s="6">
        <v>0</v>
      </c>
      <c r="AF1293" s="6">
        <v>0</v>
      </c>
      <c r="AG1293" s="6">
        <v>0</v>
      </c>
      <c r="AH1293" s="6">
        <v>0</v>
      </c>
      <c r="AI1293" s="6">
        <v>0</v>
      </c>
      <c r="AJ1293" s="6">
        <v>1694582.3396673801</v>
      </c>
      <c r="AK1293" s="6">
        <v>14145.1960677468</v>
      </c>
      <c r="AL1293" s="6">
        <v>330.98244656580999</v>
      </c>
      <c r="AM1293" s="6">
        <v>93035.839999999997</v>
      </c>
      <c r="AN1293" s="6">
        <v>7954.1484261403002</v>
      </c>
      <c r="AO1293" s="6">
        <v>18730.449790812399</v>
      </c>
      <c r="AP1293" s="6">
        <v>3753.1860850462999</v>
      </c>
      <c r="AQ1293" s="6">
        <v>20687.885194392002</v>
      </c>
      <c r="AR1293" s="6">
        <v>14145.1960677468</v>
      </c>
      <c r="AS1293" s="6">
        <v>14145.1960677468</v>
      </c>
      <c r="AT1293" s="6">
        <v>0</v>
      </c>
      <c r="AU1293" t="s">
        <v>2973</v>
      </c>
      <c r="AV1293" t="s">
        <v>2973</v>
      </c>
    </row>
    <row r="1294" spans="1:48" x14ac:dyDescent="0.45">
      <c r="A1294" s="5" t="s">
        <v>2607</v>
      </c>
      <c r="B1294">
        <v>1947</v>
      </c>
      <c r="C1294" t="s">
        <v>2599</v>
      </c>
      <c r="D1294">
        <v>1947</v>
      </c>
      <c r="E1294" t="s">
        <v>2599</v>
      </c>
      <c r="F1294" t="s">
        <v>1</v>
      </c>
      <c r="G1294" t="s">
        <v>1</v>
      </c>
      <c r="H1294" t="s">
        <v>2743</v>
      </c>
      <c r="I1294" t="s">
        <v>2742</v>
      </c>
      <c r="J1294">
        <v>8.7338841289260003</v>
      </c>
      <c r="K1294">
        <v>0</v>
      </c>
      <c r="L1294">
        <v>0</v>
      </c>
      <c r="M1294">
        <v>2</v>
      </c>
      <c r="N1294" s="6">
        <v>19412.822427568099</v>
      </c>
      <c r="O1294" s="6">
        <v>6391.6513270127398</v>
      </c>
      <c r="P1294" s="6">
        <v>26636.372016681398</v>
      </c>
      <c r="Q1294" s="6">
        <v>8262.54174741926</v>
      </c>
      <c r="R1294" s="6">
        <v>4880.7451082945799</v>
      </c>
      <c r="S1294" s="6">
        <v>3886.4780712124302</v>
      </c>
      <c r="T1294" s="6">
        <v>0</v>
      </c>
      <c r="U1294" s="6">
        <v>65584.132626976105</v>
      </c>
      <c r="V1294" s="6">
        <v>52071.0946092023</v>
      </c>
      <c r="W1294" s="6">
        <v>13513.038017773701</v>
      </c>
      <c r="X1294" s="6">
        <v>0</v>
      </c>
      <c r="Y1294" s="6">
        <v>0</v>
      </c>
      <c r="Z1294" s="6">
        <v>0</v>
      </c>
      <c r="AA1294" s="6">
        <v>0</v>
      </c>
      <c r="AB1294" s="6">
        <v>0</v>
      </c>
      <c r="AC1294" s="6">
        <v>3886.4780712124302</v>
      </c>
      <c r="AD1294" s="6">
        <v>0</v>
      </c>
      <c r="AE1294" s="6">
        <v>0</v>
      </c>
      <c r="AF1294" s="6">
        <v>0</v>
      </c>
      <c r="AG1294" s="6">
        <v>0</v>
      </c>
      <c r="AH1294" s="6">
        <v>0</v>
      </c>
      <c r="AI1294" s="6">
        <v>0</v>
      </c>
      <c r="AJ1294" s="6">
        <v>69470.610698188495</v>
      </c>
      <c r="AK1294" s="6">
        <v>7954.1484261403002</v>
      </c>
      <c r="AL1294" s="6">
        <v>330.98244656580999</v>
      </c>
      <c r="AM1294" s="6">
        <v>93035.839999999997</v>
      </c>
      <c r="AN1294" s="6">
        <v>7954.1484261403002</v>
      </c>
      <c r="AO1294" s="6">
        <v>18730.449790812399</v>
      </c>
      <c r="AP1294" s="6">
        <v>634.54287297753501</v>
      </c>
      <c r="AQ1294" s="6">
        <v>40331.279999999999</v>
      </c>
      <c r="AR1294" s="6">
        <v>7954.1484261403002</v>
      </c>
      <c r="AS1294" s="6">
        <v>7954.1484261403002</v>
      </c>
      <c r="AT1294" s="6">
        <v>0</v>
      </c>
      <c r="AU1294" t="s">
        <v>2973</v>
      </c>
      <c r="AV1294" t="s">
        <v>2977</v>
      </c>
    </row>
    <row r="1295" spans="1:48" x14ac:dyDescent="0.45">
      <c r="A1295" s="5" t="s">
        <v>2608</v>
      </c>
      <c r="B1295">
        <v>2220</v>
      </c>
      <c r="C1295" t="s">
        <v>2609</v>
      </c>
      <c r="D1295">
        <v>1088</v>
      </c>
      <c r="E1295" t="s">
        <v>2610</v>
      </c>
      <c r="F1295" t="s">
        <v>2739</v>
      </c>
      <c r="G1295" t="s">
        <v>2740</v>
      </c>
      <c r="H1295" t="s">
        <v>2741</v>
      </c>
      <c r="I1295" t="s">
        <v>2742</v>
      </c>
      <c r="J1295">
        <v>86.158940397341993</v>
      </c>
      <c r="K1295">
        <v>1</v>
      </c>
      <c r="L1295">
        <v>2</v>
      </c>
      <c r="M1295">
        <v>3</v>
      </c>
      <c r="N1295" s="6">
        <v>899354.03941154503</v>
      </c>
      <c r="O1295" s="6">
        <v>158523.52595888599</v>
      </c>
      <c r="P1295" s="6">
        <v>377401.100090875</v>
      </c>
      <c r="Q1295" s="6">
        <v>92024.532686786901</v>
      </c>
      <c r="R1295" s="6">
        <v>15468.3477904834</v>
      </c>
      <c r="S1295" s="6">
        <v>114400.508351595</v>
      </c>
      <c r="T1295" s="6">
        <v>830077.06</v>
      </c>
      <c r="U1295" s="6">
        <v>712694.48593857698</v>
      </c>
      <c r="V1295" s="6">
        <v>1412844.90211128</v>
      </c>
      <c r="W1295" s="6">
        <v>129926.64382729901</v>
      </c>
      <c r="X1295" s="6">
        <v>0</v>
      </c>
      <c r="Y1295" s="6">
        <v>0</v>
      </c>
      <c r="Z1295" s="6">
        <v>0</v>
      </c>
      <c r="AA1295" s="6">
        <v>0</v>
      </c>
      <c r="AB1295" s="6">
        <v>0</v>
      </c>
      <c r="AC1295" s="6">
        <v>114299.589487612</v>
      </c>
      <c r="AD1295" s="6">
        <v>100.918863983636</v>
      </c>
      <c r="AE1295" s="6">
        <v>0</v>
      </c>
      <c r="AF1295" s="6">
        <v>0</v>
      </c>
      <c r="AG1295" s="6">
        <v>0</v>
      </c>
      <c r="AH1295" s="6">
        <v>0</v>
      </c>
      <c r="AI1295" s="6">
        <v>0</v>
      </c>
      <c r="AJ1295" s="6">
        <v>1657172.0542901701</v>
      </c>
      <c r="AK1295" s="6">
        <v>19233.895480233801</v>
      </c>
      <c r="AL1295" s="6">
        <v>330.98244656580999</v>
      </c>
      <c r="AM1295" s="6">
        <v>93035.839999999997</v>
      </c>
      <c r="AN1295" s="6">
        <v>19233.895480233801</v>
      </c>
      <c r="AO1295" s="6">
        <v>19361.508025413001</v>
      </c>
      <c r="AP1295" s="6">
        <v>330.98244656580999</v>
      </c>
      <c r="AQ1295" s="6">
        <v>93035.839999999997</v>
      </c>
      <c r="AR1295" s="6">
        <v>19233.895480233801</v>
      </c>
      <c r="AS1295" s="6">
        <v>19233.895480233801</v>
      </c>
      <c r="AT1295" s="6">
        <v>0</v>
      </c>
      <c r="AU1295" t="s">
        <v>2973</v>
      </c>
      <c r="AV1295" t="s">
        <v>2973</v>
      </c>
    </row>
    <row r="1296" spans="1:48" x14ac:dyDescent="0.45">
      <c r="A1296" s="5" t="s">
        <v>2611</v>
      </c>
      <c r="B1296">
        <v>2220</v>
      </c>
      <c r="C1296" t="s">
        <v>2609</v>
      </c>
      <c r="D1296">
        <v>1089</v>
      </c>
      <c r="E1296" t="s">
        <v>2612</v>
      </c>
      <c r="F1296" t="s">
        <v>2739</v>
      </c>
      <c r="G1296" t="s">
        <v>2744</v>
      </c>
      <c r="H1296" t="s">
        <v>2745</v>
      </c>
      <c r="I1296" t="s">
        <v>2742</v>
      </c>
      <c r="J1296">
        <v>92.666414380269003</v>
      </c>
      <c r="K1296">
        <v>1</v>
      </c>
      <c r="L1296">
        <v>1</v>
      </c>
      <c r="M1296">
        <v>3</v>
      </c>
      <c r="N1296" s="6">
        <v>853237.01058845501</v>
      </c>
      <c r="O1296" s="6">
        <v>293556.08404111298</v>
      </c>
      <c r="P1296" s="6">
        <v>405905.71990912402</v>
      </c>
      <c r="Q1296" s="6">
        <v>98975.027313212893</v>
      </c>
      <c r="R1296" s="6">
        <v>19446.6522095166</v>
      </c>
      <c r="S1296" s="6">
        <v>123041.03164840399</v>
      </c>
      <c r="T1296" s="6">
        <v>904597.11</v>
      </c>
      <c r="U1296" s="6">
        <v>766523.38406142197</v>
      </c>
      <c r="V1296" s="6">
        <v>1471677.36788872</v>
      </c>
      <c r="W1296" s="6">
        <v>199443.12617270101</v>
      </c>
      <c r="X1296" s="6">
        <v>0</v>
      </c>
      <c r="Y1296" s="6">
        <v>0</v>
      </c>
      <c r="Z1296" s="6">
        <v>0</v>
      </c>
      <c r="AA1296" s="6">
        <v>0</v>
      </c>
      <c r="AB1296" s="6">
        <v>0</v>
      </c>
      <c r="AC1296" s="6">
        <v>122932.490512388</v>
      </c>
      <c r="AD1296" s="6">
        <v>108.541136016363</v>
      </c>
      <c r="AE1296" s="6">
        <v>0</v>
      </c>
      <c r="AF1296" s="6">
        <v>0</v>
      </c>
      <c r="AG1296" s="6">
        <v>0</v>
      </c>
      <c r="AH1296" s="6">
        <v>0</v>
      </c>
      <c r="AI1296" s="6">
        <v>0</v>
      </c>
      <c r="AJ1296" s="6">
        <v>1794161.52570983</v>
      </c>
      <c r="AK1296" s="6">
        <v>19361.508025413001</v>
      </c>
      <c r="AL1296" s="6">
        <v>330.98244656580999</v>
      </c>
      <c r="AM1296" s="6">
        <v>93035.839999999997</v>
      </c>
      <c r="AN1296" s="6">
        <v>19233.895480233801</v>
      </c>
      <c r="AO1296" s="6">
        <v>19361.508025413001</v>
      </c>
      <c r="AP1296" s="6">
        <v>330.98244656580999</v>
      </c>
      <c r="AQ1296" s="6">
        <v>40734.411818744898</v>
      </c>
      <c r="AR1296" s="6">
        <v>19361.508025413001</v>
      </c>
      <c r="AS1296" s="6">
        <v>19361.508025413001</v>
      </c>
      <c r="AT1296" s="6">
        <v>0</v>
      </c>
      <c r="AU1296" t="s">
        <v>2973</v>
      </c>
      <c r="AV1296" t="s">
        <v>2973</v>
      </c>
    </row>
    <row r="1297" spans="1:48" x14ac:dyDescent="0.45">
      <c r="A1297" s="5" t="s">
        <v>2613</v>
      </c>
      <c r="B1297">
        <v>1936</v>
      </c>
      <c r="C1297" t="s">
        <v>2614</v>
      </c>
      <c r="D1297">
        <v>156</v>
      </c>
      <c r="E1297" t="s">
        <v>2615</v>
      </c>
      <c r="F1297" t="s">
        <v>2739</v>
      </c>
      <c r="G1297" t="s">
        <v>2740</v>
      </c>
      <c r="H1297" t="s">
        <v>2741</v>
      </c>
      <c r="I1297" t="s">
        <v>2742</v>
      </c>
      <c r="J1297">
        <v>734.53797283029098</v>
      </c>
      <c r="K1297">
        <v>1</v>
      </c>
      <c r="L1297">
        <v>1</v>
      </c>
      <c r="M1297">
        <v>2</v>
      </c>
      <c r="N1297" s="6">
        <v>5545097.8609953597</v>
      </c>
      <c r="O1297" s="6">
        <v>1191651.88023101</v>
      </c>
      <c r="P1297" s="6">
        <v>1869667.7723721201</v>
      </c>
      <c r="Q1297" s="6">
        <v>477965.01856578101</v>
      </c>
      <c r="R1297" s="6">
        <v>222343.16060279799</v>
      </c>
      <c r="S1297" s="6">
        <v>318149.55724983499</v>
      </c>
      <c r="T1297" s="6">
        <v>5662113.1699999999</v>
      </c>
      <c r="U1297" s="6">
        <v>3644612.5227670702</v>
      </c>
      <c r="V1297" s="6">
        <v>7849331.0323087098</v>
      </c>
      <c r="W1297" s="6">
        <v>1457394.6604583601</v>
      </c>
      <c r="X1297" s="6">
        <v>0</v>
      </c>
      <c r="Y1297" s="6">
        <v>0</v>
      </c>
      <c r="Z1297" s="6">
        <v>0</v>
      </c>
      <c r="AA1297" s="6">
        <v>0</v>
      </c>
      <c r="AB1297" s="6">
        <v>0</v>
      </c>
      <c r="AC1297" s="6">
        <v>318149.55724983499</v>
      </c>
      <c r="AD1297" s="6">
        <v>0</v>
      </c>
      <c r="AE1297" s="6">
        <v>0</v>
      </c>
      <c r="AF1297" s="6">
        <v>0</v>
      </c>
      <c r="AG1297" s="6">
        <v>0</v>
      </c>
      <c r="AH1297" s="6">
        <v>0</v>
      </c>
      <c r="AI1297" s="6">
        <v>0</v>
      </c>
      <c r="AJ1297" s="6">
        <v>9624875.2500168998</v>
      </c>
      <c r="AK1297" s="6">
        <v>13103.3052150194</v>
      </c>
      <c r="AL1297" s="6">
        <v>330.98244656580999</v>
      </c>
      <c r="AM1297" s="6">
        <v>93035.839999999997</v>
      </c>
      <c r="AN1297" s="6">
        <v>5394.9043161754498</v>
      </c>
      <c r="AO1297" s="6">
        <v>14121.5825304149</v>
      </c>
      <c r="AP1297" s="6">
        <v>330.98244656580999</v>
      </c>
      <c r="AQ1297" s="6">
        <v>93035.839999999997</v>
      </c>
      <c r="AR1297" s="6">
        <v>13103.3052150194</v>
      </c>
      <c r="AS1297" s="6">
        <v>13103.3052150194</v>
      </c>
      <c r="AT1297" s="6">
        <v>0</v>
      </c>
      <c r="AU1297" t="s">
        <v>2973</v>
      </c>
      <c r="AV1297" t="s">
        <v>2973</v>
      </c>
    </row>
    <row r="1298" spans="1:48" x14ac:dyDescent="0.45">
      <c r="A1298" s="5" t="s">
        <v>2616</v>
      </c>
      <c r="B1298">
        <v>1936</v>
      </c>
      <c r="C1298" t="s">
        <v>2614</v>
      </c>
      <c r="D1298">
        <v>157</v>
      </c>
      <c r="E1298" t="s">
        <v>2617</v>
      </c>
      <c r="F1298" t="s">
        <v>2739</v>
      </c>
      <c r="G1298" t="s">
        <v>2744</v>
      </c>
      <c r="H1298" t="s">
        <v>2745</v>
      </c>
      <c r="I1298" t="s">
        <v>2742</v>
      </c>
      <c r="J1298">
        <v>273.67484526964802</v>
      </c>
      <c r="K1298">
        <v>1</v>
      </c>
      <c r="L1298">
        <v>1</v>
      </c>
      <c r="M1298">
        <v>2</v>
      </c>
      <c r="N1298" s="6">
        <v>2106729.8574875202</v>
      </c>
      <c r="O1298" s="6">
        <v>663847.20014002302</v>
      </c>
      <c r="P1298" s="6">
        <v>714686.91987775604</v>
      </c>
      <c r="Q1298" s="6">
        <v>178080.65387862001</v>
      </c>
      <c r="R1298" s="6">
        <v>82840.822837615298</v>
      </c>
      <c r="S1298" s="6">
        <v>118536.459752329</v>
      </c>
      <c r="T1298" s="6">
        <v>2388272.31</v>
      </c>
      <c r="U1298" s="6">
        <v>1357913.1442215401</v>
      </c>
      <c r="V1298" s="6">
        <v>3211575.0236921702</v>
      </c>
      <c r="W1298" s="6">
        <v>534610.43052937102</v>
      </c>
      <c r="X1298" s="6">
        <v>0</v>
      </c>
      <c r="Y1298" s="6">
        <v>0</v>
      </c>
      <c r="Z1298" s="6">
        <v>0</v>
      </c>
      <c r="AA1298" s="6">
        <v>0</v>
      </c>
      <c r="AB1298" s="6">
        <v>0</v>
      </c>
      <c r="AC1298" s="6">
        <v>118536.459752329</v>
      </c>
      <c r="AD1298" s="6">
        <v>0</v>
      </c>
      <c r="AE1298" s="6">
        <v>0</v>
      </c>
      <c r="AF1298" s="6">
        <v>0</v>
      </c>
      <c r="AG1298" s="6">
        <v>0</v>
      </c>
      <c r="AH1298" s="6">
        <v>0</v>
      </c>
      <c r="AI1298" s="6">
        <v>0</v>
      </c>
      <c r="AJ1298" s="6">
        <v>3864721.9139738702</v>
      </c>
      <c r="AK1298" s="6">
        <v>14121.5825304149</v>
      </c>
      <c r="AL1298" s="6">
        <v>330.98244656580999</v>
      </c>
      <c r="AM1298" s="6">
        <v>93035.839999999997</v>
      </c>
      <c r="AN1298" s="6">
        <v>5394.9043161754498</v>
      </c>
      <c r="AO1298" s="6">
        <v>14121.5825304149</v>
      </c>
      <c r="AP1298" s="6">
        <v>330.98244656580999</v>
      </c>
      <c r="AQ1298" s="6">
        <v>40734.411818744898</v>
      </c>
      <c r="AR1298" s="6">
        <v>14121.5825304149</v>
      </c>
      <c r="AS1298" s="6">
        <v>14121.5825304149</v>
      </c>
      <c r="AT1298" s="6">
        <v>0</v>
      </c>
      <c r="AU1298" t="s">
        <v>2973</v>
      </c>
      <c r="AV1298" t="s">
        <v>2973</v>
      </c>
    </row>
    <row r="1299" spans="1:48" x14ac:dyDescent="0.45">
      <c r="A1299" s="5" t="s">
        <v>2618</v>
      </c>
      <c r="B1299">
        <v>1936</v>
      </c>
      <c r="C1299" t="s">
        <v>2614</v>
      </c>
      <c r="D1299">
        <v>1936</v>
      </c>
      <c r="E1299" t="s">
        <v>2614</v>
      </c>
      <c r="F1299" t="s">
        <v>1</v>
      </c>
      <c r="G1299" t="s">
        <v>1</v>
      </c>
      <c r="H1299" t="s">
        <v>2743</v>
      </c>
      <c r="I1299" t="s">
        <v>2742</v>
      </c>
      <c r="J1299">
        <v>5.8342528735609998</v>
      </c>
      <c r="K1299">
        <v>0</v>
      </c>
      <c r="L1299">
        <v>0</v>
      </c>
      <c r="M1299">
        <v>2</v>
      </c>
      <c r="N1299" s="6">
        <v>8983.1415171221397</v>
      </c>
      <c r="O1299" s="6">
        <v>3077.2296289645101</v>
      </c>
      <c r="P1299" s="6">
        <v>11325.5077501245</v>
      </c>
      <c r="Q1299" s="6">
        <v>3796.3575555995399</v>
      </c>
      <c r="R1299" s="6">
        <v>1766.0165595866599</v>
      </c>
      <c r="S1299" s="6">
        <v>2526.9829978359198</v>
      </c>
      <c r="T1299" s="6">
        <v>0</v>
      </c>
      <c r="U1299" s="6">
        <v>28948.253011397301</v>
      </c>
      <c r="V1299" s="6">
        <v>19945.273999124602</v>
      </c>
      <c r="W1299" s="6">
        <v>9002.9790122727009</v>
      </c>
      <c r="X1299" s="6">
        <v>0</v>
      </c>
      <c r="Y1299" s="6">
        <v>0</v>
      </c>
      <c r="Z1299" s="6">
        <v>0</v>
      </c>
      <c r="AA1299" s="6">
        <v>0</v>
      </c>
      <c r="AB1299" s="6">
        <v>0</v>
      </c>
      <c r="AC1299" s="6">
        <v>2526.9829978359198</v>
      </c>
      <c r="AD1299" s="6">
        <v>0</v>
      </c>
      <c r="AE1299" s="6">
        <v>0</v>
      </c>
      <c r="AF1299" s="6">
        <v>0</v>
      </c>
      <c r="AG1299" s="6">
        <v>0</v>
      </c>
      <c r="AH1299" s="6">
        <v>0</v>
      </c>
      <c r="AI1299" s="6">
        <v>0</v>
      </c>
      <c r="AJ1299" s="6">
        <v>31475.2360092333</v>
      </c>
      <c r="AK1299" s="6">
        <v>5394.9043161754498</v>
      </c>
      <c r="AL1299" s="6">
        <v>330.98244656580999</v>
      </c>
      <c r="AM1299" s="6">
        <v>93035.839999999997</v>
      </c>
      <c r="AN1299" s="6">
        <v>5394.9043161754498</v>
      </c>
      <c r="AO1299" s="6">
        <v>14121.5825304149</v>
      </c>
      <c r="AP1299" s="6">
        <v>634.54287297753501</v>
      </c>
      <c r="AQ1299" s="6">
        <v>40331.279999999999</v>
      </c>
      <c r="AR1299" s="6">
        <v>5394.9043161754498</v>
      </c>
      <c r="AS1299" s="6">
        <v>5394.9043161754498</v>
      </c>
      <c r="AT1299" s="6">
        <v>0</v>
      </c>
      <c r="AU1299" t="s">
        <v>2973</v>
      </c>
      <c r="AV1299" t="s">
        <v>2977</v>
      </c>
    </row>
    <row r="1300" spans="1:48" x14ac:dyDescent="0.45">
      <c r="A1300" s="5" t="s">
        <v>2619</v>
      </c>
      <c r="B1300">
        <v>1922</v>
      </c>
      <c r="C1300" t="s">
        <v>2620</v>
      </c>
      <c r="D1300">
        <v>4773</v>
      </c>
      <c r="E1300" t="s">
        <v>2621</v>
      </c>
      <c r="F1300" t="s">
        <v>2750</v>
      </c>
      <c r="G1300" t="s">
        <v>2744</v>
      </c>
      <c r="H1300" t="s">
        <v>2741</v>
      </c>
      <c r="I1300" t="s">
        <v>2742</v>
      </c>
      <c r="J1300">
        <v>87.518300735378006</v>
      </c>
      <c r="K1300">
        <v>1</v>
      </c>
      <c r="L1300">
        <v>3</v>
      </c>
      <c r="M1300">
        <v>1</v>
      </c>
      <c r="N1300" s="6">
        <v>1807293.1588342399</v>
      </c>
      <c r="O1300" s="6">
        <v>499146.11824212503</v>
      </c>
      <c r="P1300" s="6">
        <v>386436.762996234</v>
      </c>
      <c r="Q1300" s="6">
        <v>36121.0244601667</v>
      </c>
      <c r="R1300" s="6">
        <v>30729.320516461601</v>
      </c>
      <c r="S1300" s="6">
        <v>27242.1634576904</v>
      </c>
      <c r="T1300" s="6">
        <v>2458496.08</v>
      </c>
      <c r="U1300" s="6">
        <v>301230.30504922802</v>
      </c>
      <c r="V1300" s="6">
        <v>1921816.41780041</v>
      </c>
      <c r="W1300" s="6">
        <v>829181.02920746699</v>
      </c>
      <c r="X1300" s="6">
        <v>0</v>
      </c>
      <c r="Y1300" s="6">
        <v>0</v>
      </c>
      <c r="Z1300" s="6">
        <v>0</v>
      </c>
      <c r="AA1300" s="6">
        <v>0</v>
      </c>
      <c r="AB1300" s="6">
        <v>8728.93804135555</v>
      </c>
      <c r="AC1300" s="6">
        <v>25862.565722443</v>
      </c>
      <c r="AD1300" s="6">
        <v>1379.5977352473601</v>
      </c>
      <c r="AE1300" s="6">
        <v>0</v>
      </c>
      <c r="AF1300" s="6">
        <v>0</v>
      </c>
      <c r="AG1300" s="6">
        <v>0</v>
      </c>
      <c r="AH1300" s="6">
        <v>0</v>
      </c>
      <c r="AI1300" s="6">
        <v>0</v>
      </c>
      <c r="AJ1300" s="6">
        <v>2786968.5485069202</v>
      </c>
      <c r="AK1300" s="6">
        <v>31844.4088275166</v>
      </c>
      <c r="AL1300" s="6">
        <v>330.98244656580999</v>
      </c>
      <c r="AM1300" s="6">
        <v>93035.839999999997</v>
      </c>
      <c r="AN1300" s="6">
        <v>3753.1860850462999</v>
      </c>
      <c r="AO1300" s="6">
        <v>31844.4088275166</v>
      </c>
      <c r="AP1300" s="6">
        <v>330.98244656580999</v>
      </c>
      <c r="AQ1300" s="6">
        <v>40734.411818744898</v>
      </c>
      <c r="AR1300" s="6">
        <v>12554.8865652841</v>
      </c>
      <c r="AS1300" s="6">
        <v>31844.4088275166</v>
      </c>
      <c r="AT1300" s="6">
        <v>0</v>
      </c>
      <c r="AU1300" t="s">
        <v>2973</v>
      </c>
      <c r="AV1300" t="s">
        <v>2973</v>
      </c>
    </row>
    <row r="1301" spans="1:48" x14ac:dyDescent="0.45">
      <c r="A1301" s="5" t="s">
        <v>2622</v>
      </c>
      <c r="B1301">
        <v>1922</v>
      </c>
      <c r="C1301" t="s">
        <v>2620</v>
      </c>
      <c r="D1301">
        <v>1287</v>
      </c>
      <c r="E1301" t="s">
        <v>2623</v>
      </c>
      <c r="F1301" t="s">
        <v>2739</v>
      </c>
      <c r="G1301" t="s">
        <v>2747</v>
      </c>
      <c r="H1301" t="s">
        <v>2741</v>
      </c>
      <c r="I1301" t="s">
        <v>2742</v>
      </c>
      <c r="J1301">
        <v>699.63871370382697</v>
      </c>
      <c r="K1301">
        <v>1</v>
      </c>
      <c r="L1301">
        <v>1</v>
      </c>
      <c r="M1301">
        <v>1</v>
      </c>
      <c r="N1301" s="6">
        <v>5006318.1626339601</v>
      </c>
      <c r="O1301" s="6">
        <v>1159547.3685475099</v>
      </c>
      <c r="P1301" s="6">
        <v>1450549.12222196</v>
      </c>
      <c r="Q1301" s="6">
        <v>288758.65823066398</v>
      </c>
      <c r="R1301" s="6">
        <v>200269.19686576299</v>
      </c>
      <c r="S1301" s="6">
        <v>217779.27633303899</v>
      </c>
      <c r="T1301" s="6">
        <v>5697347.5</v>
      </c>
      <c r="U1301" s="6">
        <v>2408095.0084998598</v>
      </c>
      <c r="V1301" s="6">
        <v>7254148.3274427298</v>
      </c>
      <c r="W1301" s="6">
        <v>717971.54428340495</v>
      </c>
      <c r="X1301" s="6">
        <v>0</v>
      </c>
      <c r="Y1301" s="6">
        <v>0</v>
      </c>
      <c r="Z1301" s="6">
        <v>0</v>
      </c>
      <c r="AA1301" s="6">
        <v>0</v>
      </c>
      <c r="AB1301" s="6">
        <v>133322.636773723</v>
      </c>
      <c r="AC1301" s="6">
        <v>206750.497474139</v>
      </c>
      <c r="AD1301" s="6">
        <v>11028.778858899799</v>
      </c>
      <c r="AE1301" s="6">
        <v>0</v>
      </c>
      <c r="AF1301" s="6">
        <v>0</v>
      </c>
      <c r="AG1301" s="6">
        <v>0</v>
      </c>
      <c r="AH1301" s="6">
        <v>0</v>
      </c>
      <c r="AI1301" s="6">
        <v>0</v>
      </c>
      <c r="AJ1301" s="6">
        <v>8323221.7848328901</v>
      </c>
      <c r="AK1301" s="6">
        <v>11896.4568738206</v>
      </c>
      <c r="AL1301" s="6">
        <v>330.98244656580999</v>
      </c>
      <c r="AM1301" s="6">
        <v>93035.839999999997</v>
      </c>
      <c r="AN1301" s="6">
        <v>3753.1860850462999</v>
      </c>
      <c r="AO1301" s="6">
        <v>31844.4088275166</v>
      </c>
      <c r="AP1301" s="6">
        <v>3753.1860850462999</v>
      </c>
      <c r="AQ1301" s="6">
        <v>20687.885194392002</v>
      </c>
      <c r="AR1301" s="6">
        <v>3753.1860850462999</v>
      </c>
      <c r="AS1301" s="6">
        <v>13054.826681516</v>
      </c>
      <c r="AT1301" s="6">
        <v>0</v>
      </c>
      <c r="AU1301" t="s">
        <v>2973</v>
      </c>
      <c r="AV1301" t="s">
        <v>2973</v>
      </c>
    </row>
    <row r="1302" spans="1:48" x14ac:dyDescent="0.45">
      <c r="A1302" s="5" t="s">
        <v>2624</v>
      </c>
      <c r="B1302">
        <v>1922</v>
      </c>
      <c r="C1302" t="s">
        <v>2620</v>
      </c>
      <c r="D1302">
        <v>1272</v>
      </c>
      <c r="E1302" t="s">
        <v>2625</v>
      </c>
      <c r="F1302" t="s">
        <v>2739</v>
      </c>
      <c r="G1302" t="s">
        <v>2740</v>
      </c>
      <c r="H1302" t="s">
        <v>2741</v>
      </c>
      <c r="I1302" t="s">
        <v>2742</v>
      </c>
      <c r="J1302">
        <v>547.99418604645496</v>
      </c>
      <c r="K1302">
        <v>1</v>
      </c>
      <c r="L1302">
        <v>1</v>
      </c>
      <c r="M1302">
        <v>1</v>
      </c>
      <c r="N1302" s="6">
        <v>4797945.7141767899</v>
      </c>
      <c r="O1302" s="6">
        <v>826390.74329676095</v>
      </c>
      <c r="P1302" s="6">
        <v>1004782.12345842</v>
      </c>
      <c r="Q1302" s="6">
        <v>226171.112006196</v>
      </c>
      <c r="R1302" s="6">
        <v>79804.909176899004</v>
      </c>
      <c r="S1302" s="6">
        <v>170576.29164075901</v>
      </c>
      <c r="T1302" s="6">
        <v>5048946.74</v>
      </c>
      <c r="U1302" s="6">
        <v>1886147.86211507</v>
      </c>
      <c r="V1302" s="6">
        <v>6483651.0978501597</v>
      </c>
      <c r="W1302" s="6">
        <v>424074.69530326303</v>
      </c>
      <c r="X1302" s="6">
        <v>0</v>
      </c>
      <c r="Y1302" s="6">
        <v>0</v>
      </c>
      <c r="Z1302" s="6">
        <v>0</v>
      </c>
      <c r="AA1302" s="6">
        <v>0</v>
      </c>
      <c r="AB1302" s="6">
        <v>27368.8089616416</v>
      </c>
      <c r="AC1302" s="6">
        <v>161937.96649452101</v>
      </c>
      <c r="AD1302" s="6">
        <v>8638.3251462376902</v>
      </c>
      <c r="AE1302" s="6">
        <v>0</v>
      </c>
      <c r="AF1302" s="6">
        <v>0</v>
      </c>
      <c r="AG1302" s="6">
        <v>0</v>
      </c>
      <c r="AH1302" s="6">
        <v>0</v>
      </c>
      <c r="AI1302" s="6">
        <v>0</v>
      </c>
      <c r="AJ1302" s="6">
        <v>7105670.8937558196</v>
      </c>
      <c r="AK1302" s="6">
        <v>12966.6902946913</v>
      </c>
      <c r="AL1302" s="6">
        <v>330.98244656580999</v>
      </c>
      <c r="AM1302" s="6">
        <v>93035.839999999997</v>
      </c>
      <c r="AN1302" s="6">
        <v>3753.1860850462999</v>
      </c>
      <c r="AO1302" s="6">
        <v>31844.4088275166</v>
      </c>
      <c r="AP1302" s="6">
        <v>330.98244656580999</v>
      </c>
      <c r="AQ1302" s="6">
        <v>93035.839999999997</v>
      </c>
      <c r="AR1302" s="6">
        <v>3753.1860850462999</v>
      </c>
      <c r="AS1302" s="6">
        <v>15441.0273403846</v>
      </c>
      <c r="AT1302" s="6">
        <v>0</v>
      </c>
      <c r="AU1302" t="s">
        <v>2973</v>
      </c>
      <c r="AV1302" t="s">
        <v>2973</v>
      </c>
    </row>
    <row r="1303" spans="1:48" x14ac:dyDescent="0.45">
      <c r="A1303" s="5" t="s">
        <v>2626</v>
      </c>
      <c r="B1303">
        <v>1922</v>
      </c>
      <c r="C1303" t="s">
        <v>2620</v>
      </c>
      <c r="D1303">
        <v>3455</v>
      </c>
      <c r="E1303" t="s">
        <v>2627</v>
      </c>
      <c r="F1303" t="s">
        <v>2739</v>
      </c>
      <c r="G1303" t="s">
        <v>2740</v>
      </c>
      <c r="H1303" t="s">
        <v>2741</v>
      </c>
      <c r="I1303" t="s">
        <v>2742</v>
      </c>
      <c r="J1303">
        <v>347.168604651154</v>
      </c>
      <c r="K1303">
        <v>1</v>
      </c>
      <c r="L1303">
        <v>1</v>
      </c>
      <c r="M1303">
        <v>1</v>
      </c>
      <c r="N1303" s="6">
        <v>3316521.7830447298</v>
      </c>
      <c r="O1303" s="6">
        <v>708461.80803821003</v>
      </c>
      <c r="P1303" s="6">
        <v>1019202.7963159099</v>
      </c>
      <c r="Q1303" s="6">
        <v>143285.29638986799</v>
      </c>
      <c r="R1303" s="6">
        <v>65103.704182063797</v>
      </c>
      <c r="S1303" s="6">
        <v>108064.528170871</v>
      </c>
      <c r="T1303" s="6">
        <v>4057651.54</v>
      </c>
      <c r="U1303" s="6">
        <v>1194923.84797078</v>
      </c>
      <c r="V1303" s="6">
        <v>4654000.4725850597</v>
      </c>
      <c r="W1303" s="6">
        <v>566690.84785056196</v>
      </c>
      <c r="X1303" s="6">
        <v>0</v>
      </c>
      <c r="Y1303" s="6">
        <v>0</v>
      </c>
      <c r="Z1303" s="6">
        <v>0</v>
      </c>
      <c r="AA1303" s="6">
        <v>0</v>
      </c>
      <c r="AB1303" s="6">
        <v>31884.067535160098</v>
      </c>
      <c r="AC1303" s="6">
        <v>102591.92396465001</v>
      </c>
      <c r="AD1303" s="6">
        <v>5472.6042062206998</v>
      </c>
      <c r="AE1303" s="6">
        <v>0</v>
      </c>
      <c r="AF1303" s="6">
        <v>0</v>
      </c>
      <c r="AG1303" s="6">
        <v>0</v>
      </c>
      <c r="AH1303" s="6">
        <v>0</v>
      </c>
      <c r="AI1303" s="6">
        <v>0</v>
      </c>
      <c r="AJ1303" s="6">
        <v>5360639.91614166</v>
      </c>
      <c r="AK1303" s="6">
        <v>15441.0273403846</v>
      </c>
      <c r="AL1303" s="6">
        <v>330.98244656580999</v>
      </c>
      <c r="AM1303" s="6">
        <v>93035.839999999997</v>
      </c>
      <c r="AN1303" s="6">
        <v>3753.1860850462999</v>
      </c>
      <c r="AO1303" s="6">
        <v>31844.4088275166</v>
      </c>
      <c r="AP1303" s="6">
        <v>330.98244656580999</v>
      </c>
      <c r="AQ1303" s="6">
        <v>93035.839999999997</v>
      </c>
      <c r="AR1303" s="6">
        <v>3753.1860850462999</v>
      </c>
      <c r="AS1303" s="6">
        <v>15441.0273403846</v>
      </c>
      <c r="AT1303" s="6">
        <v>0</v>
      </c>
      <c r="AU1303" t="s">
        <v>2973</v>
      </c>
      <c r="AV1303" t="s">
        <v>2973</v>
      </c>
    </row>
    <row r="1304" spans="1:48" x14ac:dyDescent="0.45">
      <c r="A1304" s="5" t="s">
        <v>2628</v>
      </c>
      <c r="B1304">
        <v>1922</v>
      </c>
      <c r="C1304" t="s">
        <v>2620</v>
      </c>
      <c r="D1304">
        <v>3913</v>
      </c>
      <c r="E1304" t="s">
        <v>2629</v>
      </c>
      <c r="F1304" t="s">
        <v>2739</v>
      </c>
      <c r="G1304" t="s">
        <v>2740</v>
      </c>
      <c r="H1304" t="s">
        <v>2741</v>
      </c>
      <c r="I1304" t="s">
        <v>2742</v>
      </c>
      <c r="J1304">
        <v>620.07558139528896</v>
      </c>
      <c r="K1304">
        <v>2</v>
      </c>
      <c r="L1304">
        <v>1</v>
      </c>
      <c r="M1304">
        <v>1</v>
      </c>
      <c r="N1304" s="6">
        <v>5767891.0705521004</v>
      </c>
      <c r="O1304" s="6">
        <v>929162.67937446095</v>
      </c>
      <c r="P1304" s="6">
        <v>1213967.0924374401</v>
      </c>
      <c r="Q1304" s="6">
        <v>255920.933730805</v>
      </c>
      <c r="R1304" s="6">
        <v>75390.3384376834</v>
      </c>
      <c r="S1304" s="6">
        <v>193013.34923730299</v>
      </c>
      <c r="T1304" s="6">
        <v>6108086.4199999999</v>
      </c>
      <c r="U1304" s="6">
        <v>2134245.6945324899</v>
      </c>
      <c r="V1304" s="6">
        <v>7599223.6722453404</v>
      </c>
      <c r="W1304" s="6">
        <v>627051.48028846295</v>
      </c>
      <c r="X1304" s="6">
        <v>0</v>
      </c>
      <c r="Y1304" s="6">
        <v>0</v>
      </c>
      <c r="Z1304" s="6">
        <v>0</v>
      </c>
      <c r="AA1304" s="6">
        <v>0</v>
      </c>
      <c r="AB1304" s="6">
        <v>16056.961998684101</v>
      </c>
      <c r="AC1304" s="6">
        <v>183238.766543317</v>
      </c>
      <c r="AD1304" s="6">
        <v>9774.5826939864801</v>
      </c>
      <c r="AE1304" s="6">
        <v>0</v>
      </c>
      <c r="AF1304" s="6">
        <v>0</v>
      </c>
      <c r="AG1304" s="6">
        <v>0</v>
      </c>
      <c r="AH1304" s="6">
        <v>0</v>
      </c>
      <c r="AI1304" s="6">
        <v>0</v>
      </c>
      <c r="AJ1304" s="6">
        <v>8435345.4637697898</v>
      </c>
      <c r="AK1304" s="6">
        <v>13603.7375392023</v>
      </c>
      <c r="AL1304" s="6">
        <v>330.98244656580999</v>
      </c>
      <c r="AM1304" s="6">
        <v>93035.839999999997</v>
      </c>
      <c r="AN1304" s="6">
        <v>3753.1860850462999</v>
      </c>
      <c r="AO1304" s="6">
        <v>31844.4088275166</v>
      </c>
      <c r="AP1304" s="6">
        <v>330.98244656580999</v>
      </c>
      <c r="AQ1304" s="6">
        <v>93035.839999999997</v>
      </c>
      <c r="AR1304" s="6">
        <v>3753.1860850462999</v>
      </c>
      <c r="AS1304" s="6">
        <v>15441.0273403846</v>
      </c>
      <c r="AT1304" s="6">
        <v>0</v>
      </c>
      <c r="AU1304" t="s">
        <v>2973</v>
      </c>
      <c r="AV1304" t="s">
        <v>2973</v>
      </c>
    </row>
    <row r="1305" spans="1:48" x14ac:dyDescent="0.45">
      <c r="A1305" s="5" t="s">
        <v>2630</v>
      </c>
      <c r="B1305">
        <v>1922</v>
      </c>
      <c r="C1305" t="s">
        <v>2620</v>
      </c>
      <c r="D1305">
        <v>45</v>
      </c>
      <c r="E1305" t="s">
        <v>2631</v>
      </c>
      <c r="F1305" t="s">
        <v>2739</v>
      </c>
      <c r="G1305" t="s">
        <v>2740</v>
      </c>
      <c r="H1305" t="s">
        <v>2741</v>
      </c>
      <c r="I1305" t="s">
        <v>2742</v>
      </c>
      <c r="J1305">
        <v>286.10278219266399</v>
      </c>
      <c r="K1305">
        <v>1</v>
      </c>
      <c r="L1305">
        <v>1</v>
      </c>
      <c r="M1305">
        <v>1</v>
      </c>
      <c r="N1305" s="6">
        <v>2823564.0334294299</v>
      </c>
      <c r="O1305" s="6">
        <v>670333.05593563302</v>
      </c>
      <c r="P1305" s="6">
        <v>590007.65271504596</v>
      </c>
      <c r="Q1305" s="6">
        <v>118081.88123933101</v>
      </c>
      <c r="R1305" s="6">
        <v>38965.846706582401</v>
      </c>
      <c r="S1305" s="6">
        <v>89056.330992517804</v>
      </c>
      <c r="T1305" s="6">
        <v>3256211.82</v>
      </c>
      <c r="U1305" s="6">
        <v>984740.65002602199</v>
      </c>
      <c r="V1305" s="6">
        <v>4039486.8281339901</v>
      </c>
      <c r="W1305" s="6">
        <v>189876.206360821</v>
      </c>
      <c r="X1305" s="6">
        <v>0</v>
      </c>
      <c r="Y1305" s="6">
        <v>0</v>
      </c>
      <c r="Z1305" s="6">
        <v>0</v>
      </c>
      <c r="AA1305" s="6">
        <v>0</v>
      </c>
      <c r="AB1305" s="6">
        <v>11589.4355312151</v>
      </c>
      <c r="AC1305" s="6">
        <v>84546.339972989095</v>
      </c>
      <c r="AD1305" s="6">
        <v>4509.9910195287002</v>
      </c>
      <c r="AE1305" s="6">
        <v>0</v>
      </c>
      <c r="AF1305" s="6">
        <v>0</v>
      </c>
      <c r="AG1305" s="6">
        <v>0</v>
      </c>
      <c r="AH1305" s="6">
        <v>0</v>
      </c>
      <c r="AI1305" s="6">
        <v>0</v>
      </c>
      <c r="AJ1305" s="6">
        <v>4330008.8010185398</v>
      </c>
      <c r="AK1305" s="6">
        <v>15134.451919110201</v>
      </c>
      <c r="AL1305" s="6">
        <v>330.98244656580999</v>
      </c>
      <c r="AM1305" s="6">
        <v>93035.839999999997</v>
      </c>
      <c r="AN1305" s="6">
        <v>3753.1860850462999</v>
      </c>
      <c r="AO1305" s="6">
        <v>31844.4088275166</v>
      </c>
      <c r="AP1305" s="6">
        <v>330.98244656580999</v>
      </c>
      <c r="AQ1305" s="6">
        <v>93035.839999999997</v>
      </c>
      <c r="AR1305" s="6">
        <v>3753.1860850462999</v>
      </c>
      <c r="AS1305" s="6">
        <v>15441.0273403846</v>
      </c>
      <c r="AT1305" s="6">
        <v>0</v>
      </c>
      <c r="AU1305" t="s">
        <v>2973</v>
      </c>
      <c r="AV1305" t="s">
        <v>2973</v>
      </c>
    </row>
    <row r="1306" spans="1:48" x14ac:dyDescent="0.45">
      <c r="A1306" s="5" t="s">
        <v>2632</v>
      </c>
      <c r="B1306">
        <v>1922</v>
      </c>
      <c r="C1306" t="s">
        <v>2620</v>
      </c>
      <c r="D1306">
        <v>46</v>
      </c>
      <c r="E1306" t="s">
        <v>2633</v>
      </c>
      <c r="F1306" t="s">
        <v>2739</v>
      </c>
      <c r="G1306" t="s">
        <v>2747</v>
      </c>
      <c r="H1306" t="s">
        <v>2741</v>
      </c>
      <c r="I1306" t="s">
        <v>2742</v>
      </c>
      <c r="J1306">
        <v>527.52600996670901</v>
      </c>
      <c r="K1306">
        <v>1</v>
      </c>
      <c r="L1306">
        <v>1</v>
      </c>
      <c r="M1306">
        <v>1</v>
      </c>
      <c r="N1306" s="6">
        <v>4189452.1298676999</v>
      </c>
      <c r="O1306" s="6">
        <v>1063657.27287598</v>
      </c>
      <c r="P1306" s="6">
        <v>1086009.69731914</v>
      </c>
      <c r="Q1306" s="6">
        <v>217723.376131308</v>
      </c>
      <c r="R1306" s="6">
        <v>165713.07142224701</v>
      </c>
      <c r="S1306" s="6">
        <v>164205.082490673</v>
      </c>
      <c r="T1306" s="6">
        <v>4906857.3499999996</v>
      </c>
      <c r="U1306" s="6">
        <v>1815698.1976163799</v>
      </c>
      <c r="V1306" s="6">
        <v>6270556.87136083</v>
      </c>
      <c r="W1306" s="6">
        <v>336763.159940838</v>
      </c>
      <c r="X1306" s="6">
        <v>0</v>
      </c>
      <c r="Y1306" s="6">
        <v>0</v>
      </c>
      <c r="Z1306" s="6">
        <v>0</v>
      </c>
      <c r="AA1306" s="6">
        <v>0</v>
      </c>
      <c r="AB1306" s="6">
        <v>115235.516314711</v>
      </c>
      <c r="AC1306" s="6">
        <v>155889.40814006299</v>
      </c>
      <c r="AD1306" s="6">
        <v>8315.6743506098992</v>
      </c>
      <c r="AE1306" s="6">
        <v>0</v>
      </c>
      <c r="AF1306" s="6">
        <v>0</v>
      </c>
      <c r="AG1306" s="6">
        <v>0</v>
      </c>
      <c r="AH1306" s="6">
        <v>0</v>
      </c>
      <c r="AI1306" s="6">
        <v>0</v>
      </c>
      <c r="AJ1306" s="6">
        <v>6886760.6301070498</v>
      </c>
      <c r="AK1306" s="6">
        <v>13054.826681516</v>
      </c>
      <c r="AL1306" s="6">
        <v>330.98244656580999</v>
      </c>
      <c r="AM1306" s="6">
        <v>93035.839999999997</v>
      </c>
      <c r="AN1306" s="6">
        <v>3753.1860850462999</v>
      </c>
      <c r="AO1306" s="6">
        <v>31844.4088275166</v>
      </c>
      <c r="AP1306" s="6">
        <v>3753.1860850462999</v>
      </c>
      <c r="AQ1306" s="6">
        <v>20687.885194392002</v>
      </c>
      <c r="AR1306" s="6">
        <v>3753.1860850462999</v>
      </c>
      <c r="AS1306" s="6">
        <v>13054.826681516</v>
      </c>
      <c r="AT1306" s="6">
        <v>0</v>
      </c>
      <c r="AU1306" t="s">
        <v>2973</v>
      </c>
      <c r="AV1306" t="s">
        <v>2973</v>
      </c>
    </row>
    <row r="1307" spans="1:48" x14ac:dyDescent="0.45">
      <c r="A1307" s="5" t="s">
        <v>2634</v>
      </c>
      <c r="B1307">
        <v>1922</v>
      </c>
      <c r="C1307" t="s">
        <v>2620</v>
      </c>
      <c r="D1307">
        <v>5056</v>
      </c>
      <c r="E1307" t="s">
        <v>2635</v>
      </c>
      <c r="F1307" t="s">
        <v>2739</v>
      </c>
      <c r="G1307" t="s">
        <v>2740</v>
      </c>
      <c r="H1307" t="s">
        <v>2741</v>
      </c>
      <c r="I1307" t="s">
        <v>2742</v>
      </c>
      <c r="J1307">
        <v>560.38372093019098</v>
      </c>
      <c r="K1307">
        <v>2</v>
      </c>
      <c r="L1307">
        <v>1</v>
      </c>
      <c r="M1307">
        <v>1</v>
      </c>
      <c r="N1307" s="6">
        <v>5094544.5591748599</v>
      </c>
      <c r="O1307" s="6">
        <v>810456.80652403401</v>
      </c>
      <c r="P1307" s="6">
        <v>1032942.56396451</v>
      </c>
      <c r="Q1307" s="6">
        <v>231284.587574451</v>
      </c>
      <c r="R1307" s="6">
        <v>84842.005866264299</v>
      </c>
      <c r="S1307" s="6">
        <v>174432.83057754699</v>
      </c>
      <c r="T1307" s="6">
        <v>5325278.97</v>
      </c>
      <c r="U1307" s="6">
        <v>1928791.5531041101</v>
      </c>
      <c r="V1307" s="6">
        <v>6799380.6991202701</v>
      </c>
      <c r="W1307" s="6">
        <v>423469.43983895698</v>
      </c>
      <c r="X1307" s="6">
        <v>0</v>
      </c>
      <c r="Y1307" s="6">
        <v>0</v>
      </c>
      <c r="Z1307" s="6">
        <v>0</v>
      </c>
      <c r="AA1307" s="6">
        <v>0</v>
      </c>
      <c r="AB1307" s="6">
        <v>31220.384144891999</v>
      </c>
      <c r="AC1307" s="6">
        <v>165599.20257324699</v>
      </c>
      <c r="AD1307" s="6">
        <v>8833.6280042999406</v>
      </c>
      <c r="AE1307" s="6">
        <v>0</v>
      </c>
      <c r="AF1307" s="6">
        <v>0</v>
      </c>
      <c r="AG1307" s="6">
        <v>0</v>
      </c>
      <c r="AH1307" s="6">
        <v>0</v>
      </c>
      <c r="AI1307" s="6">
        <v>0</v>
      </c>
      <c r="AJ1307" s="6">
        <v>7428503.3536816696</v>
      </c>
      <c r="AK1307" s="6">
        <v>13256.101268164901</v>
      </c>
      <c r="AL1307" s="6">
        <v>330.98244656580999</v>
      </c>
      <c r="AM1307" s="6">
        <v>93035.839999999997</v>
      </c>
      <c r="AN1307" s="6">
        <v>3753.1860850462999</v>
      </c>
      <c r="AO1307" s="6">
        <v>31844.4088275166</v>
      </c>
      <c r="AP1307" s="6">
        <v>330.98244656580999</v>
      </c>
      <c r="AQ1307" s="6">
        <v>93035.839999999997</v>
      </c>
      <c r="AR1307" s="6">
        <v>3753.1860850462999</v>
      </c>
      <c r="AS1307" s="6">
        <v>15441.0273403846</v>
      </c>
      <c r="AT1307" s="6">
        <v>0</v>
      </c>
      <c r="AU1307" t="s">
        <v>2973</v>
      </c>
      <c r="AV1307" t="s">
        <v>2973</v>
      </c>
    </row>
    <row r="1308" spans="1:48" x14ac:dyDescent="0.45">
      <c r="A1308" s="5" t="s">
        <v>2826</v>
      </c>
      <c r="B1308">
        <v>1922</v>
      </c>
      <c r="C1308" t="s">
        <v>2620</v>
      </c>
      <c r="D1308">
        <v>5377</v>
      </c>
      <c r="E1308" t="s">
        <v>2827</v>
      </c>
      <c r="F1308" t="s">
        <v>2739</v>
      </c>
      <c r="G1308" t="s">
        <v>2747</v>
      </c>
      <c r="H1308" t="s">
        <v>2741</v>
      </c>
      <c r="I1308" t="s">
        <v>2742</v>
      </c>
      <c r="J1308">
        <v>414.756382591251</v>
      </c>
      <c r="K1308">
        <v>1</v>
      </c>
      <c r="L1308">
        <v>1</v>
      </c>
      <c r="M1308">
        <v>1</v>
      </c>
      <c r="N1308" s="6">
        <v>381299.11983471102</v>
      </c>
      <c r="O1308" s="6">
        <v>318402.02392354899</v>
      </c>
      <c r="P1308" s="6">
        <v>515460.790694981</v>
      </c>
      <c r="Q1308" s="6">
        <v>171180.48813455499</v>
      </c>
      <c r="R1308" s="6">
        <v>41212.621320554397</v>
      </c>
      <c r="S1308" s="6">
        <v>129102.83991727199</v>
      </c>
      <c r="T1308" s="6">
        <v>0</v>
      </c>
      <c r="U1308" s="6">
        <v>1427555.0439083499</v>
      </c>
      <c r="V1308" s="6">
        <v>1264740.49097805</v>
      </c>
      <c r="W1308" s="6">
        <v>161288.86223098799</v>
      </c>
      <c r="X1308" s="6">
        <v>0</v>
      </c>
      <c r="Y1308" s="6">
        <v>0</v>
      </c>
      <c r="Z1308" s="6">
        <v>0</v>
      </c>
      <c r="AA1308" s="6">
        <v>0</v>
      </c>
      <c r="AB1308" s="6">
        <v>1525.69069930722</v>
      </c>
      <c r="AC1308" s="6">
        <v>122564.813455443</v>
      </c>
      <c r="AD1308" s="6">
        <v>6538.0264618297597</v>
      </c>
      <c r="AE1308" s="6">
        <v>0</v>
      </c>
      <c r="AF1308" s="6">
        <v>0</v>
      </c>
      <c r="AG1308" s="6">
        <v>0</v>
      </c>
      <c r="AH1308" s="6">
        <v>0</v>
      </c>
      <c r="AI1308" s="6">
        <v>0</v>
      </c>
      <c r="AJ1308" s="6">
        <v>1556657.8838256199</v>
      </c>
      <c r="AK1308" s="6">
        <v>3753.1860850462999</v>
      </c>
      <c r="AL1308" s="6">
        <v>330.98244656580999</v>
      </c>
      <c r="AM1308" s="6">
        <v>93035.839999999997</v>
      </c>
      <c r="AN1308" s="6">
        <v>3753.1860850462999</v>
      </c>
      <c r="AO1308" s="6">
        <v>31844.4088275166</v>
      </c>
      <c r="AP1308" s="6">
        <v>3753.1860850462999</v>
      </c>
      <c r="AQ1308" s="6">
        <v>20687.885194392002</v>
      </c>
      <c r="AR1308" s="6">
        <v>3753.1860850462999</v>
      </c>
      <c r="AS1308" s="6">
        <v>13054.826681516</v>
      </c>
      <c r="AT1308" s="6">
        <v>0</v>
      </c>
      <c r="AU1308" t="s">
        <v>2973</v>
      </c>
      <c r="AV1308" t="s">
        <v>2976</v>
      </c>
    </row>
    <row r="1309" spans="1:48" x14ac:dyDescent="0.45">
      <c r="A1309" s="5" t="s">
        <v>2636</v>
      </c>
      <c r="B1309">
        <v>1922</v>
      </c>
      <c r="C1309" t="s">
        <v>2620</v>
      </c>
      <c r="D1309">
        <v>2787</v>
      </c>
      <c r="E1309" t="s">
        <v>2637</v>
      </c>
      <c r="F1309" t="s">
        <v>2739</v>
      </c>
      <c r="G1309" t="s">
        <v>2747</v>
      </c>
      <c r="H1309" t="s">
        <v>2741</v>
      </c>
      <c r="I1309" t="s">
        <v>2742</v>
      </c>
      <c r="J1309">
        <v>735.67441860461395</v>
      </c>
      <c r="K1309">
        <v>1</v>
      </c>
      <c r="L1309">
        <v>1</v>
      </c>
      <c r="M1309">
        <v>1</v>
      </c>
      <c r="N1309" s="6">
        <v>5462438.1658013696</v>
      </c>
      <c r="O1309" s="6">
        <v>1367173.61871171</v>
      </c>
      <c r="P1309" s="6">
        <v>1365405.53167364</v>
      </c>
      <c r="Q1309" s="6">
        <v>303631.50844854402</v>
      </c>
      <c r="R1309" s="6">
        <v>133098.91538495</v>
      </c>
      <c r="S1309" s="6">
        <v>228996.25101115301</v>
      </c>
      <c r="T1309" s="6">
        <v>6099621</v>
      </c>
      <c r="U1309" s="6">
        <v>2532126.7400202099</v>
      </c>
      <c r="V1309" s="6">
        <v>7959987.1848885398</v>
      </c>
      <c r="W1309" s="6">
        <v>609056.36020545405</v>
      </c>
      <c r="X1309" s="6">
        <v>0</v>
      </c>
      <c r="Y1309" s="6">
        <v>0</v>
      </c>
      <c r="Z1309" s="6">
        <v>0</v>
      </c>
      <c r="AA1309" s="6">
        <v>0</v>
      </c>
      <c r="AB1309" s="6">
        <v>62704.194926213997</v>
      </c>
      <c r="AC1309" s="6">
        <v>217399.422082137</v>
      </c>
      <c r="AD1309" s="6">
        <v>11596.828929015899</v>
      </c>
      <c r="AE1309" s="6">
        <v>0</v>
      </c>
      <c r="AF1309" s="6">
        <v>0</v>
      </c>
      <c r="AG1309" s="6">
        <v>0</v>
      </c>
      <c r="AH1309" s="6">
        <v>0</v>
      </c>
      <c r="AI1309" s="6">
        <v>0</v>
      </c>
      <c r="AJ1309" s="6">
        <v>8860743.9910313692</v>
      </c>
      <c r="AK1309" s="6">
        <v>12044.3823612053</v>
      </c>
      <c r="AL1309" s="6">
        <v>330.98244656580999</v>
      </c>
      <c r="AM1309" s="6">
        <v>93035.839999999997</v>
      </c>
      <c r="AN1309" s="6">
        <v>3753.1860850462999</v>
      </c>
      <c r="AO1309" s="6">
        <v>31844.4088275166</v>
      </c>
      <c r="AP1309" s="6">
        <v>3753.1860850462999</v>
      </c>
      <c r="AQ1309" s="6">
        <v>20687.885194392002</v>
      </c>
      <c r="AR1309" s="6">
        <v>3753.1860850462999</v>
      </c>
      <c r="AS1309" s="6">
        <v>13054.826681516</v>
      </c>
      <c r="AT1309" s="6">
        <v>0</v>
      </c>
      <c r="AU1309" t="s">
        <v>2973</v>
      </c>
      <c r="AV1309" t="s">
        <v>2973</v>
      </c>
    </row>
    <row r="1310" spans="1:48" x14ac:dyDescent="0.45">
      <c r="A1310" s="5" t="s">
        <v>2638</v>
      </c>
      <c r="B1310">
        <v>1922</v>
      </c>
      <c r="C1310" t="s">
        <v>2620</v>
      </c>
      <c r="D1310">
        <v>47</v>
      </c>
      <c r="E1310" t="s">
        <v>2639</v>
      </c>
      <c r="F1310" t="s">
        <v>2739</v>
      </c>
      <c r="G1310" t="s">
        <v>2740</v>
      </c>
      <c r="H1310" t="s">
        <v>2741</v>
      </c>
      <c r="I1310" t="s">
        <v>2742</v>
      </c>
      <c r="J1310">
        <v>431.14534883718801</v>
      </c>
      <c r="K1310">
        <v>1</v>
      </c>
      <c r="L1310">
        <v>1</v>
      </c>
      <c r="M1310">
        <v>1</v>
      </c>
      <c r="N1310" s="6">
        <v>3532115.5130080199</v>
      </c>
      <c r="O1310" s="6">
        <v>732919.548401671</v>
      </c>
      <c r="P1310" s="6">
        <v>750037.55952552904</v>
      </c>
      <c r="Q1310" s="6">
        <v>177944.630555879</v>
      </c>
      <c r="R1310" s="6">
        <v>79980.124914662505</v>
      </c>
      <c r="S1310" s="6">
        <v>134204.29748240899</v>
      </c>
      <c r="T1310" s="6">
        <v>3789032.95</v>
      </c>
      <c r="U1310" s="6">
        <v>1483964.42640576</v>
      </c>
      <c r="V1310" s="6">
        <v>5006737.6183169195</v>
      </c>
      <c r="W1310" s="6">
        <v>227534.78020789201</v>
      </c>
      <c r="X1310" s="6">
        <v>0</v>
      </c>
      <c r="Y1310" s="6">
        <v>0</v>
      </c>
      <c r="Z1310" s="6">
        <v>0</v>
      </c>
      <c r="AA1310" s="6">
        <v>0</v>
      </c>
      <c r="AB1310" s="6">
        <v>38724.977880945</v>
      </c>
      <c r="AC1310" s="6">
        <v>127407.922989071</v>
      </c>
      <c r="AD1310" s="6">
        <v>6796.3744933381004</v>
      </c>
      <c r="AE1310" s="6">
        <v>0</v>
      </c>
      <c r="AF1310" s="6">
        <v>0</v>
      </c>
      <c r="AG1310" s="6">
        <v>0</v>
      </c>
      <c r="AH1310" s="6">
        <v>0</v>
      </c>
      <c r="AI1310" s="6">
        <v>0</v>
      </c>
      <c r="AJ1310" s="6">
        <v>5407201.6738881702</v>
      </c>
      <c r="AK1310" s="6">
        <v>12541.4820975607</v>
      </c>
      <c r="AL1310" s="6">
        <v>330.98244656580999</v>
      </c>
      <c r="AM1310" s="6">
        <v>93035.839999999997</v>
      </c>
      <c r="AN1310" s="6">
        <v>3753.1860850462999</v>
      </c>
      <c r="AO1310" s="6">
        <v>31844.4088275166</v>
      </c>
      <c r="AP1310" s="6">
        <v>330.98244656580999</v>
      </c>
      <c r="AQ1310" s="6">
        <v>93035.839999999997</v>
      </c>
      <c r="AR1310" s="6">
        <v>3753.1860850462999</v>
      </c>
      <c r="AS1310" s="6">
        <v>15441.0273403846</v>
      </c>
      <c r="AT1310" s="6">
        <v>0</v>
      </c>
      <c r="AU1310" t="s">
        <v>2973</v>
      </c>
      <c r="AV1310" t="s">
        <v>2973</v>
      </c>
    </row>
    <row r="1311" spans="1:48" x14ac:dyDescent="0.45">
      <c r="A1311" s="5" t="s">
        <v>2640</v>
      </c>
      <c r="B1311">
        <v>1922</v>
      </c>
      <c r="C1311" t="s">
        <v>2620</v>
      </c>
      <c r="D1311">
        <v>48</v>
      </c>
      <c r="E1311" t="s">
        <v>2641</v>
      </c>
      <c r="F1311" t="s">
        <v>2739</v>
      </c>
      <c r="G1311" t="s">
        <v>2740</v>
      </c>
      <c r="H1311" t="s">
        <v>2741</v>
      </c>
      <c r="I1311" t="s">
        <v>2742</v>
      </c>
      <c r="J1311">
        <v>344.034883720908</v>
      </c>
      <c r="K1311">
        <v>1</v>
      </c>
      <c r="L1311">
        <v>1</v>
      </c>
      <c r="M1311">
        <v>1</v>
      </c>
      <c r="N1311" s="6">
        <v>2973466.1908091698</v>
      </c>
      <c r="O1311" s="6">
        <v>762693.02922098001</v>
      </c>
      <c r="P1311" s="6">
        <v>695126.86616911704</v>
      </c>
      <c r="Q1311" s="6">
        <v>141991.930209062</v>
      </c>
      <c r="R1311" s="6">
        <v>49096.3193319606</v>
      </c>
      <c r="S1311" s="6">
        <v>107089.08261154</v>
      </c>
      <c r="T1311" s="6">
        <v>3438236.48</v>
      </c>
      <c r="U1311" s="6">
        <v>1184137.8557402999</v>
      </c>
      <c r="V1311" s="6">
        <v>4351002.3971253503</v>
      </c>
      <c r="W1311" s="6">
        <v>255195.39854284399</v>
      </c>
      <c r="X1311" s="6">
        <v>0</v>
      </c>
      <c r="Y1311" s="6">
        <v>0</v>
      </c>
      <c r="Z1311" s="6">
        <v>0</v>
      </c>
      <c r="AA1311" s="6">
        <v>0</v>
      </c>
      <c r="AB1311" s="6">
        <v>16176.540072104301</v>
      </c>
      <c r="AC1311" s="6">
        <v>101665.87692268001</v>
      </c>
      <c r="AD1311" s="6">
        <v>5423.20568885989</v>
      </c>
      <c r="AE1311" s="6">
        <v>0</v>
      </c>
      <c r="AF1311" s="6">
        <v>0</v>
      </c>
      <c r="AG1311" s="6">
        <v>0</v>
      </c>
      <c r="AH1311" s="6">
        <v>0</v>
      </c>
      <c r="AI1311" s="6">
        <v>0</v>
      </c>
      <c r="AJ1311" s="6">
        <v>4729463.41835183</v>
      </c>
      <c r="AK1311" s="6">
        <v>13747.0461343929</v>
      </c>
      <c r="AL1311" s="6">
        <v>330.98244656580999</v>
      </c>
      <c r="AM1311" s="6">
        <v>93035.839999999997</v>
      </c>
      <c r="AN1311" s="6">
        <v>3753.1860850462999</v>
      </c>
      <c r="AO1311" s="6">
        <v>31844.4088275166</v>
      </c>
      <c r="AP1311" s="6">
        <v>330.98244656580999</v>
      </c>
      <c r="AQ1311" s="6">
        <v>93035.839999999997</v>
      </c>
      <c r="AR1311" s="6">
        <v>3753.1860850462999</v>
      </c>
      <c r="AS1311" s="6">
        <v>15441.0273403846</v>
      </c>
      <c r="AT1311" s="6">
        <v>0</v>
      </c>
      <c r="AU1311" t="s">
        <v>2973</v>
      </c>
      <c r="AV1311" t="s">
        <v>2973</v>
      </c>
    </row>
    <row r="1312" spans="1:48" x14ac:dyDescent="0.45">
      <c r="A1312" s="5" t="s">
        <v>2642</v>
      </c>
      <c r="B1312">
        <v>1922</v>
      </c>
      <c r="C1312" t="s">
        <v>2620</v>
      </c>
      <c r="D1312">
        <v>3452</v>
      </c>
      <c r="E1312" t="s">
        <v>2643</v>
      </c>
      <c r="F1312" t="s">
        <v>3</v>
      </c>
      <c r="G1312" t="s">
        <v>2740</v>
      </c>
      <c r="H1312" t="s">
        <v>2741</v>
      </c>
      <c r="I1312" t="s">
        <v>2742</v>
      </c>
      <c r="J1312">
        <v>111.672388355104</v>
      </c>
      <c r="K1312">
        <v>1</v>
      </c>
      <c r="L1312">
        <v>1</v>
      </c>
      <c r="M1312">
        <v>1</v>
      </c>
      <c r="N1312" s="6">
        <v>102664.082282744</v>
      </c>
      <c r="O1312" s="6">
        <v>85729.155622623497</v>
      </c>
      <c r="P1312" s="6">
        <v>142013.363846886</v>
      </c>
      <c r="Q1312" s="6">
        <v>46090.029598453802</v>
      </c>
      <c r="R1312" s="6">
        <v>11096.4220116088</v>
      </c>
      <c r="S1312" s="6">
        <v>34760.700695947802</v>
      </c>
      <c r="T1312" s="6">
        <v>3226.5</v>
      </c>
      <c r="U1312" s="6">
        <v>384366.55336231599</v>
      </c>
      <c r="V1312" s="6">
        <v>343755.53633340198</v>
      </c>
      <c r="W1312" s="6">
        <v>43426.727631971</v>
      </c>
      <c r="X1312" s="6">
        <v>0</v>
      </c>
      <c r="Y1312" s="6">
        <v>0</v>
      </c>
      <c r="Z1312" s="6">
        <v>0</v>
      </c>
      <c r="AA1312" s="6">
        <v>0</v>
      </c>
      <c r="AB1312" s="6">
        <v>410.78939694272702</v>
      </c>
      <c r="AC1312" s="6">
        <v>33000.349172096903</v>
      </c>
      <c r="AD1312" s="6">
        <v>1760.3515238509101</v>
      </c>
      <c r="AE1312" s="6">
        <v>0</v>
      </c>
      <c r="AF1312" s="6">
        <v>0</v>
      </c>
      <c r="AG1312" s="6">
        <v>0</v>
      </c>
      <c r="AH1312" s="6">
        <v>0</v>
      </c>
      <c r="AI1312" s="6">
        <v>0</v>
      </c>
      <c r="AJ1312" s="6">
        <v>422353.75405826297</v>
      </c>
      <c r="AK1312" s="6">
        <v>3782.0786344716798</v>
      </c>
      <c r="AL1312" s="6">
        <v>330.98244656580999</v>
      </c>
      <c r="AM1312" s="6">
        <v>93035.839999999997</v>
      </c>
      <c r="AN1312" s="6">
        <v>3753.1860850462999</v>
      </c>
      <c r="AO1312" s="6">
        <v>31844.4088275166</v>
      </c>
      <c r="AP1312" s="6">
        <v>330.98244656580999</v>
      </c>
      <c r="AQ1312" s="6">
        <v>93035.839999999997</v>
      </c>
      <c r="AR1312" s="6">
        <v>3753.1860850462999</v>
      </c>
      <c r="AS1312" s="6">
        <v>15441.0273403846</v>
      </c>
      <c r="AT1312" s="6">
        <v>0</v>
      </c>
      <c r="AU1312" t="s">
        <v>2973</v>
      </c>
      <c r="AV1312" t="s">
        <v>2973</v>
      </c>
    </row>
    <row r="1313" spans="1:48" x14ac:dyDescent="0.45">
      <c r="A1313" s="5" t="s">
        <v>2644</v>
      </c>
      <c r="B1313">
        <v>1922</v>
      </c>
      <c r="C1313" t="s">
        <v>2620</v>
      </c>
      <c r="D1313">
        <v>5057</v>
      </c>
      <c r="E1313" t="s">
        <v>2645</v>
      </c>
      <c r="F1313" t="s">
        <v>2739</v>
      </c>
      <c r="G1313" t="s">
        <v>2740</v>
      </c>
      <c r="H1313" t="s">
        <v>2741</v>
      </c>
      <c r="I1313" t="s">
        <v>2742</v>
      </c>
      <c r="J1313">
        <v>579.17441860462202</v>
      </c>
      <c r="K1313">
        <v>1</v>
      </c>
      <c r="L1313">
        <v>1</v>
      </c>
      <c r="M1313">
        <v>1</v>
      </c>
      <c r="N1313" s="6">
        <v>532454.00267260696</v>
      </c>
      <c r="O1313" s="6">
        <v>444623.19286402699</v>
      </c>
      <c r="P1313" s="6">
        <v>719800.14363868698</v>
      </c>
      <c r="Q1313" s="6">
        <v>239039.98552686299</v>
      </c>
      <c r="R1313" s="6">
        <v>57550.159549993201</v>
      </c>
      <c r="S1313" s="6">
        <v>180281.88446947199</v>
      </c>
      <c r="T1313" s="6">
        <v>0</v>
      </c>
      <c r="U1313" s="6">
        <v>1993467.48425218</v>
      </c>
      <c r="V1313" s="6">
        <v>1766109.86423284</v>
      </c>
      <c r="W1313" s="6">
        <v>225227.113869625</v>
      </c>
      <c r="X1313" s="6">
        <v>0</v>
      </c>
      <c r="Y1313" s="6">
        <v>0</v>
      </c>
      <c r="Z1313" s="6">
        <v>0</v>
      </c>
      <c r="AA1313" s="6">
        <v>0</v>
      </c>
      <c r="AB1313" s="6">
        <v>2130.5061497090501</v>
      </c>
      <c r="AC1313" s="6">
        <v>171152.048657918</v>
      </c>
      <c r="AD1313" s="6">
        <v>9129.8358115532501</v>
      </c>
      <c r="AE1313" s="6">
        <v>0</v>
      </c>
      <c r="AF1313" s="6">
        <v>0</v>
      </c>
      <c r="AG1313" s="6">
        <v>0</v>
      </c>
      <c r="AH1313" s="6">
        <v>0</v>
      </c>
      <c r="AI1313" s="6">
        <v>0</v>
      </c>
      <c r="AJ1313" s="6">
        <v>2173749.36872165</v>
      </c>
      <c r="AK1313" s="6">
        <v>3753.1860850462999</v>
      </c>
      <c r="AL1313" s="6">
        <v>330.98244656580999</v>
      </c>
      <c r="AM1313" s="6">
        <v>93035.839999999997</v>
      </c>
      <c r="AN1313" s="6">
        <v>3753.1860850462999</v>
      </c>
      <c r="AO1313" s="6">
        <v>31844.4088275166</v>
      </c>
      <c r="AP1313" s="6">
        <v>330.98244656580999</v>
      </c>
      <c r="AQ1313" s="6">
        <v>93035.839999999997</v>
      </c>
      <c r="AR1313" s="6">
        <v>3753.1860850462999</v>
      </c>
      <c r="AS1313" s="6">
        <v>15441.0273403846</v>
      </c>
      <c r="AT1313" s="6">
        <v>0</v>
      </c>
      <c r="AU1313" t="s">
        <v>2973</v>
      </c>
      <c r="AV1313" t="s">
        <v>2976</v>
      </c>
    </row>
    <row r="1314" spans="1:48" x14ac:dyDescent="0.45">
      <c r="A1314" s="5" t="s">
        <v>2646</v>
      </c>
      <c r="B1314">
        <v>1922</v>
      </c>
      <c r="C1314" t="s">
        <v>2620</v>
      </c>
      <c r="D1314">
        <v>51</v>
      </c>
      <c r="E1314" t="s">
        <v>2647</v>
      </c>
      <c r="F1314" t="s">
        <v>2739</v>
      </c>
      <c r="G1314" t="s">
        <v>2744</v>
      </c>
      <c r="H1314" t="s">
        <v>2741</v>
      </c>
      <c r="I1314" t="s">
        <v>2742</v>
      </c>
      <c r="J1314">
        <v>1832.8124078091901</v>
      </c>
      <c r="K1314">
        <v>1</v>
      </c>
      <c r="L1314">
        <v>1</v>
      </c>
      <c r="M1314">
        <v>1</v>
      </c>
      <c r="N1314" s="6">
        <v>12112993.304799199</v>
      </c>
      <c r="O1314" s="6">
        <v>4586625.5984810703</v>
      </c>
      <c r="P1314" s="6">
        <v>3500531.5570564498</v>
      </c>
      <c r="Q1314" s="6">
        <v>781886.95862719603</v>
      </c>
      <c r="R1314" s="6">
        <v>1458207.7764224999</v>
      </c>
      <c r="S1314" s="6">
        <v>570506.68010328198</v>
      </c>
      <c r="T1314" s="6">
        <v>16131865.85</v>
      </c>
      <c r="U1314" s="6">
        <v>6308379.3453863896</v>
      </c>
      <c r="V1314" s="6">
        <v>19725919.664164498</v>
      </c>
      <c r="W1314" s="6">
        <v>1448957.48947997</v>
      </c>
      <c r="X1314" s="6">
        <v>0</v>
      </c>
      <c r="Y1314" s="6">
        <v>0</v>
      </c>
      <c r="Z1314" s="6">
        <v>0</v>
      </c>
      <c r="AA1314" s="6">
        <v>0</v>
      </c>
      <c r="AB1314" s="6">
        <v>1265368.04174195</v>
      </c>
      <c r="AC1314" s="6">
        <v>541615.07885302301</v>
      </c>
      <c r="AD1314" s="6">
        <v>28891.601250259399</v>
      </c>
      <c r="AE1314" s="6">
        <v>0</v>
      </c>
      <c r="AF1314" s="6">
        <v>0</v>
      </c>
      <c r="AG1314" s="6">
        <v>0</v>
      </c>
      <c r="AH1314" s="6">
        <v>0</v>
      </c>
      <c r="AI1314" s="6">
        <v>0</v>
      </c>
      <c r="AJ1314" s="6">
        <v>23010751.875489701</v>
      </c>
      <c r="AK1314" s="6">
        <v>12554.8865652841</v>
      </c>
      <c r="AL1314" s="6">
        <v>330.98244656580999</v>
      </c>
      <c r="AM1314" s="6">
        <v>93035.839999999997</v>
      </c>
      <c r="AN1314" s="6">
        <v>3753.1860850462999</v>
      </c>
      <c r="AO1314" s="6">
        <v>31844.4088275166</v>
      </c>
      <c r="AP1314" s="6">
        <v>330.98244656580999</v>
      </c>
      <c r="AQ1314" s="6">
        <v>40734.411818744898</v>
      </c>
      <c r="AR1314" s="6">
        <v>12554.8865652841</v>
      </c>
      <c r="AS1314" s="6">
        <v>31844.4088275166</v>
      </c>
      <c r="AT1314" s="6">
        <v>0</v>
      </c>
      <c r="AU1314" t="s">
        <v>2973</v>
      </c>
      <c r="AV1314" t="s">
        <v>2973</v>
      </c>
    </row>
    <row r="1315" spans="1:48" x14ac:dyDescent="0.45">
      <c r="A1315" s="5" t="s">
        <v>2648</v>
      </c>
      <c r="B1315">
        <v>1922</v>
      </c>
      <c r="C1315" t="s">
        <v>2620</v>
      </c>
      <c r="D1315">
        <v>1922</v>
      </c>
      <c r="E1315" t="s">
        <v>2620</v>
      </c>
      <c r="F1315" t="s">
        <v>1</v>
      </c>
      <c r="G1315" t="s">
        <v>1</v>
      </c>
      <c r="H1315" t="s">
        <v>2743</v>
      </c>
      <c r="I1315" t="s">
        <v>2742</v>
      </c>
      <c r="J1315">
        <v>27.9718639929606</v>
      </c>
      <c r="K1315">
        <v>1</v>
      </c>
      <c r="L1315">
        <v>2</v>
      </c>
      <c r="M1315">
        <v>1</v>
      </c>
      <c r="N1315" s="6">
        <v>25715.450245797201</v>
      </c>
      <c r="O1315" s="6">
        <v>21473.564921724701</v>
      </c>
      <c r="P1315" s="6">
        <v>34763.537672266597</v>
      </c>
      <c r="Q1315" s="6">
        <v>11544.6983659014</v>
      </c>
      <c r="R1315" s="6">
        <v>2779.4480971448602</v>
      </c>
      <c r="S1315" s="6">
        <v>8706.9114083528402</v>
      </c>
      <c r="T1315" s="6">
        <v>0</v>
      </c>
      <c r="U1315" s="6">
        <v>96276.699302834706</v>
      </c>
      <c r="V1315" s="6">
        <v>85296.213596532398</v>
      </c>
      <c r="W1315" s="6">
        <v>10877.590574298099</v>
      </c>
      <c r="X1315" s="6">
        <v>0</v>
      </c>
      <c r="Y1315" s="6">
        <v>0</v>
      </c>
      <c r="Z1315" s="6">
        <v>0</v>
      </c>
      <c r="AA1315" s="6">
        <v>0</v>
      </c>
      <c r="AB1315" s="6">
        <v>102.895132004285</v>
      </c>
      <c r="AC1315" s="6">
        <v>8265.9759709519603</v>
      </c>
      <c r="AD1315" s="6">
        <v>440.93543740087898</v>
      </c>
      <c r="AE1315" s="6">
        <v>0</v>
      </c>
      <c r="AF1315" s="6">
        <v>0</v>
      </c>
      <c r="AG1315" s="6">
        <v>0</v>
      </c>
      <c r="AH1315" s="6">
        <v>0</v>
      </c>
      <c r="AI1315" s="6">
        <v>0</v>
      </c>
      <c r="AJ1315" s="6">
        <v>104983.610711188</v>
      </c>
      <c r="AK1315" s="6">
        <v>3753.1860850463099</v>
      </c>
      <c r="AL1315" s="6">
        <v>330.98244656580999</v>
      </c>
      <c r="AM1315" s="6">
        <v>93035.839999999997</v>
      </c>
      <c r="AN1315" s="6">
        <v>3753.1860850462999</v>
      </c>
      <c r="AO1315" s="6">
        <v>31844.4088275166</v>
      </c>
      <c r="AP1315" s="6">
        <v>634.54287297753501</v>
      </c>
      <c r="AQ1315" s="6">
        <v>40331.279999999999</v>
      </c>
      <c r="AR1315" s="6">
        <v>3753.1860850463099</v>
      </c>
      <c r="AS1315" s="6">
        <v>3753.1860850463099</v>
      </c>
      <c r="AT1315" s="6">
        <v>0</v>
      </c>
      <c r="AU1315" t="s">
        <v>2973</v>
      </c>
      <c r="AV1315" t="s">
        <v>2977</v>
      </c>
    </row>
    <row r="1316" spans="1:48" x14ac:dyDescent="0.45">
      <c r="A1316" s="5" t="s">
        <v>2649</v>
      </c>
      <c r="B1316">
        <v>1922</v>
      </c>
      <c r="C1316" t="s">
        <v>2620</v>
      </c>
      <c r="D1316">
        <v>1286</v>
      </c>
      <c r="E1316" t="s">
        <v>2650</v>
      </c>
      <c r="F1316" t="s">
        <v>2739</v>
      </c>
      <c r="G1316" t="s">
        <v>2740</v>
      </c>
      <c r="H1316" t="s">
        <v>2741</v>
      </c>
      <c r="I1316" t="s">
        <v>2742</v>
      </c>
      <c r="J1316">
        <v>521.41279069766199</v>
      </c>
      <c r="K1316">
        <v>1</v>
      </c>
      <c r="L1316">
        <v>1</v>
      </c>
      <c r="M1316">
        <v>1</v>
      </c>
      <c r="N1316" s="6">
        <v>4308458.4072734704</v>
      </c>
      <c r="O1316" s="6">
        <v>853750.16952624696</v>
      </c>
      <c r="P1316" s="6">
        <v>918618.84544168797</v>
      </c>
      <c r="Q1316" s="6">
        <v>215200.29534829201</v>
      </c>
      <c r="R1316" s="6">
        <v>121410.62618123399</v>
      </c>
      <c r="S1316" s="6">
        <v>162302.19684069199</v>
      </c>
      <c r="T1316" s="6">
        <v>4622781.3099999996</v>
      </c>
      <c r="U1316" s="6">
        <v>1794657.03377093</v>
      </c>
      <c r="V1316" s="6">
        <v>6101034.4902591696</v>
      </c>
      <c r="W1316" s="6">
        <v>244885.82481188301</v>
      </c>
      <c r="X1316" s="6">
        <v>0</v>
      </c>
      <c r="Y1316" s="6">
        <v>0</v>
      </c>
      <c r="Z1316" s="6">
        <v>0</v>
      </c>
      <c r="AA1316" s="6">
        <v>0</v>
      </c>
      <c r="AB1316" s="6">
        <v>71518.028699877104</v>
      </c>
      <c r="AC1316" s="6">
        <v>154082.88843169401</v>
      </c>
      <c r="AD1316" s="6">
        <v>8219.3084089979002</v>
      </c>
      <c r="AE1316" s="6">
        <v>0</v>
      </c>
      <c r="AF1316" s="6">
        <v>0</v>
      </c>
      <c r="AG1316" s="6">
        <v>0</v>
      </c>
      <c r="AH1316" s="6">
        <v>0</v>
      </c>
      <c r="AI1316" s="6">
        <v>0</v>
      </c>
      <c r="AJ1316" s="6">
        <v>6579740.5406116303</v>
      </c>
      <c r="AK1316" s="6">
        <v>12619.062397391101</v>
      </c>
      <c r="AL1316" s="6">
        <v>330.98244656580999</v>
      </c>
      <c r="AM1316" s="6">
        <v>93035.839999999997</v>
      </c>
      <c r="AN1316" s="6">
        <v>3753.1860850462999</v>
      </c>
      <c r="AO1316" s="6">
        <v>31844.4088275166</v>
      </c>
      <c r="AP1316" s="6">
        <v>330.98244656580999</v>
      </c>
      <c r="AQ1316" s="6">
        <v>93035.839999999997</v>
      </c>
      <c r="AR1316" s="6">
        <v>3753.1860850462999</v>
      </c>
      <c r="AS1316" s="6">
        <v>15441.0273403846</v>
      </c>
      <c r="AT1316" s="6">
        <v>0</v>
      </c>
      <c r="AU1316" t="s">
        <v>2973</v>
      </c>
      <c r="AV1316" t="s">
        <v>2973</v>
      </c>
    </row>
    <row r="1317" spans="1:48" x14ac:dyDescent="0.45">
      <c r="A1317" s="5" t="s">
        <v>2651</v>
      </c>
      <c r="B1317">
        <v>1922</v>
      </c>
      <c r="C1317" t="s">
        <v>2620</v>
      </c>
      <c r="D1317">
        <v>1323</v>
      </c>
      <c r="E1317" t="s">
        <v>2652</v>
      </c>
      <c r="F1317" t="s">
        <v>2739</v>
      </c>
      <c r="G1317" t="s">
        <v>2744</v>
      </c>
      <c r="H1317" t="s">
        <v>2741</v>
      </c>
      <c r="I1317" t="s">
        <v>2742</v>
      </c>
      <c r="J1317">
        <v>1200.64127900566</v>
      </c>
      <c r="K1317">
        <v>1</v>
      </c>
      <c r="L1317">
        <v>1</v>
      </c>
      <c r="M1317">
        <v>1</v>
      </c>
      <c r="N1317" s="6">
        <v>8933435.7415591106</v>
      </c>
      <c r="O1317" s="6">
        <v>3861753.4354916802</v>
      </c>
      <c r="P1317" s="6">
        <v>2867252.5028520902</v>
      </c>
      <c r="Q1317" s="6">
        <v>495535.13542246103</v>
      </c>
      <c r="R1317" s="6">
        <v>1026905.7436114301</v>
      </c>
      <c r="S1317" s="6">
        <v>373728.302559476</v>
      </c>
      <c r="T1317" s="6">
        <v>13052380.720000001</v>
      </c>
      <c r="U1317" s="6">
        <v>4132501.8389367601</v>
      </c>
      <c r="V1317" s="6">
        <v>14748647.9335659</v>
      </c>
      <c r="W1317" s="6">
        <v>1537841.03937129</v>
      </c>
      <c r="X1317" s="6">
        <v>0</v>
      </c>
      <c r="Y1317" s="6">
        <v>0</v>
      </c>
      <c r="Z1317" s="6">
        <v>0</v>
      </c>
      <c r="AA1317" s="6">
        <v>0</v>
      </c>
      <c r="AB1317" s="6">
        <v>898393.58599956601</v>
      </c>
      <c r="AC1317" s="6">
        <v>354801.95257961302</v>
      </c>
      <c r="AD1317" s="6">
        <v>18926.3499798634</v>
      </c>
      <c r="AE1317" s="6">
        <v>0</v>
      </c>
      <c r="AF1317" s="6">
        <v>0</v>
      </c>
      <c r="AG1317" s="6">
        <v>0</v>
      </c>
      <c r="AH1317" s="6">
        <v>0</v>
      </c>
      <c r="AI1317" s="6">
        <v>0</v>
      </c>
      <c r="AJ1317" s="6">
        <v>17558610.861496199</v>
      </c>
      <c r="AK1317" s="6">
        <v>14624.3604717954</v>
      </c>
      <c r="AL1317" s="6">
        <v>330.98244656580999</v>
      </c>
      <c r="AM1317" s="6">
        <v>93035.839999999997</v>
      </c>
      <c r="AN1317" s="6">
        <v>3753.1860850462999</v>
      </c>
      <c r="AO1317" s="6">
        <v>31844.4088275166</v>
      </c>
      <c r="AP1317" s="6">
        <v>330.98244656580999</v>
      </c>
      <c r="AQ1317" s="6">
        <v>40734.411818744898</v>
      </c>
      <c r="AR1317" s="6">
        <v>12554.8865652841</v>
      </c>
      <c r="AS1317" s="6">
        <v>31844.4088275166</v>
      </c>
      <c r="AT1317" s="6">
        <v>0</v>
      </c>
      <c r="AU1317" t="s">
        <v>2973</v>
      </c>
      <c r="AV1317" t="s">
        <v>2973</v>
      </c>
    </row>
    <row r="1318" spans="1:48" x14ac:dyDescent="0.45">
      <c r="A1318" s="5" t="s">
        <v>2655</v>
      </c>
      <c r="B1318">
        <v>2255</v>
      </c>
      <c r="C1318" t="s">
        <v>2656</v>
      </c>
      <c r="D1318">
        <v>1224</v>
      </c>
      <c r="E1318" t="s">
        <v>2657</v>
      </c>
      <c r="F1318" t="s">
        <v>2739</v>
      </c>
      <c r="G1318" t="s">
        <v>2740</v>
      </c>
      <c r="H1318" t="s">
        <v>2745</v>
      </c>
      <c r="I1318" t="s">
        <v>2742</v>
      </c>
      <c r="J1318">
        <v>391.88484848479999</v>
      </c>
      <c r="K1318">
        <v>1</v>
      </c>
      <c r="L1318">
        <v>1</v>
      </c>
      <c r="M1318">
        <v>2</v>
      </c>
      <c r="N1318" s="6">
        <v>2688316.3456893298</v>
      </c>
      <c r="O1318" s="6">
        <v>876971.54647372395</v>
      </c>
      <c r="P1318" s="6">
        <v>1404123.4478585499</v>
      </c>
      <c r="Q1318" s="6">
        <v>339751.50231839501</v>
      </c>
      <c r="R1318" s="6">
        <v>165831.07924650799</v>
      </c>
      <c r="S1318" s="6">
        <v>207647.56993115999</v>
      </c>
      <c r="T1318" s="6">
        <v>3401151.46</v>
      </c>
      <c r="U1318" s="6">
        <v>2073842.4615865101</v>
      </c>
      <c r="V1318" s="6">
        <v>4392339.9267194597</v>
      </c>
      <c r="W1318" s="6">
        <v>1082653.9948670501</v>
      </c>
      <c r="X1318" s="6">
        <v>0</v>
      </c>
      <c r="Y1318" s="6">
        <v>0</v>
      </c>
      <c r="Z1318" s="6">
        <v>0</v>
      </c>
      <c r="AA1318" s="6">
        <v>0</v>
      </c>
      <c r="AB1318" s="6">
        <v>0</v>
      </c>
      <c r="AC1318" s="6">
        <v>142722.258836611</v>
      </c>
      <c r="AD1318" s="6">
        <v>64925.311094549099</v>
      </c>
      <c r="AE1318" s="6">
        <v>0</v>
      </c>
      <c r="AF1318" s="6">
        <v>0</v>
      </c>
      <c r="AG1318" s="6">
        <v>0</v>
      </c>
      <c r="AH1318" s="6">
        <v>0</v>
      </c>
      <c r="AI1318" s="6">
        <v>0</v>
      </c>
      <c r="AJ1318" s="6">
        <v>5682641.4915176602</v>
      </c>
      <c r="AK1318" s="6">
        <v>14500.794081448301</v>
      </c>
      <c r="AL1318" s="6">
        <v>330.98244656580999</v>
      </c>
      <c r="AM1318" s="6">
        <v>93035.839999999997</v>
      </c>
      <c r="AN1318" s="6">
        <v>5821.8378187850703</v>
      </c>
      <c r="AO1318" s="6">
        <v>15617.9775264441</v>
      </c>
      <c r="AP1318" s="6">
        <v>330.98244656580999</v>
      </c>
      <c r="AQ1318" s="6">
        <v>93035.839999999997</v>
      </c>
      <c r="AR1318" s="6">
        <v>14500.794081448301</v>
      </c>
      <c r="AS1318" s="6">
        <v>14500.794081448301</v>
      </c>
      <c r="AT1318" s="6">
        <v>0</v>
      </c>
      <c r="AU1318" t="s">
        <v>2973</v>
      </c>
      <c r="AV1318" t="s">
        <v>2973</v>
      </c>
    </row>
    <row r="1319" spans="1:48" x14ac:dyDescent="0.45">
      <c r="A1319" s="5" t="s">
        <v>2658</v>
      </c>
      <c r="B1319">
        <v>2255</v>
      </c>
      <c r="C1319" t="s">
        <v>2656</v>
      </c>
      <c r="D1319">
        <v>1226</v>
      </c>
      <c r="E1319" t="s">
        <v>2659</v>
      </c>
      <c r="F1319" t="s">
        <v>2739</v>
      </c>
      <c r="G1319" t="s">
        <v>2744</v>
      </c>
      <c r="H1319" t="s">
        <v>2745</v>
      </c>
      <c r="I1319" t="s">
        <v>2742</v>
      </c>
      <c r="J1319">
        <v>253.36885488264701</v>
      </c>
      <c r="K1319">
        <v>1</v>
      </c>
      <c r="L1319">
        <v>1</v>
      </c>
      <c r="M1319">
        <v>2</v>
      </c>
      <c r="N1319" s="6">
        <v>2169497.3516925802</v>
      </c>
      <c r="O1319" s="6">
        <v>663044.91312426899</v>
      </c>
      <c r="P1319" s="6">
        <v>645076.67709591403</v>
      </c>
      <c r="Q1319" s="6">
        <v>219662.61114688101</v>
      </c>
      <c r="R1319" s="6">
        <v>125575.267265998</v>
      </c>
      <c r="S1319" s="6">
        <v>134252.26113242499</v>
      </c>
      <c r="T1319" s="6">
        <v>2482036.7000000002</v>
      </c>
      <c r="U1319" s="6">
        <v>1340820.1203256401</v>
      </c>
      <c r="V1319" s="6">
        <v>3288324.9440445998</v>
      </c>
      <c r="W1319" s="6">
        <v>533531.87628103199</v>
      </c>
      <c r="X1319" s="6">
        <v>0</v>
      </c>
      <c r="Y1319" s="6">
        <v>0</v>
      </c>
      <c r="Z1319" s="6">
        <v>0</v>
      </c>
      <c r="AA1319" s="6">
        <v>0</v>
      </c>
      <c r="AB1319" s="6">
        <v>1000</v>
      </c>
      <c r="AC1319" s="6">
        <v>92275.5126346748</v>
      </c>
      <c r="AD1319" s="6">
        <v>41976.748497750501</v>
      </c>
      <c r="AE1319" s="6">
        <v>0</v>
      </c>
      <c r="AF1319" s="6">
        <v>0</v>
      </c>
      <c r="AG1319" s="6">
        <v>0</v>
      </c>
      <c r="AH1319" s="6">
        <v>0</v>
      </c>
      <c r="AI1319" s="6">
        <v>0</v>
      </c>
      <c r="AJ1319" s="6">
        <v>3957109.0814580601</v>
      </c>
      <c r="AK1319" s="6">
        <v>15617.9775264441</v>
      </c>
      <c r="AL1319" s="6">
        <v>330.98244656580999</v>
      </c>
      <c r="AM1319" s="6">
        <v>93035.839999999997</v>
      </c>
      <c r="AN1319" s="6">
        <v>5821.8378187850703</v>
      </c>
      <c r="AO1319" s="6">
        <v>15617.9775264441</v>
      </c>
      <c r="AP1319" s="6">
        <v>330.98244656580999</v>
      </c>
      <c r="AQ1319" s="6">
        <v>40734.411818744898</v>
      </c>
      <c r="AR1319" s="6">
        <v>15617.9775264441</v>
      </c>
      <c r="AS1319" s="6">
        <v>15617.9775264441</v>
      </c>
      <c r="AT1319" s="6">
        <v>0</v>
      </c>
      <c r="AU1319" t="s">
        <v>2973</v>
      </c>
      <c r="AV1319" t="s">
        <v>2973</v>
      </c>
    </row>
    <row r="1320" spans="1:48" x14ac:dyDescent="0.45">
      <c r="A1320" s="5" t="s">
        <v>2660</v>
      </c>
      <c r="B1320">
        <v>2255</v>
      </c>
      <c r="C1320" t="s">
        <v>2656</v>
      </c>
      <c r="D1320">
        <v>1225</v>
      </c>
      <c r="E1320" t="s">
        <v>2661</v>
      </c>
      <c r="F1320" t="s">
        <v>2739</v>
      </c>
      <c r="G1320" t="s">
        <v>2747</v>
      </c>
      <c r="H1320" t="s">
        <v>2745</v>
      </c>
      <c r="I1320" t="s">
        <v>2742</v>
      </c>
      <c r="J1320">
        <v>189.64601226989299</v>
      </c>
      <c r="K1320">
        <v>1</v>
      </c>
      <c r="L1320">
        <v>1</v>
      </c>
      <c r="M1320">
        <v>2</v>
      </c>
      <c r="N1320" s="6">
        <v>1156377.64626906</v>
      </c>
      <c r="O1320" s="6">
        <v>439785.80350152001</v>
      </c>
      <c r="P1320" s="6">
        <v>451338.47630378499</v>
      </c>
      <c r="Q1320" s="6">
        <v>164416.96540836801</v>
      </c>
      <c r="R1320" s="6">
        <v>81461.542471973502</v>
      </c>
      <c r="S1320" s="6">
        <v>100487.51245994</v>
      </c>
      <c r="T1320" s="6">
        <v>1289779.6200000001</v>
      </c>
      <c r="U1320" s="6">
        <v>1003600.8139547</v>
      </c>
      <c r="V1320" s="6">
        <v>2033151.35040507</v>
      </c>
      <c r="W1320" s="6">
        <v>259018.673549631</v>
      </c>
      <c r="X1320" s="6">
        <v>0</v>
      </c>
      <c r="Y1320" s="6">
        <v>0</v>
      </c>
      <c r="Z1320" s="6">
        <v>0</v>
      </c>
      <c r="AA1320" s="6">
        <v>0</v>
      </c>
      <c r="AB1320" s="6">
        <v>1210.4100000000001</v>
      </c>
      <c r="AC1320" s="6">
        <v>69068.011573212396</v>
      </c>
      <c r="AD1320" s="6">
        <v>31419.500886728099</v>
      </c>
      <c r="AE1320" s="6">
        <v>0</v>
      </c>
      <c r="AF1320" s="6">
        <v>0</v>
      </c>
      <c r="AG1320" s="6">
        <v>0</v>
      </c>
      <c r="AH1320" s="6">
        <v>0</v>
      </c>
      <c r="AI1320" s="6">
        <v>0</v>
      </c>
      <c r="AJ1320" s="6">
        <v>2393867.9464146402</v>
      </c>
      <c r="AK1320" s="6">
        <v>12622.8224773207</v>
      </c>
      <c r="AL1320" s="6">
        <v>330.98244656580999</v>
      </c>
      <c r="AM1320" s="6">
        <v>93035.839999999997</v>
      </c>
      <c r="AN1320" s="6">
        <v>5821.8378187850703</v>
      </c>
      <c r="AO1320" s="6">
        <v>15617.9775264441</v>
      </c>
      <c r="AP1320" s="6">
        <v>3753.1860850462999</v>
      </c>
      <c r="AQ1320" s="6">
        <v>20687.885194392002</v>
      </c>
      <c r="AR1320" s="6">
        <v>12622.8224773207</v>
      </c>
      <c r="AS1320" s="6">
        <v>12622.8224773207</v>
      </c>
      <c r="AT1320" s="6">
        <v>0</v>
      </c>
      <c r="AU1320" t="s">
        <v>2973</v>
      </c>
      <c r="AV1320" t="s">
        <v>2973</v>
      </c>
    </row>
    <row r="1321" spans="1:48" x14ac:dyDescent="0.45">
      <c r="A1321" s="5" t="s">
        <v>2662</v>
      </c>
      <c r="B1321">
        <v>2255</v>
      </c>
      <c r="C1321" t="s">
        <v>2656</v>
      </c>
      <c r="D1321">
        <v>2255</v>
      </c>
      <c r="E1321" t="s">
        <v>2656</v>
      </c>
      <c r="F1321" t="s">
        <v>1</v>
      </c>
      <c r="G1321" t="s">
        <v>1</v>
      </c>
      <c r="H1321" t="s">
        <v>2743</v>
      </c>
      <c r="I1321" t="s">
        <v>2742</v>
      </c>
      <c r="J1321">
        <v>0.36619718309799998</v>
      </c>
      <c r="K1321">
        <v>0</v>
      </c>
      <c r="L1321">
        <v>0</v>
      </c>
      <c r="M1321">
        <v>2</v>
      </c>
      <c r="N1321" s="6">
        <v>218.18634904461399</v>
      </c>
      <c r="O1321" s="6">
        <v>424.05690050000197</v>
      </c>
      <c r="P1321" s="6">
        <v>823.21874177754705</v>
      </c>
      <c r="Q1321" s="6">
        <v>317.481126364945</v>
      </c>
      <c r="R1321" s="6">
        <v>154.96101552527301</v>
      </c>
      <c r="S1321" s="6">
        <v>194.03647648011801</v>
      </c>
      <c r="T1321" s="6">
        <v>0</v>
      </c>
      <c r="U1321" s="6">
        <v>1937.90413321238</v>
      </c>
      <c r="V1321" s="6">
        <v>1571.91883091158</v>
      </c>
      <c r="W1321" s="6">
        <v>365.98530230080303</v>
      </c>
      <c r="X1321" s="6">
        <v>0</v>
      </c>
      <c r="Y1321" s="6">
        <v>0</v>
      </c>
      <c r="Z1321" s="6">
        <v>0</v>
      </c>
      <c r="AA1321" s="6">
        <v>0</v>
      </c>
      <c r="AB1321" s="6">
        <v>0</v>
      </c>
      <c r="AC1321" s="6">
        <v>133.366955506007</v>
      </c>
      <c r="AD1321" s="6">
        <v>60.669520974111798</v>
      </c>
      <c r="AE1321" s="6">
        <v>0</v>
      </c>
      <c r="AF1321" s="6">
        <v>0</v>
      </c>
      <c r="AG1321" s="6">
        <v>0</v>
      </c>
      <c r="AH1321" s="6">
        <v>0</v>
      </c>
      <c r="AI1321" s="6">
        <v>0</v>
      </c>
      <c r="AJ1321" s="6">
        <v>2131.9406096924999</v>
      </c>
      <c r="AK1321" s="6">
        <v>5821.8378187850703</v>
      </c>
      <c r="AL1321" s="6">
        <v>330.98244656580999</v>
      </c>
      <c r="AM1321" s="6">
        <v>93035.839999999997</v>
      </c>
      <c r="AN1321" s="6">
        <v>5821.8378187850703</v>
      </c>
      <c r="AO1321" s="6">
        <v>15617.9775264441</v>
      </c>
      <c r="AP1321" s="6">
        <v>634.54287297753501</v>
      </c>
      <c r="AQ1321" s="6">
        <v>40331.279999999999</v>
      </c>
      <c r="AR1321" s="6">
        <v>5821.8378187850703</v>
      </c>
      <c r="AS1321" s="6">
        <v>5821.8378187850703</v>
      </c>
      <c r="AT1321" s="6">
        <v>0</v>
      </c>
      <c r="AU1321" t="s">
        <v>2973</v>
      </c>
      <c r="AV1321" t="s">
        <v>2977</v>
      </c>
    </row>
    <row r="1322" spans="1:48" x14ac:dyDescent="0.45">
      <c r="A1322" s="5" t="s">
        <v>2663</v>
      </c>
      <c r="B1322">
        <v>2002</v>
      </c>
      <c r="C1322" t="s">
        <v>2664</v>
      </c>
      <c r="D1322">
        <v>3624</v>
      </c>
      <c r="E1322" t="s">
        <v>2665</v>
      </c>
      <c r="F1322" t="s">
        <v>2739</v>
      </c>
      <c r="G1322" t="s">
        <v>2740</v>
      </c>
      <c r="H1322" t="s">
        <v>2741</v>
      </c>
      <c r="I1322" t="s">
        <v>2742</v>
      </c>
      <c r="J1322">
        <v>352.83211519532301</v>
      </c>
      <c r="K1322">
        <v>1</v>
      </c>
      <c r="L1322">
        <v>1</v>
      </c>
      <c r="M1322">
        <v>2</v>
      </c>
      <c r="N1322" s="6">
        <v>2248583.32240326</v>
      </c>
      <c r="O1322" s="6">
        <v>452526.11320002098</v>
      </c>
      <c r="P1322" s="6">
        <v>749818.09976850601</v>
      </c>
      <c r="Q1322" s="6">
        <v>198325.14791713801</v>
      </c>
      <c r="R1322" s="6">
        <v>55936.082843876</v>
      </c>
      <c r="S1322" s="6">
        <v>147649.55500148001</v>
      </c>
      <c r="T1322" s="6">
        <v>2842399.9</v>
      </c>
      <c r="U1322" s="6">
        <v>862788.86613279604</v>
      </c>
      <c r="V1322" s="6">
        <v>3032387.1307644602</v>
      </c>
      <c r="W1322" s="6">
        <v>672801.635368341</v>
      </c>
      <c r="X1322" s="6">
        <v>0</v>
      </c>
      <c r="Y1322" s="6">
        <v>0</v>
      </c>
      <c r="Z1322" s="6">
        <v>0</v>
      </c>
      <c r="AA1322" s="6">
        <v>0</v>
      </c>
      <c r="AB1322" s="6">
        <v>0</v>
      </c>
      <c r="AC1322" s="6">
        <v>135747.01211282201</v>
      </c>
      <c r="AD1322" s="6">
        <v>11902.5428886584</v>
      </c>
      <c r="AE1322" s="6">
        <v>0</v>
      </c>
      <c r="AF1322" s="6">
        <v>0</v>
      </c>
      <c r="AG1322" s="6">
        <v>0</v>
      </c>
      <c r="AH1322" s="6">
        <v>0</v>
      </c>
      <c r="AI1322" s="6">
        <v>0</v>
      </c>
      <c r="AJ1322" s="6">
        <v>3852838.3211342799</v>
      </c>
      <c r="AK1322" s="6">
        <v>10919.749521670999</v>
      </c>
      <c r="AL1322" s="6">
        <v>330.98244656580999</v>
      </c>
      <c r="AM1322" s="6">
        <v>93035.839999999997</v>
      </c>
      <c r="AN1322" s="6">
        <v>9100.3404298948408</v>
      </c>
      <c r="AO1322" s="6">
        <v>12313.976547447801</v>
      </c>
      <c r="AP1322" s="6">
        <v>330.98244656580999</v>
      </c>
      <c r="AQ1322" s="6">
        <v>93035.839999999997</v>
      </c>
      <c r="AR1322" s="6">
        <v>9100.3404298948408</v>
      </c>
      <c r="AS1322" s="6">
        <v>10919.749521670999</v>
      </c>
      <c r="AT1322" s="6">
        <v>0</v>
      </c>
      <c r="AU1322" t="s">
        <v>2973</v>
      </c>
      <c r="AV1322" t="s">
        <v>2973</v>
      </c>
    </row>
    <row r="1323" spans="1:48" x14ac:dyDescent="0.45">
      <c r="A1323" s="5" t="s">
        <v>2666</v>
      </c>
      <c r="B1323">
        <v>2002</v>
      </c>
      <c r="C1323" t="s">
        <v>2664</v>
      </c>
      <c r="D1323">
        <v>5201</v>
      </c>
      <c r="E1323" t="s">
        <v>2667</v>
      </c>
      <c r="F1323" t="s">
        <v>2750</v>
      </c>
      <c r="G1323" t="s">
        <v>2744</v>
      </c>
      <c r="H1323" t="s">
        <v>2749</v>
      </c>
      <c r="I1323" t="s">
        <v>2742</v>
      </c>
      <c r="J1323">
        <v>19.945915012238501</v>
      </c>
      <c r="K1323">
        <v>1</v>
      </c>
      <c r="L1323">
        <v>1</v>
      </c>
      <c r="M1323">
        <v>2</v>
      </c>
      <c r="N1323" s="6">
        <v>133042.17117312501</v>
      </c>
      <c r="O1323" s="6">
        <v>28154.279225448801</v>
      </c>
      <c r="P1323" s="6">
        <v>50852.811039545501</v>
      </c>
      <c r="Q1323" s="6">
        <v>11211.497975333101</v>
      </c>
      <c r="R1323" s="6">
        <v>3162.1167871973598</v>
      </c>
      <c r="S1323" s="6">
        <v>8346.7613882711594</v>
      </c>
      <c r="T1323" s="6">
        <v>177648.65</v>
      </c>
      <c r="U1323" s="6">
        <v>48774.226200649697</v>
      </c>
      <c r="V1323" s="6">
        <v>214313.74069266001</v>
      </c>
      <c r="W1323" s="6">
        <v>12109.1355079896</v>
      </c>
      <c r="X1323" s="6">
        <v>0</v>
      </c>
      <c r="Y1323" s="6">
        <v>0</v>
      </c>
      <c r="Z1323" s="6">
        <v>0</v>
      </c>
      <c r="AA1323" s="6">
        <v>0</v>
      </c>
      <c r="AB1323" s="6">
        <v>0</v>
      </c>
      <c r="AC1323" s="6">
        <v>7673.8999942473201</v>
      </c>
      <c r="AD1323" s="6">
        <v>672.86139402383901</v>
      </c>
      <c r="AE1323" s="6">
        <v>0</v>
      </c>
      <c r="AF1323" s="6">
        <v>0</v>
      </c>
      <c r="AG1323" s="6">
        <v>0</v>
      </c>
      <c r="AH1323" s="6">
        <v>0</v>
      </c>
      <c r="AI1323" s="6">
        <v>0</v>
      </c>
      <c r="AJ1323" s="6">
        <v>234769.637588921</v>
      </c>
      <c r="AK1323" s="6">
        <v>11770.311737760299</v>
      </c>
      <c r="AL1323" s="6">
        <v>330.98244656580999</v>
      </c>
      <c r="AM1323" s="6">
        <v>93035.839999999997</v>
      </c>
      <c r="AN1323" s="6">
        <v>9100.3404298948408</v>
      </c>
      <c r="AO1323" s="6">
        <v>12313.976547447801</v>
      </c>
      <c r="AP1323" s="6">
        <v>330.98244656580999</v>
      </c>
      <c r="AQ1323" s="6">
        <v>40734.411818744898</v>
      </c>
      <c r="AR1323" s="6">
        <v>11770.311737760299</v>
      </c>
      <c r="AS1323" s="6">
        <v>12313.976547447801</v>
      </c>
      <c r="AT1323" s="6">
        <v>0</v>
      </c>
      <c r="AU1323" t="s">
        <v>2973</v>
      </c>
      <c r="AV1323" t="s">
        <v>2973</v>
      </c>
    </row>
    <row r="1324" spans="1:48" x14ac:dyDescent="0.45">
      <c r="A1324" s="5" t="s">
        <v>2668</v>
      </c>
      <c r="B1324">
        <v>2002</v>
      </c>
      <c r="C1324" t="s">
        <v>2664</v>
      </c>
      <c r="D1324">
        <v>316</v>
      </c>
      <c r="E1324" t="s">
        <v>2669</v>
      </c>
      <c r="F1324" t="s">
        <v>2739</v>
      </c>
      <c r="G1324" t="s">
        <v>2744</v>
      </c>
      <c r="H1324" t="s">
        <v>2745</v>
      </c>
      <c r="I1324" t="s">
        <v>2742</v>
      </c>
      <c r="J1324">
        <v>371.66774981107801</v>
      </c>
      <c r="K1324">
        <v>1</v>
      </c>
      <c r="L1324">
        <v>1</v>
      </c>
      <c r="M1324">
        <v>2</v>
      </c>
      <c r="N1324" s="6">
        <v>2284752.9162084698</v>
      </c>
      <c r="O1324" s="6">
        <v>917440.66279376904</v>
      </c>
      <c r="P1324" s="6">
        <v>922064.83322983701</v>
      </c>
      <c r="Q1324" s="6">
        <v>208912.56289554699</v>
      </c>
      <c r="R1324" s="6">
        <v>88005.281821007506</v>
      </c>
      <c r="S1324" s="6">
        <v>155531.697667681</v>
      </c>
      <c r="T1324" s="6">
        <v>3512328.16</v>
      </c>
      <c r="U1324" s="6">
        <v>908848.09694862796</v>
      </c>
      <c r="V1324" s="6">
        <v>3875701.5656591202</v>
      </c>
      <c r="W1324" s="6">
        <v>545474.69128950499</v>
      </c>
      <c r="X1324" s="6">
        <v>0</v>
      </c>
      <c r="Y1324" s="6">
        <v>0</v>
      </c>
      <c r="Z1324" s="6">
        <v>0</v>
      </c>
      <c r="AA1324" s="6">
        <v>0</v>
      </c>
      <c r="AB1324" s="6">
        <v>0</v>
      </c>
      <c r="AC1324" s="6">
        <v>142993.747912147</v>
      </c>
      <c r="AD1324" s="6">
        <v>12537.9497555334</v>
      </c>
      <c r="AE1324" s="6">
        <v>0</v>
      </c>
      <c r="AF1324" s="6">
        <v>0</v>
      </c>
      <c r="AG1324" s="6">
        <v>0</v>
      </c>
      <c r="AH1324" s="6">
        <v>0</v>
      </c>
      <c r="AI1324" s="6">
        <v>0</v>
      </c>
      <c r="AJ1324" s="6">
        <v>4576707.9546163101</v>
      </c>
      <c r="AK1324" s="6">
        <v>12313.976547447801</v>
      </c>
      <c r="AL1324" s="6">
        <v>330.98244656580999</v>
      </c>
      <c r="AM1324" s="6">
        <v>93035.839999999997</v>
      </c>
      <c r="AN1324" s="6">
        <v>9100.3404298948408</v>
      </c>
      <c r="AO1324" s="6">
        <v>12313.976547447801</v>
      </c>
      <c r="AP1324" s="6">
        <v>330.98244656580999</v>
      </c>
      <c r="AQ1324" s="6">
        <v>40734.411818744898</v>
      </c>
      <c r="AR1324" s="6">
        <v>11770.311737760299</v>
      </c>
      <c r="AS1324" s="6">
        <v>12313.976547447801</v>
      </c>
      <c r="AT1324" s="6">
        <v>0</v>
      </c>
      <c r="AU1324" t="s">
        <v>2973</v>
      </c>
      <c r="AV1324" t="s">
        <v>2973</v>
      </c>
    </row>
    <row r="1325" spans="1:48" x14ac:dyDescent="0.45">
      <c r="A1325" s="5" t="s">
        <v>2670</v>
      </c>
      <c r="B1325">
        <v>2002</v>
      </c>
      <c r="C1325" t="s">
        <v>2664</v>
      </c>
      <c r="D1325">
        <v>313</v>
      </c>
      <c r="E1325" t="s">
        <v>2671</v>
      </c>
      <c r="F1325" t="s">
        <v>2739</v>
      </c>
      <c r="G1325" t="s">
        <v>2740</v>
      </c>
      <c r="H1325" t="s">
        <v>2741</v>
      </c>
      <c r="I1325" t="s">
        <v>2742</v>
      </c>
      <c r="J1325">
        <v>189.564625850315</v>
      </c>
      <c r="K1325">
        <v>1</v>
      </c>
      <c r="L1325">
        <v>1</v>
      </c>
      <c r="M1325">
        <v>2</v>
      </c>
      <c r="N1325" s="6">
        <v>893150.99112544896</v>
      </c>
      <c r="O1325" s="6">
        <v>200035.54918565901</v>
      </c>
      <c r="P1325" s="6">
        <v>415983.17172438098</v>
      </c>
      <c r="Q1325" s="6">
        <v>106553.31768994</v>
      </c>
      <c r="R1325" s="6">
        <v>30052.543856337001</v>
      </c>
      <c r="S1325" s="6">
        <v>79327.055121744605</v>
      </c>
      <c r="T1325" s="6">
        <v>1182228.6299999999</v>
      </c>
      <c r="U1325" s="6">
        <v>463546.94358176499</v>
      </c>
      <c r="V1325" s="6">
        <v>1449741.1695554601</v>
      </c>
      <c r="W1325" s="6">
        <v>196034.404026306</v>
      </c>
      <c r="X1325" s="6">
        <v>0</v>
      </c>
      <c r="Y1325" s="6">
        <v>0</v>
      </c>
      <c r="Z1325" s="6">
        <v>0</v>
      </c>
      <c r="AA1325" s="6">
        <v>0</v>
      </c>
      <c r="AB1325" s="6">
        <v>0</v>
      </c>
      <c r="AC1325" s="6">
        <v>72932.225988612001</v>
      </c>
      <c r="AD1325" s="6">
        <v>6394.82913313264</v>
      </c>
      <c r="AE1325" s="6">
        <v>0</v>
      </c>
      <c r="AF1325" s="6">
        <v>0</v>
      </c>
      <c r="AG1325" s="6">
        <v>0</v>
      </c>
      <c r="AH1325" s="6">
        <v>0</v>
      </c>
      <c r="AI1325" s="6">
        <v>0</v>
      </c>
      <c r="AJ1325" s="6">
        <v>1725102.6287035099</v>
      </c>
      <c r="AK1325" s="6">
        <v>9100.3404298948408</v>
      </c>
      <c r="AL1325" s="6">
        <v>330.98244656580999</v>
      </c>
      <c r="AM1325" s="6">
        <v>93035.839999999997</v>
      </c>
      <c r="AN1325" s="6">
        <v>9100.3404298948408</v>
      </c>
      <c r="AO1325" s="6">
        <v>12313.976547447801</v>
      </c>
      <c r="AP1325" s="6">
        <v>330.98244656580999</v>
      </c>
      <c r="AQ1325" s="6">
        <v>93035.839999999997</v>
      </c>
      <c r="AR1325" s="6">
        <v>9100.3404298948408</v>
      </c>
      <c r="AS1325" s="6">
        <v>10919.749521670999</v>
      </c>
      <c r="AT1325" s="6">
        <v>0</v>
      </c>
      <c r="AU1325" t="s">
        <v>2973</v>
      </c>
      <c r="AV1325" t="s">
        <v>2973</v>
      </c>
    </row>
    <row r="1326" spans="1:48" x14ac:dyDescent="0.45">
      <c r="A1326" s="5" t="s">
        <v>2672</v>
      </c>
      <c r="B1326">
        <v>2002</v>
      </c>
      <c r="C1326" t="s">
        <v>2664</v>
      </c>
      <c r="D1326">
        <v>311</v>
      </c>
      <c r="E1326" t="s">
        <v>2673</v>
      </c>
      <c r="F1326" t="s">
        <v>2739</v>
      </c>
      <c r="G1326" t="s">
        <v>2740</v>
      </c>
      <c r="H1326" t="s">
        <v>2741</v>
      </c>
      <c r="I1326" t="s">
        <v>2742</v>
      </c>
      <c r="J1326">
        <v>232.64930335131399</v>
      </c>
      <c r="K1326">
        <v>1</v>
      </c>
      <c r="L1326">
        <v>1</v>
      </c>
      <c r="M1326">
        <v>2</v>
      </c>
      <c r="N1326" s="6">
        <v>1459642.7402267901</v>
      </c>
      <c r="O1326" s="6">
        <v>289359.57254320598</v>
      </c>
      <c r="P1326" s="6">
        <v>516891.64886699099</v>
      </c>
      <c r="Q1326" s="6">
        <v>130770.997063081</v>
      </c>
      <c r="R1326" s="6">
        <v>36882.954088873303</v>
      </c>
      <c r="S1326" s="6">
        <v>97356.687874656607</v>
      </c>
      <c r="T1326" s="6">
        <v>1864644.97</v>
      </c>
      <c r="U1326" s="6">
        <v>568902.94278893899</v>
      </c>
      <c r="V1326" s="6">
        <v>1934665.47476523</v>
      </c>
      <c r="W1326" s="6">
        <v>498882.43802371202</v>
      </c>
      <c r="X1326" s="6">
        <v>0</v>
      </c>
      <c r="Y1326" s="6">
        <v>0</v>
      </c>
      <c r="Z1326" s="6">
        <v>0</v>
      </c>
      <c r="AA1326" s="6">
        <v>0</v>
      </c>
      <c r="AB1326" s="6">
        <v>0</v>
      </c>
      <c r="AC1326" s="6">
        <v>89508.427492739298</v>
      </c>
      <c r="AD1326" s="6">
        <v>7848.26038191726</v>
      </c>
      <c r="AE1326" s="6">
        <v>0</v>
      </c>
      <c r="AF1326" s="6">
        <v>0</v>
      </c>
      <c r="AG1326" s="6">
        <v>0</v>
      </c>
      <c r="AH1326" s="6">
        <v>0</v>
      </c>
      <c r="AI1326" s="6">
        <v>0</v>
      </c>
      <c r="AJ1326" s="6">
        <v>2530904.6006635898</v>
      </c>
      <c r="AK1326" s="6">
        <v>10878.6253137486</v>
      </c>
      <c r="AL1326" s="6">
        <v>330.98244656580999</v>
      </c>
      <c r="AM1326" s="6">
        <v>93035.839999999997</v>
      </c>
      <c r="AN1326" s="6">
        <v>9100.3404298948408</v>
      </c>
      <c r="AO1326" s="6">
        <v>12313.976547447801</v>
      </c>
      <c r="AP1326" s="6">
        <v>330.98244656580999</v>
      </c>
      <c r="AQ1326" s="6">
        <v>93035.839999999997</v>
      </c>
      <c r="AR1326" s="6">
        <v>9100.3404298948408</v>
      </c>
      <c r="AS1326" s="6">
        <v>10919.749521670999</v>
      </c>
      <c r="AT1326" s="6">
        <v>0</v>
      </c>
      <c r="AU1326" t="s">
        <v>2973</v>
      </c>
      <c r="AV1326" t="s">
        <v>2973</v>
      </c>
    </row>
    <row r="1327" spans="1:48" x14ac:dyDescent="0.45">
      <c r="A1327" s="5" t="s">
        <v>2674</v>
      </c>
      <c r="B1327">
        <v>2002</v>
      </c>
      <c r="C1327" t="s">
        <v>2664</v>
      </c>
      <c r="D1327">
        <v>315</v>
      </c>
      <c r="E1327" t="s">
        <v>2675</v>
      </c>
      <c r="F1327" t="s">
        <v>2739</v>
      </c>
      <c r="G1327" t="s">
        <v>2747</v>
      </c>
      <c r="H1327" t="s">
        <v>2745</v>
      </c>
      <c r="I1327" t="s">
        <v>2742</v>
      </c>
      <c r="J1327">
        <v>227.358132104194</v>
      </c>
      <c r="K1327">
        <v>1</v>
      </c>
      <c r="L1327">
        <v>1</v>
      </c>
      <c r="M1327">
        <v>2</v>
      </c>
      <c r="N1327" s="6">
        <v>1348726.19886292</v>
      </c>
      <c r="O1327" s="6">
        <v>458058.54305189598</v>
      </c>
      <c r="P1327" s="6">
        <v>594529.38537073997</v>
      </c>
      <c r="Q1327" s="6">
        <v>127796.856458961</v>
      </c>
      <c r="R1327" s="6">
        <v>36044.120602708899</v>
      </c>
      <c r="S1327" s="6">
        <v>95142.492946166603</v>
      </c>
      <c r="T1327" s="6">
        <v>2009190.79</v>
      </c>
      <c r="U1327" s="6">
        <v>555964.31434722303</v>
      </c>
      <c r="V1327" s="6">
        <v>2368249.1585630798</v>
      </c>
      <c r="W1327" s="6">
        <v>196905.945784148</v>
      </c>
      <c r="X1327" s="6">
        <v>0</v>
      </c>
      <c r="Y1327" s="6">
        <v>0</v>
      </c>
      <c r="Z1327" s="6">
        <v>0</v>
      </c>
      <c r="AA1327" s="6">
        <v>0</v>
      </c>
      <c r="AB1327" s="6">
        <v>0</v>
      </c>
      <c r="AC1327" s="6">
        <v>87472.726499432101</v>
      </c>
      <c r="AD1327" s="6">
        <v>7669.7664467344603</v>
      </c>
      <c r="AE1327" s="6">
        <v>0</v>
      </c>
      <c r="AF1327" s="6">
        <v>0</v>
      </c>
      <c r="AG1327" s="6">
        <v>0</v>
      </c>
      <c r="AH1327" s="6">
        <v>0</v>
      </c>
      <c r="AI1327" s="6">
        <v>0</v>
      </c>
      <c r="AJ1327" s="6">
        <v>2660297.59729339</v>
      </c>
      <c r="AK1327" s="6">
        <v>11700.9124444875</v>
      </c>
      <c r="AL1327" s="6">
        <v>330.98244656580999</v>
      </c>
      <c r="AM1327" s="6">
        <v>93035.839999999997</v>
      </c>
      <c r="AN1327" s="6">
        <v>9100.3404298948408</v>
      </c>
      <c r="AO1327" s="6">
        <v>12313.976547447801</v>
      </c>
      <c r="AP1327" s="6">
        <v>3753.1860850462999</v>
      </c>
      <c r="AQ1327" s="6">
        <v>20687.885194392002</v>
      </c>
      <c r="AR1327" s="6">
        <v>11700.9124444875</v>
      </c>
      <c r="AS1327" s="6">
        <v>11700.9124444875</v>
      </c>
      <c r="AT1327" s="6">
        <v>0</v>
      </c>
      <c r="AU1327" t="s">
        <v>2973</v>
      </c>
      <c r="AV1327" t="s">
        <v>2973</v>
      </c>
    </row>
    <row r="1328" spans="1:48" x14ac:dyDescent="0.45">
      <c r="A1328" s="5" t="s">
        <v>2676</v>
      </c>
      <c r="B1328">
        <v>2146</v>
      </c>
      <c r="C1328" t="s">
        <v>2677</v>
      </c>
      <c r="D1328">
        <v>4540</v>
      </c>
      <c r="E1328" t="s">
        <v>2678</v>
      </c>
      <c r="F1328" t="s">
        <v>2739</v>
      </c>
      <c r="G1328" t="s">
        <v>2744</v>
      </c>
      <c r="H1328" t="s">
        <v>2741</v>
      </c>
      <c r="I1328" t="s">
        <v>2742</v>
      </c>
      <c r="J1328">
        <v>287.60754058539197</v>
      </c>
      <c r="K1328">
        <v>2</v>
      </c>
      <c r="L1328">
        <v>1</v>
      </c>
      <c r="M1328">
        <v>3</v>
      </c>
      <c r="N1328" s="6">
        <v>2163994.84347007</v>
      </c>
      <c r="O1328" s="6">
        <v>996476.06170222396</v>
      </c>
      <c r="P1328" s="6">
        <v>535212.20754495496</v>
      </c>
      <c r="Q1328" s="6">
        <v>123713.135979838</v>
      </c>
      <c r="R1328" s="6">
        <v>301352.29029954801</v>
      </c>
      <c r="S1328" s="6">
        <v>156729.921822895</v>
      </c>
      <c r="T1328" s="6">
        <v>2184154.5099999998</v>
      </c>
      <c r="U1328" s="6">
        <v>1936594.0289966399</v>
      </c>
      <c r="V1328" s="6">
        <v>3465998.98191506</v>
      </c>
      <c r="W1328" s="6">
        <v>654749.55708157294</v>
      </c>
      <c r="X1328" s="6">
        <v>0</v>
      </c>
      <c r="Y1328" s="6">
        <v>0</v>
      </c>
      <c r="Z1328" s="6">
        <v>0</v>
      </c>
      <c r="AA1328" s="6">
        <v>0</v>
      </c>
      <c r="AB1328" s="6">
        <v>0</v>
      </c>
      <c r="AC1328" s="6">
        <v>65280.797502916001</v>
      </c>
      <c r="AD1328" s="6">
        <v>91449.1243199788</v>
      </c>
      <c r="AE1328" s="6">
        <v>0</v>
      </c>
      <c r="AF1328" s="6">
        <v>0</v>
      </c>
      <c r="AG1328" s="6">
        <v>0</v>
      </c>
      <c r="AH1328" s="6">
        <v>0</v>
      </c>
      <c r="AI1328" s="6">
        <v>0</v>
      </c>
      <c r="AJ1328" s="6">
        <v>4277478.4608195303</v>
      </c>
      <c r="AK1328" s="6">
        <v>14872.6227835098</v>
      </c>
      <c r="AL1328" s="6">
        <v>330.98244656580999</v>
      </c>
      <c r="AM1328" s="6">
        <v>93035.839999999997</v>
      </c>
      <c r="AN1328" s="6">
        <v>7278.4042677003699</v>
      </c>
      <c r="AO1328" s="6">
        <v>40734.411818744898</v>
      </c>
      <c r="AP1328" s="6">
        <v>330.98244656580999</v>
      </c>
      <c r="AQ1328" s="6">
        <v>40734.411818744898</v>
      </c>
      <c r="AR1328" s="6">
        <v>12945.5106822951</v>
      </c>
      <c r="AS1328" s="6">
        <v>40734.411818744898</v>
      </c>
      <c r="AT1328" s="6">
        <v>0</v>
      </c>
      <c r="AU1328" t="s">
        <v>2973</v>
      </c>
      <c r="AV1328" t="s">
        <v>2973</v>
      </c>
    </row>
    <row r="1329" spans="1:48" x14ac:dyDescent="0.45">
      <c r="A1329" s="5" t="s">
        <v>2679</v>
      </c>
      <c r="B1329">
        <v>2146</v>
      </c>
      <c r="C1329" t="s">
        <v>2677</v>
      </c>
      <c r="D1329">
        <v>1268</v>
      </c>
      <c r="E1329" t="s">
        <v>2680</v>
      </c>
      <c r="F1329" t="s">
        <v>2739</v>
      </c>
      <c r="G1329" t="s">
        <v>2747</v>
      </c>
      <c r="H1329" t="s">
        <v>2741</v>
      </c>
      <c r="I1329" t="s">
        <v>2742</v>
      </c>
      <c r="J1329">
        <v>671.29211033359604</v>
      </c>
      <c r="K1329">
        <v>2</v>
      </c>
      <c r="L1329">
        <v>1</v>
      </c>
      <c r="M1329">
        <v>3</v>
      </c>
      <c r="N1329" s="6">
        <v>4684480.9916084297</v>
      </c>
      <c r="O1329" s="6">
        <v>2082070.83795709</v>
      </c>
      <c r="P1329" s="6">
        <v>1662369.0588749701</v>
      </c>
      <c r="Q1329" s="6">
        <v>288753.389284782</v>
      </c>
      <c r="R1329" s="6">
        <v>703373.12609153695</v>
      </c>
      <c r="S1329" s="6">
        <v>365816.416908835</v>
      </c>
      <c r="T1329" s="6">
        <v>4900928.46</v>
      </c>
      <c r="U1329" s="6">
        <v>4520118.9438167997</v>
      </c>
      <c r="V1329" s="6">
        <v>7971222.9398661004</v>
      </c>
      <c r="W1329" s="6">
        <v>1449824.4639506999</v>
      </c>
      <c r="X1329" s="6">
        <v>0</v>
      </c>
      <c r="Y1329" s="6">
        <v>0</v>
      </c>
      <c r="Z1329" s="6">
        <v>0</v>
      </c>
      <c r="AA1329" s="6">
        <v>0</v>
      </c>
      <c r="AB1329" s="6">
        <v>0</v>
      </c>
      <c r="AC1329" s="6">
        <v>152369.03813716801</v>
      </c>
      <c r="AD1329" s="6">
        <v>213447.37877166801</v>
      </c>
      <c r="AE1329" s="6">
        <v>0</v>
      </c>
      <c r="AF1329" s="6">
        <v>0</v>
      </c>
      <c r="AG1329" s="6">
        <v>0</v>
      </c>
      <c r="AH1329" s="6">
        <v>0</v>
      </c>
      <c r="AI1329" s="6">
        <v>0</v>
      </c>
      <c r="AJ1329" s="6">
        <v>9786863.8207256496</v>
      </c>
      <c r="AK1329" s="6">
        <v>14579.1432225564</v>
      </c>
      <c r="AL1329" s="6">
        <v>330.98244656580999</v>
      </c>
      <c r="AM1329" s="6">
        <v>93035.839999999997</v>
      </c>
      <c r="AN1329" s="6">
        <v>7278.4042677003699</v>
      </c>
      <c r="AO1329" s="6">
        <v>40734.411818744898</v>
      </c>
      <c r="AP1329" s="6">
        <v>3753.1860850462999</v>
      </c>
      <c r="AQ1329" s="6">
        <v>20687.885194392002</v>
      </c>
      <c r="AR1329" s="6">
        <v>14579.1432225564</v>
      </c>
      <c r="AS1329" s="6">
        <v>15126.0121993049</v>
      </c>
      <c r="AT1329" s="6">
        <v>0</v>
      </c>
      <c r="AU1329" t="s">
        <v>2973</v>
      </c>
      <c r="AV1329" t="s">
        <v>2973</v>
      </c>
    </row>
    <row r="1330" spans="1:48" x14ac:dyDescent="0.45">
      <c r="A1330" s="5" t="s">
        <v>2681</v>
      </c>
      <c r="B1330">
        <v>2146</v>
      </c>
      <c r="C1330" t="s">
        <v>2677</v>
      </c>
      <c r="D1330">
        <v>1359</v>
      </c>
      <c r="E1330" t="s">
        <v>2682</v>
      </c>
      <c r="F1330" t="s">
        <v>2739</v>
      </c>
      <c r="G1330" t="s">
        <v>2740</v>
      </c>
      <c r="H1330" t="s">
        <v>2741</v>
      </c>
      <c r="I1330" t="s">
        <v>2742</v>
      </c>
      <c r="J1330">
        <v>854.35968253953399</v>
      </c>
      <c r="K1330">
        <v>6</v>
      </c>
      <c r="L1330">
        <v>1</v>
      </c>
      <c r="M1330">
        <v>3</v>
      </c>
      <c r="N1330" s="6">
        <v>6636268.1541107399</v>
      </c>
      <c r="O1330" s="6">
        <v>2756122.1866446398</v>
      </c>
      <c r="P1330" s="6">
        <v>2104647.6292705699</v>
      </c>
      <c r="Q1330" s="6">
        <v>367499.11134657101</v>
      </c>
      <c r="R1330" s="6">
        <v>895189.488247931</v>
      </c>
      <c r="S1330" s="6">
        <v>465577.93992643099</v>
      </c>
      <c r="T1330" s="6">
        <v>7006929.3499999996</v>
      </c>
      <c r="U1330" s="6">
        <v>5752797.2196204402</v>
      </c>
      <c r="V1330" s="6">
        <v>10730316.3596579</v>
      </c>
      <c r="W1330" s="6">
        <v>2029410.2099625999</v>
      </c>
      <c r="X1330" s="6">
        <v>0</v>
      </c>
      <c r="Y1330" s="6">
        <v>0</v>
      </c>
      <c r="Z1330" s="6">
        <v>0</v>
      </c>
      <c r="AA1330" s="6">
        <v>0</v>
      </c>
      <c r="AB1330" s="6">
        <v>0</v>
      </c>
      <c r="AC1330" s="6">
        <v>193921.485219055</v>
      </c>
      <c r="AD1330" s="6">
        <v>271656.45470737602</v>
      </c>
      <c r="AE1330" s="6">
        <v>0</v>
      </c>
      <c r="AF1330" s="6">
        <v>0</v>
      </c>
      <c r="AG1330" s="6">
        <v>0</v>
      </c>
      <c r="AH1330" s="6">
        <v>0</v>
      </c>
      <c r="AI1330" s="6">
        <v>0</v>
      </c>
      <c r="AJ1330" s="6">
        <v>13225304.5095469</v>
      </c>
      <c r="AK1330" s="6">
        <v>15479.7853642104</v>
      </c>
      <c r="AL1330" s="6">
        <v>330.98244656580999</v>
      </c>
      <c r="AM1330" s="6">
        <v>93035.839999999997</v>
      </c>
      <c r="AN1330" s="6">
        <v>7278.4042677003699</v>
      </c>
      <c r="AO1330" s="6">
        <v>40734.411818744898</v>
      </c>
      <c r="AP1330" s="6">
        <v>330.98244656580999</v>
      </c>
      <c r="AQ1330" s="6">
        <v>93035.839999999997</v>
      </c>
      <c r="AR1330" s="6">
        <v>7278.4042677003899</v>
      </c>
      <c r="AS1330" s="6">
        <v>18632.618959675699</v>
      </c>
      <c r="AT1330" s="6">
        <v>0</v>
      </c>
      <c r="AU1330" t="s">
        <v>2973</v>
      </c>
      <c r="AV1330" t="s">
        <v>2973</v>
      </c>
    </row>
    <row r="1331" spans="1:48" x14ac:dyDescent="0.45">
      <c r="A1331" s="5" t="s">
        <v>2683</v>
      </c>
      <c r="B1331">
        <v>2146</v>
      </c>
      <c r="C1331" t="s">
        <v>2677</v>
      </c>
      <c r="D1331">
        <v>1267</v>
      </c>
      <c r="E1331" t="s">
        <v>501</v>
      </c>
      <c r="F1331" t="s">
        <v>2739</v>
      </c>
      <c r="G1331" t="s">
        <v>2740</v>
      </c>
      <c r="H1331" t="s">
        <v>2741</v>
      </c>
      <c r="I1331" t="s">
        <v>2742</v>
      </c>
      <c r="J1331">
        <v>700.06514458616005</v>
      </c>
      <c r="K1331">
        <v>6</v>
      </c>
      <c r="L1331">
        <v>1</v>
      </c>
      <c r="M1331">
        <v>3</v>
      </c>
      <c r="N1331" s="6">
        <v>5252855.1653386401</v>
      </c>
      <c r="O1331" s="6">
        <v>2383861.6674673199</v>
      </c>
      <c r="P1331" s="6">
        <v>1700506.8447722199</v>
      </c>
      <c r="Q1331" s="6">
        <v>301524.45515495603</v>
      </c>
      <c r="R1331" s="6">
        <v>3023802.8521853602</v>
      </c>
      <c r="S1331" s="6">
        <v>381496.10110568599</v>
      </c>
      <c r="T1331" s="6">
        <v>7948689.9500000002</v>
      </c>
      <c r="U1331" s="6">
        <v>4713861.0349185001</v>
      </c>
      <c r="V1331" s="6">
        <v>8719765.96215971</v>
      </c>
      <c r="W1331" s="6">
        <v>3942785.0227588001</v>
      </c>
      <c r="X1331" s="6">
        <v>0</v>
      </c>
      <c r="Y1331" s="6">
        <v>0</v>
      </c>
      <c r="Z1331" s="6">
        <v>0</v>
      </c>
      <c r="AA1331" s="6">
        <v>0</v>
      </c>
      <c r="AB1331" s="6">
        <v>0</v>
      </c>
      <c r="AC1331" s="6">
        <v>158899.90523044</v>
      </c>
      <c r="AD1331" s="6">
        <v>222596.19587524599</v>
      </c>
      <c r="AE1331" s="6">
        <v>0</v>
      </c>
      <c r="AF1331" s="6">
        <v>0</v>
      </c>
      <c r="AG1331" s="6">
        <v>0</v>
      </c>
      <c r="AH1331" s="6">
        <v>0</v>
      </c>
      <c r="AI1331" s="6">
        <v>0</v>
      </c>
      <c r="AJ1331" s="6">
        <v>13044047.086024201</v>
      </c>
      <c r="AK1331" s="6">
        <v>18632.618959675699</v>
      </c>
      <c r="AL1331" s="6">
        <v>330.98244656580999</v>
      </c>
      <c r="AM1331" s="6">
        <v>93035.839999999997</v>
      </c>
      <c r="AN1331" s="6">
        <v>7278.4042677003699</v>
      </c>
      <c r="AO1331" s="6">
        <v>40734.411818744898</v>
      </c>
      <c r="AP1331" s="6">
        <v>330.98244656580999</v>
      </c>
      <c r="AQ1331" s="6">
        <v>93035.839999999997</v>
      </c>
      <c r="AR1331" s="6">
        <v>7278.4042677003899</v>
      </c>
      <c r="AS1331" s="6">
        <v>18632.618959675699</v>
      </c>
      <c r="AT1331" s="6">
        <v>0</v>
      </c>
      <c r="AU1331" t="s">
        <v>2973</v>
      </c>
      <c r="AV1331" t="s">
        <v>2973</v>
      </c>
    </row>
    <row r="1332" spans="1:48" x14ac:dyDescent="0.45">
      <c r="A1332" s="5" t="s">
        <v>2684</v>
      </c>
      <c r="B1332">
        <v>2146</v>
      </c>
      <c r="C1332" t="s">
        <v>2677</v>
      </c>
      <c r="D1332">
        <v>796</v>
      </c>
      <c r="E1332" t="s">
        <v>2685</v>
      </c>
      <c r="F1332" t="s">
        <v>2739</v>
      </c>
      <c r="G1332" t="s">
        <v>2740</v>
      </c>
      <c r="H1332" t="s">
        <v>2741</v>
      </c>
      <c r="I1332" t="s">
        <v>2742</v>
      </c>
      <c r="J1332">
        <v>436.38500772319998</v>
      </c>
      <c r="K1332">
        <v>5</v>
      </c>
      <c r="L1332">
        <v>1</v>
      </c>
      <c r="M1332">
        <v>3</v>
      </c>
      <c r="N1332" s="6">
        <v>3292816.2740342799</v>
      </c>
      <c r="O1332" s="6">
        <v>1476534.4019307101</v>
      </c>
      <c r="P1332" s="6">
        <v>1084100.3659284899</v>
      </c>
      <c r="Q1332" s="6">
        <v>187709.11809245101</v>
      </c>
      <c r="R1332" s="6">
        <v>457239.82501330599</v>
      </c>
      <c r="S1332" s="6">
        <v>237805.267573761</v>
      </c>
      <c r="T1332" s="6">
        <v>3560018.75</v>
      </c>
      <c r="U1332" s="6">
        <v>2938381.2349992399</v>
      </c>
      <c r="V1332" s="6">
        <v>5465749.6248874199</v>
      </c>
      <c r="W1332" s="6">
        <v>1032650.36011182</v>
      </c>
      <c r="X1332" s="6">
        <v>0</v>
      </c>
      <c r="Y1332" s="6">
        <v>0</v>
      </c>
      <c r="Z1332" s="6">
        <v>0</v>
      </c>
      <c r="AA1332" s="6">
        <v>0</v>
      </c>
      <c r="AB1332" s="6">
        <v>0</v>
      </c>
      <c r="AC1332" s="6">
        <v>99050.119703062897</v>
      </c>
      <c r="AD1332" s="6">
        <v>138755.14787069801</v>
      </c>
      <c r="AE1332" s="6">
        <v>0</v>
      </c>
      <c r="AF1332" s="6">
        <v>0</v>
      </c>
      <c r="AG1332" s="6">
        <v>0</v>
      </c>
      <c r="AH1332" s="6">
        <v>0</v>
      </c>
      <c r="AI1332" s="6">
        <v>0</v>
      </c>
      <c r="AJ1332" s="6">
        <v>6736205.2525730096</v>
      </c>
      <c r="AK1332" s="6">
        <v>15436.3810244503</v>
      </c>
      <c r="AL1332" s="6">
        <v>330.98244656580999</v>
      </c>
      <c r="AM1332" s="6">
        <v>93035.839999999997</v>
      </c>
      <c r="AN1332" s="6">
        <v>7278.4042677003699</v>
      </c>
      <c r="AO1332" s="6">
        <v>40734.411818744898</v>
      </c>
      <c r="AP1332" s="6">
        <v>330.98244656580999</v>
      </c>
      <c r="AQ1332" s="6">
        <v>93035.839999999997</v>
      </c>
      <c r="AR1332" s="6">
        <v>7278.4042677003899</v>
      </c>
      <c r="AS1332" s="6">
        <v>18632.618959675699</v>
      </c>
      <c r="AT1332" s="6">
        <v>0</v>
      </c>
      <c r="AU1332" t="s">
        <v>2973</v>
      </c>
      <c r="AV1332" t="s">
        <v>2973</v>
      </c>
    </row>
    <row r="1333" spans="1:48" x14ac:dyDescent="0.45">
      <c r="A1333" s="5" t="s">
        <v>2686</v>
      </c>
      <c r="B1333">
        <v>2146</v>
      </c>
      <c r="C1333" t="s">
        <v>2677</v>
      </c>
      <c r="D1333">
        <v>1360</v>
      </c>
      <c r="E1333" t="s">
        <v>2687</v>
      </c>
      <c r="F1333" t="s">
        <v>2739</v>
      </c>
      <c r="G1333" t="s">
        <v>2747</v>
      </c>
      <c r="H1333" t="s">
        <v>2741</v>
      </c>
      <c r="I1333" t="s">
        <v>2742</v>
      </c>
      <c r="J1333">
        <v>690.28818045098001</v>
      </c>
      <c r="K1333">
        <v>2</v>
      </c>
      <c r="L1333">
        <v>1</v>
      </c>
      <c r="M1333">
        <v>3</v>
      </c>
      <c r="N1333" s="6">
        <v>5117358.3344109803</v>
      </c>
      <c r="O1333" s="6">
        <v>2257076.8414644399</v>
      </c>
      <c r="P1333" s="6">
        <v>1670502.57284473</v>
      </c>
      <c r="Q1333" s="6">
        <v>296924.466443368</v>
      </c>
      <c r="R1333" s="6">
        <v>723277.01743219094</v>
      </c>
      <c r="S1333" s="6">
        <v>376168.20594183501</v>
      </c>
      <c r="T1333" s="6">
        <v>5417111</v>
      </c>
      <c r="U1333" s="6">
        <v>4648028.2325957101</v>
      </c>
      <c r="V1333" s="6">
        <v>8471899.9574458003</v>
      </c>
      <c r="W1333" s="6">
        <v>1593239.2751499</v>
      </c>
      <c r="X1333" s="6">
        <v>0</v>
      </c>
      <c r="Y1333" s="6">
        <v>0</v>
      </c>
      <c r="Z1333" s="6">
        <v>0</v>
      </c>
      <c r="AA1333" s="6">
        <v>0</v>
      </c>
      <c r="AB1333" s="6">
        <v>0</v>
      </c>
      <c r="AC1333" s="6">
        <v>156680.74221891799</v>
      </c>
      <c r="AD1333" s="6">
        <v>219487.46372291699</v>
      </c>
      <c r="AE1333" s="6">
        <v>0</v>
      </c>
      <c r="AF1333" s="6">
        <v>0</v>
      </c>
      <c r="AG1333" s="6">
        <v>0</v>
      </c>
      <c r="AH1333" s="6">
        <v>0</v>
      </c>
      <c r="AI1333" s="6">
        <v>0</v>
      </c>
      <c r="AJ1333" s="6">
        <v>10441307.4385376</v>
      </c>
      <c r="AK1333" s="6">
        <v>15126.0121993049</v>
      </c>
      <c r="AL1333" s="6">
        <v>330.98244656580999</v>
      </c>
      <c r="AM1333" s="6">
        <v>93035.839999999997</v>
      </c>
      <c r="AN1333" s="6">
        <v>7278.4042677003699</v>
      </c>
      <c r="AO1333" s="6">
        <v>40734.411818744898</v>
      </c>
      <c r="AP1333" s="6">
        <v>3753.1860850462999</v>
      </c>
      <c r="AQ1333" s="6">
        <v>20687.885194392002</v>
      </c>
      <c r="AR1333" s="6">
        <v>14579.1432225564</v>
      </c>
      <c r="AS1333" s="6">
        <v>15126.0121993049</v>
      </c>
      <c r="AT1333" s="6">
        <v>0</v>
      </c>
      <c r="AU1333" t="s">
        <v>2973</v>
      </c>
      <c r="AV1333" t="s">
        <v>2973</v>
      </c>
    </row>
    <row r="1334" spans="1:48" x14ac:dyDescent="0.45">
      <c r="A1334" s="5" t="s">
        <v>2688</v>
      </c>
      <c r="B1334">
        <v>2146</v>
      </c>
      <c r="C1334" t="s">
        <v>2677</v>
      </c>
      <c r="D1334">
        <v>797</v>
      </c>
      <c r="E1334" t="s">
        <v>1428</v>
      </c>
      <c r="F1334" t="s">
        <v>2739</v>
      </c>
      <c r="G1334" t="s">
        <v>2740</v>
      </c>
      <c r="H1334" t="s">
        <v>2741</v>
      </c>
      <c r="I1334" t="s">
        <v>2742</v>
      </c>
      <c r="J1334">
        <v>527.72222222218102</v>
      </c>
      <c r="K1334">
        <v>8</v>
      </c>
      <c r="L1334">
        <v>1</v>
      </c>
      <c r="M1334">
        <v>3</v>
      </c>
      <c r="N1334" s="6">
        <v>4143729.5165769998</v>
      </c>
      <c r="O1334" s="6">
        <v>1869352.3892151101</v>
      </c>
      <c r="P1334" s="6">
        <v>1208425.33492669</v>
      </c>
      <c r="Q1334" s="6">
        <v>226997.42470059099</v>
      </c>
      <c r="R1334" s="6">
        <v>1637587.0703405701</v>
      </c>
      <c r="S1334" s="6">
        <v>287578.90862228599</v>
      </c>
      <c r="T1334" s="6">
        <v>5532694.9699999997</v>
      </c>
      <c r="U1334" s="6">
        <v>3553396.7657599598</v>
      </c>
      <c r="V1334" s="6">
        <v>6664935.7088099504</v>
      </c>
      <c r="W1334" s="6">
        <v>2421156.0269500101</v>
      </c>
      <c r="X1334" s="6">
        <v>0</v>
      </c>
      <c r="Y1334" s="6">
        <v>0</v>
      </c>
      <c r="Z1334" s="6">
        <v>0</v>
      </c>
      <c r="AA1334" s="6">
        <v>0</v>
      </c>
      <c r="AB1334" s="6">
        <v>0</v>
      </c>
      <c r="AC1334" s="6">
        <v>119781.725668791</v>
      </c>
      <c r="AD1334" s="6">
        <v>167797.18295349501</v>
      </c>
      <c r="AE1334" s="6">
        <v>0</v>
      </c>
      <c r="AF1334" s="6">
        <v>0</v>
      </c>
      <c r="AG1334" s="6">
        <v>0</v>
      </c>
      <c r="AH1334" s="6">
        <v>0</v>
      </c>
      <c r="AI1334" s="6">
        <v>0</v>
      </c>
      <c r="AJ1334" s="6">
        <v>9373670.6443822496</v>
      </c>
      <c r="AK1334" s="6">
        <v>17762.5088534471</v>
      </c>
      <c r="AL1334" s="6">
        <v>330.98244656580999</v>
      </c>
      <c r="AM1334" s="6">
        <v>93035.839999999997</v>
      </c>
      <c r="AN1334" s="6">
        <v>7278.4042677003699</v>
      </c>
      <c r="AO1334" s="6">
        <v>40734.411818744898</v>
      </c>
      <c r="AP1334" s="6">
        <v>330.98244656580999</v>
      </c>
      <c r="AQ1334" s="6">
        <v>93035.839999999997</v>
      </c>
      <c r="AR1334" s="6">
        <v>7278.4042677003899</v>
      </c>
      <c r="AS1334" s="6">
        <v>18632.618959675699</v>
      </c>
      <c r="AT1334" s="6">
        <v>0</v>
      </c>
      <c r="AU1334" t="s">
        <v>2973</v>
      </c>
      <c r="AV1334" t="s">
        <v>2973</v>
      </c>
    </row>
    <row r="1335" spans="1:48" x14ac:dyDescent="0.45">
      <c r="A1335" s="5" t="s">
        <v>2689</v>
      </c>
      <c r="B1335">
        <v>2146</v>
      </c>
      <c r="C1335" t="s">
        <v>2677</v>
      </c>
      <c r="D1335">
        <v>4541</v>
      </c>
      <c r="E1335" t="s">
        <v>2690</v>
      </c>
      <c r="F1335" t="s">
        <v>2739</v>
      </c>
      <c r="G1335" t="s">
        <v>2744</v>
      </c>
      <c r="H1335" t="s">
        <v>2741</v>
      </c>
      <c r="I1335" t="s">
        <v>2742</v>
      </c>
      <c r="J1335">
        <v>414.893186782165</v>
      </c>
      <c r="K1335">
        <v>1</v>
      </c>
      <c r="L1335">
        <v>1</v>
      </c>
      <c r="M1335">
        <v>3</v>
      </c>
      <c r="N1335" s="6">
        <v>2855761.6357311499</v>
      </c>
      <c r="O1335" s="6">
        <v>1156288.05612172</v>
      </c>
      <c r="P1335" s="6">
        <v>773034.60906115803</v>
      </c>
      <c r="Q1335" s="6">
        <v>178464.50454330401</v>
      </c>
      <c r="R1335" s="6">
        <v>434720.91104426997</v>
      </c>
      <c r="S1335" s="6">
        <v>226093.43481352099</v>
      </c>
      <c r="T1335" s="6">
        <v>2604602.81</v>
      </c>
      <c r="U1335" s="6">
        <v>2793666.9065016001</v>
      </c>
      <c r="V1335" s="6">
        <v>4518091.5279646805</v>
      </c>
      <c r="W1335" s="6">
        <v>880178.18853692303</v>
      </c>
      <c r="X1335" s="6">
        <v>0</v>
      </c>
      <c r="Y1335" s="6">
        <v>0</v>
      </c>
      <c r="Z1335" s="6">
        <v>0</v>
      </c>
      <c r="AA1335" s="6">
        <v>0</v>
      </c>
      <c r="AB1335" s="6">
        <v>0</v>
      </c>
      <c r="AC1335" s="6">
        <v>94171.933241174804</v>
      </c>
      <c r="AD1335" s="6">
        <v>131921.50157234599</v>
      </c>
      <c r="AE1335" s="6">
        <v>0</v>
      </c>
      <c r="AF1335" s="6">
        <v>0</v>
      </c>
      <c r="AG1335" s="6">
        <v>0</v>
      </c>
      <c r="AH1335" s="6">
        <v>0</v>
      </c>
      <c r="AI1335" s="6">
        <v>0</v>
      </c>
      <c r="AJ1335" s="6">
        <v>5624363.1513151303</v>
      </c>
      <c r="AK1335" s="6">
        <v>13556.171396635</v>
      </c>
      <c r="AL1335" s="6">
        <v>330.98244656580999</v>
      </c>
      <c r="AM1335" s="6">
        <v>93035.839999999997</v>
      </c>
      <c r="AN1335" s="6">
        <v>7278.4042677003699</v>
      </c>
      <c r="AO1335" s="6">
        <v>40734.411818744898</v>
      </c>
      <c r="AP1335" s="6">
        <v>330.98244656580999</v>
      </c>
      <c r="AQ1335" s="6">
        <v>40734.411818744898</v>
      </c>
      <c r="AR1335" s="6">
        <v>12945.5106822951</v>
      </c>
      <c r="AS1335" s="6">
        <v>40734.411818744898</v>
      </c>
      <c r="AT1335" s="6">
        <v>0</v>
      </c>
      <c r="AU1335" t="s">
        <v>2973</v>
      </c>
      <c r="AV1335" t="s">
        <v>2973</v>
      </c>
    </row>
    <row r="1336" spans="1:48" x14ac:dyDescent="0.45">
      <c r="A1336" s="5" t="s">
        <v>2691</v>
      </c>
      <c r="B1336">
        <v>2146</v>
      </c>
      <c r="C1336" t="s">
        <v>2677</v>
      </c>
      <c r="D1336">
        <v>4542</v>
      </c>
      <c r="E1336" t="s">
        <v>2692</v>
      </c>
      <c r="F1336" t="s">
        <v>2739</v>
      </c>
      <c r="G1336" t="s">
        <v>2744</v>
      </c>
      <c r="H1336" t="s">
        <v>2741</v>
      </c>
      <c r="I1336" t="s">
        <v>2742</v>
      </c>
      <c r="J1336">
        <v>420.10839850627298</v>
      </c>
      <c r="K1336">
        <v>1</v>
      </c>
      <c r="L1336">
        <v>1</v>
      </c>
      <c r="M1336">
        <v>3</v>
      </c>
      <c r="N1336" s="6">
        <v>2479872.7915915898</v>
      </c>
      <c r="O1336" s="6">
        <v>1329634.93037046</v>
      </c>
      <c r="P1336" s="6">
        <v>779181.44423973199</v>
      </c>
      <c r="Q1336" s="6">
        <v>180707.80524353901</v>
      </c>
      <c r="R1336" s="6">
        <v>440185.357471016</v>
      </c>
      <c r="S1336" s="6">
        <v>228935.43166849099</v>
      </c>
      <c r="T1336" s="6">
        <v>2380799</v>
      </c>
      <c r="U1336" s="6">
        <v>2828783.3289163401</v>
      </c>
      <c r="V1336" s="6">
        <v>4314970.95969286</v>
      </c>
      <c r="W1336" s="6">
        <v>894611.36922347499</v>
      </c>
      <c r="X1336" s="6">
        <v>0</v>
      </c>
      <c r="Y1336" s="6">
        <v>0</v>
      </c>
      <c r="Z1336" s="6">
        <v>0</v>
      </c>
      <c r="AA1336" s="6">
        <v>0</v>
      </c>
      <c r="AB1336" s="6">
        <v>0</v>
      </c>
      <c r="AC1336" s="6">
        <v>95355.675433063705</v>
      </c>
      <c r="AD1336" s="6">
        <v>133579.75623542699</v>
      </c>
      <c r="AE1336" s="6">
        <v>0</v>
      </c>
      <c r="AF1336" s="6">
        <v>0</v>
      </c>
      <c r="AG1336" s="6">
        <v>0</v>
      </c>
      <c r="AH1336" s="6">
        <v>0</v>
      </c>
      <c r="AI1336" s="6">
        <v>0</v>
      </c>
      <c r="AJ1336" s="6">
        <v>5438517.7605848303</v>
      </c>
      <c r="AK1336" s="6">
        <v>12945.5106822951</v>
      </c>
      <c r="AL1336" s="6">
        <v>330.98244656580999</v>
      </c>
      <c r="AM1336" s="6">
        <v>93035.839999999997</v>
      </c>
      <c r="AN1336" s="6">
        <v>7278.4042677003699</v>
      </c>
      <c r="AO1336" s="6">
        <v>40734.411818744898</v>
      </c>
      <c r="AP1336" s="6">
        <v>330.98244656580999</v>
      </c>
      <c r="AQ1336" s="6">
        <v>40734.411818744898</v>
      </c>
      <c r="AR1336" s="6">
        <v>12945.5106822951</v>
      </c>
      <c r="AS1336" s="6">
        <v>40734.411818744898</v>
      </c>
      <c r="AT1336" s="6">
        <v>0</v>
      </c>
      <c r="AU1336" t="s">
        <v>2973</v>
      </c>
      <c r="AV1336" t="s">
        <v>2973</v>
      </c>
    </row>
    <row r="1337" spans="1:48" x14ac:dyDescent="0.45">
      <c r="A1337" s="5" t="s">
        <v>2693</v>
      </c>
      <c r="B1337">
        <v>2146</v>
      </c>
      <c r="C1337" t="s">
        <v>2677</v>
      </c>
      <c r="D1337">
        <v>4230</v>
      </c>
      <c r="E1337" t="s">
        <v>2694</v>
      </c>
      <c r="F1337" t="s">
        <v>3</v>
      </c>
      <c r="G1337" t="s">
        <v>2740</v>
      </c>
      <c r="H1337" t="s">
        <v>2741</v>
      </c>
      <c r="I1337" t="s">
        <v>2742</v>
      </c>
      <c r="J1337">
        <v>169.11685505173199</v>
      </c>
      <c r="K1337">
        <v>2</v>
      </c>
      <c r="L1337">
        <v>1</v>
      </c>
      <c r="M1337">
        <v>3</v>
      </c>
      <c r="N1337" s="6">
        <v>301119.41515155899</v>
      </c>
      <c r="O1337" s="6">
        <v>276357.63942451699</v>
      </c>
      <c r="P1337" s="6">
        <v>311320.79506300198</v>
      </c>
      <c r="Q1337" s="6">
        <v>72744.881594248902</v>
      </c>
      <c r="R1337" s="6">
        <v>177198.94094002299</v>
      </c>
      <c r="S1337" s="6">
        <v>92159.167375245495</v>
      </c>
      <c r="T1337" s="6">
        <v>0</v>
      </c>
      <c r="U1337" s="6">
        <v>1138741.6721733499</v>
      </c>
      <c r="V1337" s="6">
        <v>860569.49917236797</v>
      </c>
      <c r="W1337" s="6">
        <v>278172.17300098302</v>
      </c>
      <c r="X1337" s="6">
        <v>0</v>
      </c>
      <c r="Y1337" s="6">
        <v>0</v>
      </c>
      <c r="Z1337" s="6">
        <v>0</v>
      </c>
      <c r="AA1337" s="6">
        <v>0</v>
      </c>
      <c r="AB1337" s="6">
        <v>0</v>
      </c>
      <c r="AC1337" s="6">
        <v>38385.930864299698</v>
      </c>
      <c r="AD1337" s="6">
        <v>53773.236510945702</v>
      </c>
      <c r="AE1337" s="6">
        <v>0</v>
      </c>
      <c r="AF1337" s="6">
        <v>0</v>
      </c>
      <c r="AG1337" s="6">
        <v>0</v>
      </c>
      <c r="AH1337" s="6">
        <v>0</v>
      </c>
      <c r="AI1337" s="6">
        <v>0</v>
      </c>
      <c r="AJ1337" s="6">
        <v>1230900.8395485999</v>
      </c>
      <c r="AK1337" s="6">
        <v>7278.4042677003899</v>
      </c>
      <c r="AL1337" s="6">
        <v>330.98244656580999</v>
      </c>
      <c r="AM1337" s="6">
        <v>93035.839999999997</v>
      </c>
      <c r="AN1337" s="6">
        <v>7278.4042677003699</v>
      </c>
      <c r="AO1337" s="6">
        <v>40734.411818744898</v>
      </c>
      <c r="AP1337" s="6">
        <v>330.98244656580999</v>
      </c>
      <c r="AQ1337" s="6">
        <v>93035.839999999997</v>
      </c>
      <c r="AR1337" s="6">
        <v>7278.4042677003899</v>
      </c>
      <c r="AS1337" s="6">
        <v>18632.618959675699</v>
      </c>
      <c r="AT1337" s="6">
        <v>0</v>
      </c>
      <c r="AU1337" t="s">
        <v>2973</v>
      </c>
      <c r="AV1337" t="s">
        <v>2976</v>
      </c>
    </row>
    <row r="1338" spans="1:48" x14ac:dyDescent="0.45">
      <c r="A1338" s="5" t="s">
        <v>2695</v>
      </c>
      <c r="B1338">
        <v>2146</v>
      </c>
      <c r="C1338" t="s">
        <v>2677</v>
      </c>
      <c r="D1338">
        <v>4543</v>
      </c>
      <c r="E1338" t="s">
        <v>2696</v>
      </c>
      <c r="F1338" t="s">
        <v>2739</v>
      </c>
      <c r="G1338" t="s">
        <v>2744</v>
      </c>
      <c r="H1338" t="s">
        <v>2741</v>
      </c>
      <c r="I1338" t="s">
        <v>2742</v>
      </c>
      <c r="J1338">
        <v>351.726025953484</v>
      </c>
      <c r="K1338">
        <v>1</v>
      </c>
      <c r="L1338">
        <v>1</v>
      </c>
      <c r="M1338">
        <v>3</v>
      </c>
      <c r="N1338" s="6">
        <v>2637018.5655516102</v>
      </c>
      <c r="O1338" s="6">
        <v>1073336.4442771401</v>
      </c>
      <c r="P1338" s="6">
        <v>661587.571908738</v>
      </c>
      <c r="Q1338" s="6">
        <v>151293.42432352499</v>
      </c>
      <c r="R1338" s="6">
        <v>368534.99481725402</v>
      </c>
      <c r="S1338" s="6">
        <v>191670.88748286801</v>
      </c>
      <c r="T1338" s="6">
        <v>2523437.6800000002</v>
      </c>
      <c r="U1338" s="6">
        <v>2368333.3208782598</v>
      </c>
      <c r="V1338" s="6">
        <v>4130286.9641016098</v>
      </c>
      <c r="W1338" s="6">
        <v>761484.03677665</v>
      </c>
      <c r="X1338" s="6">
        <v>0</v>
      </c>
      <c r="Y1338" s="6">
        <v>0</v>
      </c>
      <c r="Z1338" s="6">
        <v>0</v>
      </c>
      <c r="AA1338" s="6">
        <v>0</v>
      </c>
      <c r="AB1338" s="6">
        <v>0</v>
      </c>
      <c r="AC1338" s="6">
        <v>79834.330595228399</v>
      </c>
      <c r="AD1338" s="6">
        <v>111836.556887639</v>
      </c>
      <c r="AE1338" s="6">
        <v>0</v>
      </c>
      <c r="AF1338" s="6">
        <v>0</v>
      </c>
      <c r="AG1338" s="6">
        <v>0</v>
      </c>
      <c r="AH1338" s="6">
        <v>0</v>
      </c>
      <c r="AI1338" s="6">
        <v>0</v>
      </c>
      <c r="AJ1338" s="6">
        <v>5083441.8883611299</v>
      </c>
      <c r="AK1338" s="6">
        <v>14452.845434399</v>
      </c>
      <c r="AL1338" s="6">
        <v>330.98244656580999</v>
      </c>
      <c r="AM1338" s="6">
        <v>93035.839999999997</v>
      </c>
      <c r="AN1338" s="6">
        <v>7278.4042677003699</v>
      </c>
      <c r="AO1338" s="6">
        <v>40734.411818744898</v>
      </c>
      <c r="AP1338" s="6">
        <v>330.98244656580999</v>
      </c>
      <c r="AQ1338" s="6">
        <v>40734.411818744898</v>
      </c>
      <c r="AR1338" s="6">
        <v>12945.5106822951</v>
      </c>
      <c r="AS1338" s="6">
        <v>40734.411818744898</v>
      </c>
      <c r="AT1338" s="6">
        <v>0</v>
      </c>
      <c r="AU1338" t="s">
        <v>2973</v>
      </c>
      <c r="AV1338" t="s">
        <v>2973</v>
      </c>
    </row>
    <row r="1339" spans="1:48" x14ac:dyDescent="0.45">
      <c r="A1339" s="5" t="s">
        <v>2697</v>
      </c>
      <c r="B1339">
        <v>2146</v>
      </c>
      <c r="C1339" t="s">
        <v>2677</v>
      </c>
      <c r="D1339">
        <v>2146</v>
      </c>
      <c r="E1339" t="s">
        <v>2677</v>
      </c>
      <c r="F1339" t="s">
        <v>1</v>
      </c>
      <c r="G1339" t="s">
        <v>1</v>
      </c>
      <c r="H1339" t="s">
        <v>2743</v>
      </c>
      <c r="I1339" t="s">
        <v>2742</v>
      </c>
      <c r="J1339">
        <v>24.160454217851001</v>
      </c>
      <c r="K1339">
        <v>1</v>
      </c>
      <c r="L1339">
        <v>5</v>
      </c>
      <c r="M1339">
        <v>3</v>
      </c>
      <c r="N1339" s="6">
        <v>43018.668018926102</v>
      </c>
      <c r="O1339" s="6">
        <v>39481.139198260098</v>
      </c>
      <c r="P1339" s="6">
        <v>44476.062506506503</v>
      </c>
      <c r="Q1339" s="6">
        <v>10392.514576996</v>
      </c>
      <c r="R1339" s="6">
        <v>25315.081094214402</v>
      </c>
      <c r="S1339" s="6">
        <v>13166.087693883401</v>
      </c>
      <c r="T1339" s="6">
        <v>0</v>
      </c>
      <c r="U1339" s="6">
        <v>162683.465394903</v>
      </c>
      <c r="V1339" s="6">
        <v>122943.097420259</v>
      </c>
      <c r="W1339" s="6">
        <v>39740.367974644098</v>
      </c>
      <c r="X1339" s="6">
        <v>0</v>
      </c>
      <c r="Y1339" s="6">
        <v>0</v>
      </c>
      <c r="Z1339" s="6">
        <v>0</v>
      </c>
      <c r="AA1339" s="6">
        <v>0</v>
      </c>
      <c r="AB1339" s="6">
        <v>0</v>
      </c>
      <c r="AC1339" s="6">
        <v>5483.9094836100803</v>
      </c>
      <c r="AD1339" s="6">
        <v>7682.1782102733696</v>
      </c>
      <c r="AE1339" s="6">
        <v>0</v>
      </c>
      <c r="AF1339" s="6">
        <v>0</v>
      </c>
      <c r="AG1339" s="6">
        <v>0</v>
      </c>
      <c r="AH1339" s="6">
        <v>0</v>
      </c>
      <c r="AI1339" s="6">
        <v>0</v>
      </c>
      <c r="AJ1339" s="6">
        <v>175849.55308878599</v>
      </c>
      <c r="AK1339" s="6">
        <v>7278.4042677003699</v>
      </c>
      <c r="AL1339" s="6">
        <v>330.98244656580999</v>
      </c>
      <c r="AM1339" s="6">
        <v>93035.839999999997</v>
      </c>
      <c r="AN1339" s="6">
        <v>7278.4042677003699</v>
      </c>
      <c r="AO1339" s="6">
        <v>40734.411818744898</v>
      </c>
      <c r="AP1339" s="6">
        <v>634.54287297753501</v>
      </c>
      <c r="AQ1339" s="6">
        <v>40331.279999999999</v>
      </c>
      <c r="AR1339" s="6">
        <v>7278.4042677003699</v>
      </c>
      <c r="AS1339" s="6">
        <v>7278.4042677003699</v>
      </c>
      <c r="AT1339" s="6">
        <v>0</v>
      </c>
      <c r="AU1339" t="s">
        <v>2973</v>
      </c>
      <c r="AV1339" t="s">
        <v>2977</v>
      </c>
    </row>
    <row r="1340" spans="1:48" x14ac:dyDescent="0.45">
      <c r="A1340" s="5" t="s">
        <v>2698</v>
      </c>
      <c r="B1340">
        <v>2146</v>
      </c>
      <c r="C1340" t="s">
        <v>2677</v>
      </c>
      <c r="D1340">
        <v>4544</v>
      </c>
      <c r="E1340" t="s">
        <v>2699</v>
      </c>
      <c r="F1340" t="s">
        <v>2739</v>
      </c>
      <c r="G1340" t="s">
        <v>2744</v>
      </c>
      <c r="H1340" t="s">
        <v>2741</v>
      </c>
      <c r="I1340" t="s">
        <v>2742</v>
      </c>
      <c r="J1340">
        <v>31.185549214386999</v>
      </c>
      <c r="K1340">
        <v>1</v>
      </c>
      <c r="L1340">
        <v>4</v>
      </c>
      <c r="M1340">
        <v>3</v>
      </c>
      <c r="N1340" s="6">
        <v>824728.93440504698</v>
      </c>
      <c r="O1340" s="6">
        <v>301474.70422638999</v>
      </c>
      <c r="P1340" s="6">
        <v>80845.623058249403</v>
      </c>
      <c r="Q1340" s="6">
        <v>13605.468715835301</v>
      </c>
      <c r="R1340" s="6">
        <v>32675.9050227841</v>
      </c>
      <c r="S1340" s="6">
        <v>16994.3690642691</v>
      </c>
      <c r="T1340" s="6">
        <v>1043343.97</v>
      </c>
      <c r="U1340" s="6">
        <v>209986.66542830601</v>
      </c>
      <c r="V1340" s="6">
        <v>1040047.5169063699</v>
      </c>
      <c r="W1340" s="6">
        <v>213283.118521939</v>
      </c>
      <c r="X1340" s="6">
        <v>0</v>
      </c>
      <c r="Y1340" s="6">
        <v>0</v>
      </c>
      <c r="Z1340" s="6">
        <v>0</v>
      </c>
      <c r="AA1340" s="6">
        <v>0</v>
      </c>
      <c r="AB1340" s="6">
        <v>0</v>
      </c>
      <c r="AC1340" s="6">
        <v>7078.45670227542</v>
      </c>
      <c r="AD1340" s="6">
        <v>9915.9123619937</v>
      </c>
      <c r="AE1340" s="6">
        <v>0</v>
      </c>
      <c r="AF1340" s="6">
        <v>0</v>
      </c>
      <c r="AG1340" s="6">
        <v>0</v>
      </c>
      <c r="AH1340" s="6">
        <v>0</v>
      </c>
      <c r="AI1340" s="6">
        <v>0</v>
      </c>
      <c r="AJ1340" s="6">
        <v>1270325.0044925699</v>
      </c>
      <c r="AK1340" s="6">
        <v>40734.411818744898</v>
      </c>
      <c r="AL1340" s="6">
        <v>330.98244656580999</v>
      </c>
      <c r="AM1340" s="6">
        <v>93035.839999999997</v>
      </c>
      <c r="AN1340" s="6">
        <v>7278.4042677003699</v>
      </c>
      <c r="AO1340" s="6">
        <v>40734.411818744898</v>
      </c>
      <c r="AP1340" s="6">
        <v>330.98244656580999</v>
      </c>
      <c r="AQ1340" s="6">
        <v>40734.411818744898</v>
      </c>
      <c r="AR1340" s="6">
        <v>12945.5106822951</v>
      </c>
      <c r="AS1340" s="6">
        <v>40734.411818744898</v>
      </c>
      <c r="AT1340" s="6">
        <v>0</v>
      </c>
      <c r="AU1340" t="s">
        <v>2973</v>
      </c>
      <c r="AV1340" t="s">
        <v>2973</v>
      </c>
    </row>
    <row r="1341" spans="1:48" x14ac:dyDescent="0.45">
      <c r="A1341" s="5" t="s">
        <v>2700</v>
      </c>
      <c r="B1341">
        <v>2251</v>
      </c>
      <c r="C1341" t="s">
        <v>2701</v>
      </c>
      <c r="D1341">
        <v>1213</v>
      </c>
      <c r="E1341" t="s">
        <v>2702</v>
      </c>
      <c r="F1341" t="s">
        <v>2739</v>
      </c>
      <c r="G1341" t="s">
        <v>2740</v>
      </c>
      <c r="H1341" t="s">
        <v>2745</v>
      </c>
      <c r="I1341" t="s">
        <v>2742</v>
      </c>
      <c r="J1341">
        <v>327.00144702381903</v>
      </c>
      <c r="K1341">
        <v>1</v>
      </c>
      <c r="L1341">
        <v>1</v>
      </c>
      <c r="M1341">
        <v>1</v>
      </c>
      <c r="N1341" s="6">
        <v>1946047.78789279</v>
      </c>
      <c r="O1341" s="6">
        <v>415230.91059175698</v>
      </c>
      <c r="P1341" s="6">
        <v>719619.25565434503</v>
      </c>
      <c r="Q1341" s="6">
        <v>251444.14222447301</v>
      </c>
      <c r="R1341" s="6">
        <v>149362.19722622001</v>
      </c>
      <c r="S1341" s="6">
        <v>143972.509626994</v>
      </c>
      <c r="T1341" s="6">
        <v>2111292.8199999998</v>
      </c>
      <c r="U1341" s="6">
        <v>1370411.4735895901</v>
      </c>
      <c r="V1341" s="6">
        <v>3064182.8608847298</v>
      </c>
      <c r="W1341" s="6">
        <v>417521.43270485901</v>
      </c>
      <c r="X1341" s="6">
        <v>0</v>
      </c>
      <c r="Y1341" s="6">
        <v>0</v>
      </c>
      <c r="Z1341" s="6">
        <v>0</v>
      </c>
      <c r="AA1341" s="6">
        <v>0</v>
      </c>
      <c r="AB1341" s="6">
        <v>0</v>
      </c>
      <c r="AC1341" s="6">
        <v>113528.04281522401</v>
      </c>
      <c r="AD1341" s="6">
        <v>30444.4668117697</v>
      </c>
      <c r="AE1341" s="6">
        <v>0</v>
      </c>
      <c r="AF1341" s="6">
        <v>0</v>
      </c>
      <c r="AG1341" s="6">
        <v>0</v>
      </c>
      <c r="AH1341" s="6">
        <v>0</v>
      </c>
      <c r="AI1341" s="6">
        <v>0</v>
      </c>
      <c r="AJ1341" s="6">
        <v>3625676.8032165798</v>
      </c>
      <c r="AK1341" s="6">
        <v>11087.647581426399</v>
      </c>
      <c r="AL1341" s="6">
        <v>330.98244656580999</v>
      </c>
      <c r="AM1341" s="6">
        <v>93035.839999999997</v>
      </c>
      <c r="AN1341" s="6">
        <v>4631.12318614992</v>
      </c>
      <c r="AO1341" s="6">
        <v>16359.205568307099</v>
      </c>
      <c r="AP1341" s="6">
        <v>330.98244656580999</v>
      </c>
      <c r="AQ1341" s="6">
        <v>93035.839999999997</v>
      </c>
      <c r="AR1341" s="6">
        <v>11087.647581426399</v>
      </c>
      <c r="AS1341" s="6">
        <v>11087.647581426399</v>
      </c>
      <c r="AT1341" s="6">
        <v>0</v>
      </c>
      <c r="AU1341" t="s">
        <v>2973</v>
      </c>
      <c r="AV1341" t="s">
        <v>2973</v>
      </c>
    </row>
    <row r="1342" spans="1:48" x14ac:dyDescent="0.45">
      <c r="A1342" s="5" t="s">
        <v>2703</v>
      </c>
      <c r="B1342">
        <v>2251</v>
      </c>
      <c r="C1342" t="s">
        <v>2701</v>
      </c>
      <c r="D1342">
        <v>1238</v>
      </c>
      <c r="E1342" t="s">
        <v>2704</v>
      </c>
      <c r="F1342" t="s">
        <v>2739</v>
      </c>
      <c r="G1342" t="s">
        <v>2744</v>
      </c>
      <c r="H1342" t="s">
        <v>2745</v>
      </c>
      <c r="I1342" t="s">
        <v>2742</v>
      </c>
      <c r="J1342">
        <v>263.719903153605</v>
      </c>
      <c r="K1342">
        <v>1</v>
      </c>
      <c r="L1342">
        <v>1</v>
      </c>
      <c r="M1342">
        <v>1</v>
      </c>
      <c r="N1342" s="6">
        <v>2103284.65362617</v>
      </c>
      <c r="O1342" s="6">
        <v>950936.31439043104</v>
      </c>
      <c r="P1342" s="6">
        <v>818674.26684033801</v>
      </c>
      <c r="Q1342" s="6">
        <v>202784.49970024001</v>
      </c>
      <c r="R1342" s="6">
        <v>122457.522576159</v>
      </c>
      <c r="S1342" s="6">
        <v>116110.851010536</v>
      </c>
      <c r="T1342" s="6">
        <v>3092928.75</v>
      </c>
      <c r="U1342" s="6">
        <v>1105208.50713334</v>
      </c>
      <c r="V1342" s="6">
        <v>3608921.6404274502</v>
      </c>
      <c r="W1342" s="6">
        <v>587215.61670588795</v>
      </c>
      <c r="X1342" s="6">
        <v>0</v>
      </c>
      <c r="Y1342" s="6">
        <v>0</v>
      </c>
      <c r="Z1342" s="6">
        <v>0</v>
      </c>
      <c r="AA1342" s="6">
        <v>0</v>
      </c>
      <c r="AB1342" s="6">
        <v>2000</v>
      </c>
      <c r="AC1342" s="6">
        <v>91558.018256317999</v>
      </c>
      <c r="AD1342" s="6">
        <v>24552.832754217801</v>
      </c>
      <c r="AE1342" s="6">
        <v>0</v>
      </c>
      <c r="AF1342" s="6">
        <v>0</v>
      </c>
      <c r="AG1342" s="6">
        <v>0</v>
      </c>
      <c r="AH1342" s="6">
        <v>0</v>
      </c>
      <c r="AI1342" s="6">
        <v>0</v>
      </c>
      <c r="AJ1342" s="6">
        <v>4314248.10814388</v>
      </c>
      <c r="AK1342" s="6">
        <v>16359.205568307099</v>
      </c>
      <c r="AL1342" s="6">
        <v>330.98244656580999</v>
      </c>
      <c r="AM1342" s="6">
        <v>93035.839999999997</v>
      </c>
      <c r="AN1342" s="6">
        <v>4631.12318614992</v>
      </c>
      <c r="AO1342" s="6">
        <v>16359.205568307099</v>
      </c>
      <c r="AP1342" s="6">
        <v>330.98244656580999</v>
      </c>
      <c r="AQ1342" s="6">
        <v>40734.411818744898</v>
      </c>
      <c r="AR1342" s="6">
        <v>16359.205568307099</v>
      </c>
      <c r="AS1342" s="6">
        <v>16359.205568307099</v>
      </c>
      <c r="AT1342" s="6">
        <v>0</v>
      </c>
      <c r="AU1342" t="s">
        <v>2973</v>
      </c>
      <c r="AV1342" t="s">
        <v>2973</v>
      </c>
    </row>
    <row r="1343" spans="1:48" x14ac:dyDescent="0.45">
      <c r="A1343" s="5" t="s">
        <v>2705</v>
      </c>
      <c r="B1343">
        <v>2251</v>
      </c>
      <c r="C1343" t="s">
        <v>2701</v>
      </c>
      <c r="D1343">
        <v>4564</v>
      </c>
      <c r="E1343" t="s">
        <v>2706</v>
      </c>
      <c r="F1343" t="s">
        <v>2739</v>
      </c>
      <c r="G1343" t="s">
        <v>2747</v>
      </c>
      <c r="H1343" t="s">
        <v>2745</v>
      </c>
      <c r="I1343" t="s">
        <v>2742</v>
      </c>
      <c r="J1343">
        <v>310.57514450864301</v>
      </c>
      <c r="K1343">
        <v>1</v>
      </c>
      <c r="L1343">
        <v>1</v>
      </c>
      <c r="M1343">
        <v>1</v>
      </c>
      <c r="N1343" s="6">
        <v>1869883.1247270801</v>
      </c>
      <c r="O1343" s="6">
        <v>442418.38315017399</v>
      </c>
      <c r="P1343" s="6">
        <v>713720.03643145098</v>
      </c>
      <c r="Q1343" s="6">
        <v>238813.31877265201</v>
      </c>
      <c r="R1343" s="6">
        <v>141859.26823829199</v>
      </c>
      <c r="S1343" s="6">
        <v>136740.32145618799</v>
      </c>
      <c r="T1343" s="6">
        <v>2105122.7000000002</v>
      </c>
      <c r="U1343" s="6">
        <v>1301571.43131965</v>
      </c>
      <c r="V1343" s="6">
        <v>3265553.2667546002</v>
      </c>
      <c r="W1343" s="6">
        <v>141140.86456504799</v>
      </c>
      <c r="X1343" s="6">
        <v>0</v>
      </c>
      <c r="Y1343" s="6">
        <v>0</v>
      </c>
      <c r="Z1343" s="6">
        <v>0</v>
      </c>
      <c r="AA1343" s="6">
        <v>0</v>
      </c>
      <c r="AB1343" s="6">
        <v>0</v>
      </c>
      <c r="AC1343" s="6">
        <v>107825.175160627</v>
      </c>
      <c r="AD1343" s="6">
        <v>28915.146295561299</v>
      </c>
      <c r="AE1343" s="6">
        <v>0</v>
      </c>
      <c r="AF1343" s="6">
        <v>0</v>
      </c>
      <c r="AG1343" s="6">
        <v>0</v>
      </c>
      <c r="AH1343" s="6">
        <v>0</v>
      </c>
      <c r="AI1343" s="6">
        <v>0</v>
      </c>
      <c r="AJ1343" s="6">
        <v>3543434.4527758402</v>
      </c>
      <c r="AK1343" s="6">
        <v>11409.2660518016</v>
      </c>
      <c r="AL1343" s="6">
        <v>330.98244656580999</v>
      </c>
      <c r="AM1343" s="6">
        <v>93035.839999999997</v>
      </c>
      <c r="AN1343" s="6">
        <v>4631.12318614992</v>
      </c>
      <c r="AO1343" s="6">
        <v>16359.205568307099</v>
      </c>
      <c r="AP1343" s="6">
        <v>3753.1860850462999</v>
      </c>
      <c r="AQ1343" s="6">
        <v>20687.885194392002</v>
      </c>
      <c r="AR1343" s="6">
        <v>11409.2660518016</v>
      </c>
      <c r="AS1343" s="6">
        <v>11409.2660518016</v>
      </c>
      <c r="AT1343" s="6">
        <v>0</v>
      </c>
      <c r="AU1343" t="s">
        <v>2973</v>
      </c>
      <c r="AV1343" t="s">
        <v>2973</v>
      </c>
    </row>
    <row r="1344" spans="1:48" x14ac:dyDescent="0.45">
      <c r="A1344" s="5" t="s">
        <v>2707</v>
      </c>
      <c r="B1344">
        <v>2251</v>
      </c>
      <c r="C1344" t="s">
        <v>2701</v>
      </c>
      <c r="D1344">
        <v>2251</v>
      </c>
      <c r="E1344" t="s">
        <v>2701</v>
      </c>
      <c r="F1344" t="s">
        <v>1</v>
      </c>
      <c r="G1344" t="s">
        <v>1</v>
      </c>
      <c r="H1344" t="s">
        <v>2743</v>
      </c>
      <c r="I1344" t="s">
        <v>2742</v>
      </c>
      <c r="J1344">
        <v>107.90059684832799</v>
      </c>
      <c r="K1344">
        <v>1</v>
      </c>
      <c r="L1344">
        <v>1</v>
      </c>
      <c r="M1344">
        <v>1</v>
      </c>
      <c r="N1344" s="6">
        <v>154535.843753956</v>
      </c>
      <c r="O1344" s="6">
        <v>10774.341867638001</v>
      </c>
      <c r="P1344" s="6">
        <v>154630.21107386699</v>
      </c>
      <c r="Q1344" s="6">
        <v>82968.969302635494</v>
      </c>
      <c r="R1344" s="6">
        <v>49285.011959329102</v>
      </c>
      <c r="S1344" s="6">
        <v>47506.577906282902</v>
      </c>
      <c r="T1344" s="6">
        <v>0</v>
      </c>
      <c r="U1344" s="6">
        <v>452194.37795742502</v>
      </c>
      <c r="V1344" s="6">
        <v>426808.13193322002</v>
      </c>
      <c r="W1344" s="6">
        <v>25386.2460242054</v>
      </c>
      <c r="X1344" s="6">
        <v>0</v>
      </c>
      <c r="Y1344" s="6">
        <v>0</v>
      </c>
      <c r="Z1344" s="6">
        <v>0</v>
      </c>
      <c r="AA1344" s="6">
        <v>0</v>
      </c>
      <c r="AB1344" s="6">
        <v>0</v>
      </c>
      <c r="AC1344" s="6">
        <v>37460.823767831702</v>
      </c>
      <c r="AD1344" s="6">
        <v>10045.754138451201</v>
      </c>
      <c r="AE1344" s="6">
        <v>0</v>
      </c>
      <c r="AF1344" s="6">
        <v>0</v>
      </c>
      <c r="AG1344" s="6">
        <v>0</v>
      </c>
      <c r="AH1344" s="6">
        <v>0</v>
      </c>
      <c r="AI1344" s="6">
        <v>0</v>
      </c>
      <c r="AJ1344" s="6">
        <v>499700.95586370799</v>
      </c>
      <c r="AK1344" s="6">
        <v>4631.12318614992</v>
      </c>
      <c r="AL1344" s="6">
        <v>330.98244656580999</v>
      </c>
      <c r="AM1344" s="6">
        <v>93035.839999999997</v>
      </c>
      <c r="AN1344" s="6">
        <v>4631.12318614992</v>
      </c>
      <c r="AO1344" s="6">
        <v>16359.205568307099</v>
      </c>
      <c r="AP1344" s="6">
        <v>634.54287297753501</v>
      </c>
      <c r="AQ1344" s="6">
        <v>40331.279999999999</v>
      </c>
      <c r="AR1344" s="6">
        <v>4631.12318614992</v>
      </c>
      <c r="AS1344" s="6">
        <v>4631.12318614992</v>
      </c>
      <c r="AT1344" s="6">
        <v>0</v>
      </c>
      <c r="AU1344" t="s">
        <v>2973</v>
      </c>
      <c r="AV1344" t="s">
        <v>2977</v>
      </c>
    </row>
    <row r="1345" spans="1:48" x14ac:dyDescent="0.45">
      <c r="A1345" s="5" t="s">
        <v>2708</v>
      </c>
      <c r="B1345">
        <v>1997</v>
      </c>
      <c r="C1345" t="s">
        <v>2709</v>
      </c>
      <c r="D1345">
        <v>299</v>
      </c>
      <c r="E1345" t="s">
        <v>2710</v>
      </c>
      <c r="F1345" t="s">
        <v>2739</v>
      </c>
      <c r="G1345" t="s">
        <v>2740</v>
      </c>
      <c r="H1345" t="s">
        <v>2741</v>
      </c>
      <c r="I1345" t="s">
        <v>2742</v>
      </c>
      <c r="J1345">
        <v>133.194078947333</v>
      </c>
      <c r="K1345">
        <v>1</v>
      </c>
      <c r="L1345">
        <v>1</v>
      </c>
      <c r="M1345">
        <v>3</v>
      </c>
      <c r="N1345" s="6">
        <v>1212915.6888057799</v>
      </c>
      <c r="O1345" s="6">
        <v>335706.42032538599</v>
      </c>
      <c r="P1345" s="6">
        <v>1915986.60445303</v>
      </c>
      <c r="Q1345" s="6">
        <v>160871.87562717</v>
      </c>
      <c r="R1345" s="6">
        <v>245688.71674182601</v>
      </c>
      <c r="S1345" s="6">
        <v>71786.546185173895</v>
      </c>
      <c r="T1345" s="6">
        <v>1962767.59</v>
      </c>
      <c r="U1345" s="6">
        <v>1908401.7159531901</v>
      </c>
      <c r="V1345" s="6">
        <v>2097620.83201257</v>
      </c>
      <c r="W1345" s="6">
        <v>1773548.47394062</v>
      </c>
      <c r="X1345" s="6">
        <v>0</v>
      </c>
      <c r="Y1345" s="6">
        <v>0</v>
      </c>
      <c r="Z1345" s="6">
        <v>0</v>
      </c>
      <c r="AA1345" s="6">
        <v>0</v>
      </c>
      <c r="AB1345" s="6">
        <v>0</v>
      </c>
      <c r="AC1345" s="6">
        <v>70235.2358108552</v>
      </c>
      <c r="AD1345" s="6">
        <v>1551.31037431866</v>
      </c>
      <c r="AE1345" s="6">
        <v>0</v>
      </c>
      <c r="AF1345" s="6">
        <v>0</v>
      </c>
      <c r="AG1345" s="6">
        <v>0</v>
      </c>
      <c r="AH1345" s="6">
        <v>0</v>
      </c>
      <c r="AI1345" s="6">
        <v>0</v>
      </c>
      <c r="AJ1345" s="6">
        <v>3942955.85213836</v>
      </c>
      <c r="AK1345" s="6">
        <v>29603.086588387199</v>
      </c>
      <c r="AL1345" s="6">
        <v>330.98244656580999</v>
      </c>
      <c r="AM1345" s="6">
        <v>93035.839999999997</v>
      </c>
      <c r="AN1345" s="6">
        <v>29603.086588387199</v>
      </c>
      <c r="AO1345" s="6">
        <v>29705.732542008001</v>
      </c>
      <c r="AP1345" s="6">
        <v>330.98244656580999</v>
      </c>
      <c r="AQ1345" s="6">
        <v>93035.839999999997</v>
      </c>
      <c r="AR1345" s="6">
        <v>29603.086588387199</v>
      </c>
      <c r="AS1345" s="6">
        <v>29603.086588387199</v>
      </c>
      <c r="AT1345" s="6">
        <v>0</v>
      </c>
      <c r="AU1345" t="s">
        <v>2973</v>
      </c>
      <c r="AV1345" t="s">
        <v>2973</v>
      </c>
    </row>
    <row r="1346" spans="1:48" x14ac:dyDescent="0.45">
      <c r="A1346" s="5" t="s">
        <v>2711</v>
      </c>
      <c r="B1346">
        <v>1997</v>
      </c>
      <c r="C1346" t="s">
        <v>2709</v>
      </c>
      <c r="D1346">
        <v>300</v>
      </c>
      <c r="E1346" t="s">
        <v>2712</v>
      </c>
      <c r="F1346" t="s">
        <v>2739</v>
      </c>
      <c r="G1346" t="s">
        <v>2744</v>
      </c>
      <c r="H1346" t="s">
        <v>2745</v>
      </c>
      <c r="I1346" t="s">
        <v>2742</v>
      </c>
      <c r="J1346">
        <v>104.31359649117</v>
      </c>
      <c r="K1346">
        <v>1</v>
      </c>
      <c r="L1346">
        <v>1</v>
      </c>
      <c r="M1346">
        <v>3</v>
      </c>
      <c r="N1346" s="6">
        <v>959543.86119422398</v>
      </c>
      <c r="O1346" s="6">
        <v>263785.439674614</v>
      </c>
      <c r="P1346" s="6">
        <v>1420417.0155469701</v>
      </c>
      <c r="Q1346" s="6">
        <v>125990.01437283</v>
      </c>
      <c r="R1346" s="6">
        <v>272754.40325817402</v>
      </c>
      <c r="S1346" s="6">
        <v>56221.063814826099</v>
      </c>
      <c r="T1346" s="6">
        <v>1547887.91</v>
      </c>
      <c r="U1346" s="6">
        <v>1494602.8240468099</v>
      </c>
      <c r="V1346" s="6">
        <v>1719477.4879874301</v>
      </c>
      <c r="W1346" s="6">
        <v>1322013.24605938</v>
      </c>
      <c r="X1346" s="6">
        <v>0</v>
      </c>
      <c r="Y1346" s="6">
        <v>0</v>
      </c>
      <c r="Z1346" s="6">
        <v>0</v>
      </c>
      <c r="AA1346" s="6">
        <v>0</v>
      </c>
      <c r="AB1346" s="6">
        <v>1000</v>
      </c>
      <c r="AC1346" s="6">
        <v>55006.124189144801</v>
      </c>
      <c r="AD1346" s="6">
        <v>1214.93962568134</v>
      </c>
      <c r="AE1346" s="6">
        <v>0</v>
      </c>
      <c r="AF1346" s="6">
        <v>0</v>
      </c>
      <c r="AG1346" s="6">
        <v>0</v>
      </c>
      <c r="AH1346" s="6">
        <v>0</v>
      </c>
      <c r="AI1346" s="6">
        <v>0</v>
      </c>
      <c r="AJ1346" s="6">
        <v>3098711.7978616399</v>
      </c>
      <c r="AK1346" s="6">
        <v>29705.732542008001</v>
      </c>
      <c r="AL1346" s="6">
        <v>330.98244656580999</v>
      </c>
      <c r="AM1346" s="6">
        <v>93035.839999999997</v>
      </c>
      <c r="AN1346" s="6">
        <v>29603.086588387199</v>
      </c>
      <c r="AO1346" s="6">
        <v>29705.732542008001</v>
      </c>
      <c r="AP1346" s="6">
        <v>330.98244656580999</v>
      </c>
      <c r="AQ1346" s="6">
        <v>40734.411818744898</v>
      </c>
      <c r="AR1346" s="6">
        <v>29705.732542008001</v>
      </c>
      <c r="AS1346" s="6">
        <v>29705.732542008001</v>
      </c>
      <c r="AT1346" s="6">
        <v>0</v>
      </c>
      <c r="AU1346" t="s">
        <v>2973</v>
      </c>
      <c r="AV1346" t="s">
        <v>2973</v>
      </c>
    </row>
    <row r="1347" spans="1:48" s="22" customFormat="1" x14ac:dyDescent="0.45">
      <c r="A1347" s="21" t="s">
        <v>428</v>
      </c>
      <c r="B1347" s="22">
        <v>1902</v>
      </c>
      <c r="C1347" s="22" t="s">
        <v>429</v>
      </c>
      <c r="D1347" s="22">
        <v>1902</v>
      </c>
      <c r="E1347" s="22" t="s">
        <v>429</v>
      </c>
      <c r="F1347" s="22" t="s">
        <v>2751</v>
      </c>
      <c r="G1347" s="22" t="s">
        <v>2751</v>
      </c>
      <c r="H1347" s="22" t="s">
        <v>2743</v>
      </c>
      <c r="I1347" s="22" t="s">
        <v>2742</v>
      </c>
      <c r="J1347" s="22">
        <v>0</v>
      </c>
      <c r="K1347" s="22">
        <v>0</v>
      </c>
      <c r="L1347" s="22">
        <v>0</v>
      </c>
      <c r="M1347" s="22">
        <v>0</v>
      </c>
      <c r="N1347" s="23">
        <v>0</v>
      </c>
      <c r="O1347" s="23">
        <v>0</v>
      </c>
      <c r="P1347" s="23">
        <v>0</v>
      </c>
      <c r="Q1347" s="23">
        <v>0</v>
      </c>
      <c r="R1347" s="23">
        <v>0</v>
      </c>
      <c r="S1347" s="23">
        <v>0</v>
      </c>
      <c r="T1347" s="23">
        <v>0</v>
      </c>
      <c r="U1347" s="23">
        <v>0</v>
      </c>
      <c r="V1347" s="23">
        <v>0</v>
      </c>
      <c r="W1347" s="23">
        <v>0</v>
      </c>
      <c r="X1347" s="23">
        <v>0</v>
      </c>
      <c r="Y1347" s="23">
        <v>0</v>
      </c>
      <c r="Z1347" s="23">
        <v>0</v>
      </c>
      <c r="AA1347" s="23">
        <v>0</v>
      </c>
      <c r="AB1347" s="23">
        <v>0</v>
      </c>
      <c r="AC1347" s="23">
        <v>0</v>
      </c>
      <c r="AD1347" s="23">
        <v>0</v>
      </c>
      <c r="AE1347" s="23">
        <v>0</v>
      </c>
      <c r="AF1347" s="23">
        <v>0</v>
      </c>
      <c r="AG1347" s="23">
        <v>0</v>
      </c>
      <c r="AH1347" s="23">
        <v>0</v>
      </c>
      <c r="AI1347" s="23">
        <v>0</v>
      </c>
      <c r="AJ1347" s="23">
        <v>0</v>
      </c>
      <c r="AK1347" s="23">
        <v>0</v>
      </c>
      <c r="AL1347" s="23">
        <v>0</v>
      </c>
      <c r="AM1347" s="23">
        <v>0</v>
      </c>
      <c r="AN1347" s="23">
        <v>0</v>
      </c>
      <c r="AO1347" s="23">
        <v>0</v>
      </c>
      <c r="AP1347" s="23">
        <v>0</v>
      </c>
      <c r="AQ1347" s="23">
        <v>0</v>
      </c>
      <c r="AR1347" s="23">
        <v>0</v>
      </c>
      <c r="AS1347" s="23">
        <v>0</v>
      </c>
      <c r="AT1347" s="23">
        <v>54132675</v>
      </c>
      <c r="AU1347" s="22" t="s">
        <v>2973</v>
      </c>
      <c r="AV1347" s="22" t="s">
        <v>2973</v>
      </c>
    </row>
    <row r="1348" spans="1:48" s="22" customFormat="1" x14ac:dyDescent="0.45">
      <c r="A1348" s="21" t="s">
        <v>443</v>
      </c>
      <c r="B1348" s="22">
        <v>2223</v>
      </c>
      <c r="C1348" s="22" t="s">
        <v>444</v>
      </c>
      <c r="D1348" s="22">
        <v>2223</v>
      </c>
      <c r="E1348" s="22" t="s">
        <v>444</v>
      </c>
      <c r="F1348" s="22" t="s">
        <v>2751</v>
      </c>
      <c r="G1348" s="22" t="s">
        <v>2751</v>
      </c>
      <c r="H1348" s="22" t="s">
        <v>2743</v>
      </c>
      <c r="I1348" s="22" t="s">
        <v>2742</v>
      </c>
      <c r="J1348" s="22">
        <v>0</v>
      </c>
      <c r="K1348" s="22">
        <v>0</v>
      </c>
      <c r="L1348" s="22">
        <v>0</v>
      </c>
      <c r="M1348" s="22">
        <v>0</v>
      </c>
      <c r="N1348" s="23">
        <v>0</v>
      </c>
      <c r="O1348" s="23">
        <v>0</v>
      </c>
      <c r="P1348" s="23">
        <v>0</v>
      </c>
      <c r="Q1348" s="23">
        <v>0</v>
      </c>
      <c r="R1348" s="23">
        <v>0</v>
      </c>
      <c r="S1348" s="23">
        <v>0</v>
      </c>
      <c r="T1348" s="23">
        <v>0</v>
      </c>
      <c r="U1348" s="23">
        <v>0</v>
      </c>
      <c r="V1348" s="23">
        <v>0</v>
      </c>
      <c r="W1348" s="23">
        <v>0</v>
      </c>
      <c r="X1348" s="23">
        <v>0</v>
      </c>
      <c r="Y1348" s="23">
        <v>0</v>
      </c>
      <c r="Z1348" s="23">
        <v>0</v>
      </c>
      <c r="AA1348" s="23">
        <v>0</v>
      </c>
      <c r="AB1348" s="23">
        <v>0</v>
      </c>
      <c r="AC1348" s="23">
        <v>0</v>
      </c>
      <c r="AD1348" s="23">
        <v>0</v>
      </c>
      <c r="AE1348" s="23">
        <v>0</v>
      </c>
      <c r="AF1348" s="23">
        <v>0</v>
      </c>
      <c r="AG1348" s="23">
        <v>0</v>
      </c>
      <c r="AH1348" s="23">
        <v>0</v>
      </c>
      <c r="AI1348" s="23">
        <v>0</v>
      </c>
      <c r="AJ1348" s="23">
        <v>0</v>
      </c>
      <c r="AK1348" s="23">
        <v>0</v>
      </c>
      <c r="AL1348" s="23">
        <v>0</v>
      </c>
      <c r="AM1348" s="23">
        <v>0</v>
      </c>
      <c r="AN1348" s="23">
        <v>0</v>
      </c>
      <c r="AO1348" s="23">
        <v>0</v>
      </c>
      <c r="AP1348" s="23">
        <v>0</v>
      </c>
      <c r="AQ1348" s="23">
        <v>0</v>
      </c>
      <c r="AR1348" s="23">
        <v>0</v>
      </c>
      <c r="AS1348" s="23">
        <v>0</v>
      </c>
      <c r="AT1348" s="23">
        <v>7213173.2300000004</v>
      </c>
      <c r="AU1348" s="22" t="s">
        <v>2973</v>
      </c>
      <c r="AV1348" s="22" t="s">
        <v>2973</v>
      </c>
    </row>
    <row r="1349" spans="1:48" s="22" customFormat="1" x14ac:dyDescent="0.45">
      <c r="A1349" s="21" t="s">
        <v>642</v>
      </c>
      <c r="B1349" s="22">
        <v>1980</v>
      </c>
      <c r="C1349" s="22" t="s">
        <v>643</v>
      </c>
      <c r="D1349" s="22">
        <v>1980</v>
      </c>
      <c r="E1349" s="22" t="s">
        <v>643</v>
      </c>
      <c r="F1349" s="22" t="s">
        <v>2751</v>
      </c>
      <c r="G1349" s="22" t="s">
        <v>2751</v>
      </c>
      <c r="H1349" s="22" t="s">
        <v>2743</v>
      </c>
      <c r="I1349" s="22" t="s">
        <v>2742</v>
      </c>
      <c r="J1349" s="22">
        <v>0</v>
      </c>
      <c r="K1349" s="22">
        <v>0</v>
      </c>
      <c r="L1349" s="22">
        <v>0</v>
      </c>
      <c r="M1349" s="22">
        <v>0</v>
      </c>
      <c r="N1349" s="23">
        <v>0</v>
      </c>
      <c r="O1349" s="23">
        <v>0</v>
      </c>
      <c r="P1349" s="23">
        <v>0</v>
      </c>
      <c r="Q1349" s="23">
        <v>0</v>
      </c>
      <c r="R1349" s="23">
        <v>0</v>
      </c>
      <c r="S1349" s="23">
        <v>0</v>
      </c>
      <c r="T1349" s="23">
        <v>0</v>
      </c>
      <c r="U1349" s="23">
        <v>0</v>
      </c>
      <c r="V1349" s="23">
        <v>0</v>
      </c>
      <c r="W1349" s="23">
        <v>0</v>
      </c>
      <c r="X1349" s="23">
        <v>0</v>
      </c>
      <c r="Y1349" s="23">
        <v>0</v>
      </c>
      <c r="Z1349" s="23">
        <v>0</v>
      </c>
      <c r="AA1349" s="23">
        <v>0</v>
      </c>
      <c r="AB1349" s="23">
        <v>0</v>
      </c>
      <c r="AC1349" s="23">
        <v>0</v>
      </c>
      <c r="AD1349" s="23">
        <v>0</v>
      </c>
      <c r="AE1349" s="23">
        <v>0</v>
      </c>
      <c r="AF1349" s="23">
        <v>0</v>
      </c>
      <c r="AG1349" s="23">
        <v>0</v>
      </c>
      <c r="AH1349" s="23">
        <v>0</v>
      </c>
      <c r="AI1349" s="23">
        <v>0</v>
      </c>
      <c r="AJ1349" s="23">
        <v>0</v>
      </c>
      <c r="AK1349" s="23">
        <v>0</v>
      </c>
      <c r="AL1349" s="23">
        <v>0</v>
      </c>
      <c r="AM1349" s="23">
        <v>0</v>
      </c>
      <c r="AN1349" s="23">
        <v>0</v>
      </c>
      <c r="AO1349" s="23">
        <v>0</v>
      </c>
      <c r="AP1349" s="23">
        <v>0</v>
      </c>
      <c r="AQ1349" s="23">
        <v>0</v>
      </c>
      <c r="AR1349" s="23">
        <v>0</v>
      </c>
      <c r="AS1349" s="23">
        <v>0</v>
      </c>
      <c r="AT1349" s="23">
        <v>40947250.549999997</v>
      </c>
      <c r="AU1349" s="22" t="s">
        <v>2973</v>
      </c>
      <c r="AV1349" s="22" t="s">
        <v>2973</v>
      </c>
    </row>
    <row r="1350" spans="1:48" s="22" customFormat="1" x14ac:dyDescent="0.45">
      <c r="A1350" s="21" t="s">
        <v>817</v>
      </c>
      <c r="B1350" s="22">
        <v>2020</v>
      </c>
      <c r="C1350" s="22" t="s">
        <v>818</v>
      </c>
      <c r="D1350" s="22">
        <v>351</v>
      </c>
      <c r="E1350" s="22" t="s">
        <v>819</v>
      </c>
      <c r="F1350" s="22" t="s">
        <v>2739</v>
      </c>
      <c r="G1350" s="22" t="s">
        <v>2740</v>
      </c>
      <c r="H1350" s="22" t="s">
        <v>2741</v>
      </c>
      <c r="I1350" s="22" t="s">
        <v>2742</v>
      </c>
      <c r="J1350" s="22">
        <v>2.370860927152</v>
      </c>
      <c r="K1350" s="22">
        <v>0</v>
      </c>
      <c r="L1350" s="22">
        <v>0</v>
      </c>
      <c r="M1350" s="22">
        <v>1</v>
      </c>
      <c r="N1350" s="23">
        <v>120424.41</v>
      </c>
      <c r="O1350" s="23">
        <v>312430.59999999998</v>
      </c>
      <c r="P1350" s="23">
        <v>66657.05</v>
      </c>
      <c r="Q1350" s="23">
        <v>3151748.03</v>
      </c>
      <c r="R1350" s="23">
        <v>130000</v>
      </c>
      <c r="S1350" s="23">
        <v>1261.6423404328</v>
      </c>
      <c r="T1350" s="23">
        <v>3781260.09</v>
      </c>
      <c r="U1350" s="23">
        <v>0</v>
      </c>
      <c r="V1350" s="23">
        <v>3748713.81</v>
      </c>
      <c r="W1350" s="23">
        <v>32546.28</v>
      </c>
      <c r="X1350" s="23">
        <v>0</v>
      </c>
      <c r="Y1350" s="23">
        <v>0</v>
      </c>
      <c r="Z1350" s="23">
        <v>0</v>
      </c>
      <c r="AA1350" s="23">
        <v>0</v>
      </c>
      <c r="AB1350" s="23">
        <v>0</v>
      </c>
      <c r="AC1350" s="23">
        <v>1261.6423404328</v>
      </c>
      <c r="AD1350" s="23">
        <v>0</v>
      </c>
      <c r="AE1350" s="23">
        <v>0</v>
      </c>
      <c r="AF1350" s="23">
        <v>0</v>
      </c>
      <c r="AG1350" s="23">
        <v>0</v>
      </c>
      <c r="AH1350" s="23">
        <v>0</v>
      </c>
      <c r="AI1350" s="23">
        <v>0</v>
      </c>
      <c r="AJ1350" s="23">
        <v>3782521.7323404299</v>
      </c>
      <c r="AK1350" s="23">
        <v>1595421.17760749</v>
      </c>
      <c r="AL1350" s="23">
        <v>0</v>
      </c>
      <c r="AM1350" s="23">
        <v>0</v>
      </c>
      <c r="AN1350" s="23">
        <v>0</v>
      </c>
      <c r="AO1350" s="23">
        <v>0</v>
      </c>
      <c r="AP1350" s="23">
        <v>0</v>
      </c>
      <c r="AQ1350" s="23">
        <v>0</v>
      </c>
      <c r="AR1350" s="23">
        <v>0</v>
      </c>
      <c r="AS1350" s="23">
        <v>0</v>
      </c>
      <c r="AT1350" s="23">
        <v>0</v>
      </c>
      <c r="AU1350" s="22" t="s">
        <v>2973</v>
      </c>
      <c r="AV1350" s="22" t="s">
        <v>2973</v>
      </c>
    </row>
    <row r="1351" spans="1:48" s="22" customFormat="1" x14ac:dyDescent="0.45">
      <c r="A1351" s="21" t="s">
        <v>860</v>
      </c>
      <c r="B1351" s="22">
        <v>2007</v>
      </c>
      <c r="C1351" s="22" t="s">
        <v>861</v>
      </c>
      <c r="D1351" s="22">
        <v>2007</v>
      </c>
      <c r="E1351" s="22" t="s">
        <v>861</v>
      </c>
      <c r="F1351" s="22" t="s">
        <v>2751</v>
      </c>
      <c r="G1351" s="22" t="s">
        <v>2751</v>
      </c>
      <c r="H1351" s="22" t="s">
        <v>2743</v>
      </c>
      <c r="I1351" s="22" t="s">
        <v>2742</v>
      </c>
      <c r="J1351" s="22">
        <v>0</v>
      </c>
      <c r="K1351" s="22">
        <v>0</v>
      </c>
      <c r="L1351" s="22">
        <v>0</v>
      </c>
      <c r="M1351" s="22">
        <v>0</v>
      </c>
      <c r="N1351" s="23">
        <v>0</v>
      </c>
      <c r="O1351" s="23">
        <v>0</v>
      </c>
      <c r="P1351" s="23">
        <v>0</v>
      </c>
      <c r="Q1351" s="23">
        <v>0</v>
      </c>
      <c r="R1351" s="23">
        <v>0</v>
      </c>
      <c r="S1351" s="23">
        <v>0</v>
      </c>
      <c r="T1351" s="23">
        <v>0</v>
      </c>
      <c r="U1351" s="23">
        <v>0</v>
      </c>
      <c r="V1351" s="23">
        <v>0</v>
      </c>
      <c r="W1351" s="23">
        <v>0</v>
      </c>
      <c r="X1351" s="23">
        <v>0</v>
      </c>
      <c r="Y1351" s="23">
        <v>0</v>
      </c>
      <c r="Z1351" s="23">
        <v>0</v>
      </c>
      <c r="AA1351" s="23">
        <v>0</v>
      </c>
      <c r="AB1351" s="23">
        <v>0</v>
      </c>
      <c r="AC1351" s="23">
        <v>0</v>
      </c>
      <c r="AD1351" s="23">
        <v>0</v>
      </c>
      <c r="AE1351" s="23">
        <v>0</v>
      </c>
      <c r="AF1351" s="23">
        <v>0</v>
      </c>
      <c r="AG1351" s="23">
        <v>0</v>
      </c>
      <c r="AH1351" s="23">
        <v>0</v>
      </c>
      <c r="AI1351" s="23">
        <v>0</v>
      </c>
      <c r="AJ1351" s="23">
        <v>0</v>
      </c>
      <c r="AK1351" s="23">
        <v>0</v>
      </c>
      <c r="AL1351" s="23">
        <v>0</v>
      </c>
      <c r="AM1351" s="23">
        <v>0</v>
      </c>
      <c r="AN1351" s="23">
        <v>0</v>
      </c>
      <c r="AO1351" s="23">
        <v>0</v>
      </c>
      <c r="AP1351" s="23">
        <v>0</v>
      </c>
      <c r="AQ1351" s="23">
        <v>0</v>
      </c>
      <c r="AR1351" s="23">
        <v>0</v>
      </c>
      <c r="AS1351" s="23">
        <v>0</v>
      </c>
      <c r="AT1351" s="23">
        <v>2830822.18</v>
      </c>
      <c r="AU1351" s="22" t="s">
        <v>2973</v>
      </c>
      <c r="AV1351" s="22" t="s">
        <v>2973</v>
      </c>
    </row>
    <row r="1352" spans="1:48" s="22" customFormat="1" x14ac:dyDescent="0.45">
      <c r="A1352" s="21" t="s">
        <v>2756</v>
      </c>
      <c r="B1352" s="22">
        <v>2183</v>
      </c>
      <c r="C1352" s="22" t="s">
        <v>925</v>
      </c>
      <c r="D1352" s="22">
        <v>3553</v>
      </c>
      <c r="E1352" s="22" t="s">
        <v>2757</v>
      </c>
      <c r="F1352" s="22" t="s">
        <v>3</v>
      </c>
      <c r="G1352" s="22" t="s">
        <v>2744</v>
      </c>
      <c r="H1352" s="22" t="s">
        <v>2741</v>
      </c>
      <c r="I1352" s="22" t="s">
        <v>2742</v>
      </c>
      <c r="J1352" s="22">
        <v>0.96273291925350002</v>
      </c>
      <c r="K1352" s="22">
        <v>0</v>
      </c>
      <c r="L1352" s="22">
        <v>0</v>
      </c>
      <c r="M1352" s="22">
        <v>2</v>
      </c>
      <c r="N1352" s="23">
        <v>400198.18465149699</v>
      </c>
      <c r="O1352" s="23">
        <v>694.11828959840102</v>
      </c>
      <c r="P1352" s="23">
        <v>4387.5834109632297</v>
      </c>
      <c r="Q1352" s="23">
        <v>295.619799560812</v>
      </c>
      <c r="R1352" s="23">
        <v>237.91011822155099</v>
      </c>
      <c r="S1352" s="23">
        <v>340.62034837112202</v>
      </c>
      <c r="T1352" s="23">
        <v>402305.3</v>
      </c>
      <c r="U1352" s="23">
        <v>3508.1162698401899</v>
      </c>
      <c r="V1352" s="23">
        <v>5414.1268421988198</v>
      </c>
      <c r="W1352" s="23">
        <v>400362.400501494</v>
      </c>
      <c r="X1352" s="23">
        <v>0</v>
      </c>
      <c r="Y1352" s="23">
        <v>0</v>
      </c>
      <c r="Z1352" s="23">
        <v>0</v>
      </c>
      <c r="AA1352" s="23">
        <v>0</v>
      </c>
      <c r="AB1352" s="23">
        <v>36.888926147667298</v>
      </c>
      <c r="AC1352" s="23">
        <v>340.62034837112202</v>
      </c>
      <c r="AD1352" s="23">
        <v>0</v>
      </c>
      <c r="AE1352" s="23">
        <v>0</v>
      </c>
      <c r="AF1352" s="23">
        <v>0</v>
      </c>
      <c r="AG1352" s="23">
        <v>0</v>
      </c>
      <c r="AH1352" s="23">
        <v>0</v>
      </c>
      <c r="AI1352" s="23">
        <v>0</v>
      </c>
      <c r="AJ1352" s="23">
        <v>406154.03661821102</v>
      </c>
      <c r="AK1352" s="23">
        <v>421876.12835877901</v>
      </c>
      <c r="AL1352" s="23">
        <v>0</v>
      </c>
      <c r="AM1352" s="23">
        <v>0</v>
      </c>
      <c r="AN1352" s="23">
        <v>0</v>
      </c>
      <c r="AO1352" s="23">
        <v>0</v>
      </c>
      <c r="AP1352" s="23">
        <v>0</v>
      </c>
      <c r="AQ1352" s="23">
        <v>0</v>
      </c>
      <c r="AR1352" s="23">
        <v>0</v>
      </c>
      <c r="AS1352" s="23">
        <v>0</v>
      </c>
      <c r="AT1352" s="23">
        <v>0</v>
      </c>
      <c r="AU1352" s="22" t="s">
        <v>2973</v>
      </c>
      <c r="AV1352" s="22" t="s">
        <v>2973</v>
      </c>
    </row>
    <row r="1353" spans="1:48" s="22" customFormat="1" x14ac:dyDescent="0.45">
      <c r="A1353" s="21" t="s">
        <v>983</v>
      </c>
      <c r="B1353" s="22">
        <v>2013</v>
      </c>
      <c r="C1353" s="22" t="s">
        <v>984</v>
      </c>
      <c r="D1353" s="22">
        <v>2013</v>
      </c>
      <c r="E1353" s="22" t="s">
        <v>984</v>
      </c>
      <c r="F1353" s="22" t="s">
        <v>2751</v>
      </c>
      <c r="G1353" s="22" t="s">
        <v>2751</v>
      </c>
      <c r="H1353" s="22" t="s">
        <v>2743</v>
      </c>
      <c r="I1353" s="22" t="s">
        <v>2742</v>
      </c>
      <c r="J1353" s="22">
        <v>0</v>
      </c>
      <c r="K1353" s="22">
        <v>0</v>
      </c>
      <c r="L1353" s="22">
        <v>0</v>
      </c>
      <c r="M1353" s="22">
        <v>0</v>
      </c>
      <c r="N1353" s="23">
        <v>0</v>
      </c>
      <c r="O1353" s="23">
        <v>0</v>
      </c>
      <c r="P1353" s="23">
        <v>0</v>
      </c>
      <c r="Q1353" s="23">
        <v>0</v>
      </c>
      <c r="R1353" s="23">
        <v>0</v>
      </c>
      <c r="S1353" s="23">
        <v>0</v>
      </c>
      <c r="T1353" s="23">
        <v>0</v>
      </c>
      <c r="U1353" s="23">
        <v>0</v>
      </c>
      <c r="V1353" s="23">
        <v>0</v>
      </c>
      <c r="W1353" s="23">
        <v>0</v>
      </c>
      <c r="X1353" s="23">
        <v>0</v>
      </c>
      <c r="Y1353" s="23">
        <v>0</v>
      </c>
      <c r="Z1353" s="23">
        <v>0</v>
      </c>
      <c r="AA1353" s="23">
        <v>0</v>
      </c>
      <c r="AB1353" s="23">
        <v>0</v>
      </c>
      <c r="AC1353" s="23">
        <v>0</v>
      </c>
      <c r="AD1353" s="23">
        <v>0</v>
      </c>
      <c r="AE1353" s="23">
        <v>0</v>
      </c>
      <c r="AF1353" s="23">
        <v>0</v>
      </c>
      <c r="AG1353" s="23">
        <v>0</v>
      </c>
      <c r="AH1353" s="23">
        <v>0</v>
      </c>
      <c r="AI1353" s="23">
        <v>0</v>
      </c>
      <c r="AJ1353" s="23">
        <v>0</v>
      </c>
      <c r="AK1353" s="23">
        <v>0</v>
      </c>
      <c r="AL1353" s="23">
        <v>0</v>
      </c>
      <c r="AM1353" s="23">
        <v>0</v>
      </c>
      <c r="AN1353" s="23">
        <v>0</v>
      </c>
      <c r="AO1353" s="23">
        <v>0</v>
      </c>
      <c r="AP1353" s="23">
        <v>0</v>
      </c>
      <c r="AQ1353" s="23">
        <v>0</v>
      </c>
      <c r="AR1353" s="23">
        <v>0</v>
      </c>
      <c r="AS1353" s="23">
        <v>0</v>
      </c>
      <c r="AT1353" s="23">
        <v>3764371.32</v>
      </c>
      <c r="AU1353" s="22" t="s">
        <v>2973</v>
      </c>
      <c r="AV1353" s="22" t="s">
        <v>2973</v>
      </c>
    </row>
    <row r="1354" spans="1:48" s="22" customFormat="1" x14ac:dyDescent="0.45">
      <c r="A1354" s="21" t="s">
        <v>1015</v>
      </c>
      <c r="B1354" s="22">
        <v>1975</v>
      </c>
      <c r="C1354" s="22" t="s">
        <v>1016</v>
      </c>
      <c r="D1354" s="22">
        <v>1975</v>
      </c>
      <c r="E1354" s="22" t="s">
        <v>1016</v>
      </c>
      <c r="F1354" s="22" t="s">
        <v>2751</v>
      </c>
      <c r="G1354" s="22" t="s">
        <v>2751</v>
      </c>
      <c r="H1354" s="22" t="s">
        <v>2743</v>
      </c>
      <c r="I1354" s="22" t="s">
        <v>2742</v>
      </c>
      <c r="J1354" s="22">
        <v>0</v>
      </c>
      <c r="K1354" s="22">
        <v>0</v>
      </c>
      <c r="L1354" s="22">
        <v>0</v>
      </c>
      <c r="M1354" s="22">
        <v>0</v>
      </c>
      <c r="N1354" s="23">
        <v>0</v>
      </c>
      <c r="O1354" s="23">
        <v>0</v>
      </c>
      <c r="P1354" s="23">
        <v>0</v>
      </c>
      <c r="Q1354" s="23">
        <v>0</v>
      </c>
      <c r="R1354" s="23">
        <v>0</v>
      </c>
      <c r="S1354" s="23">
        <v>0</v>
      </c>
      <c r="T1354" s="23">
        <v>0</v>
      </c>
      <c r="U1354" s="23">
        <v>0</v>
      </c>
      <c r="V1354" s="23">
        <v>0</v>
      </c>
      <c r="W1354" s="23">
        <v>0</v>
      </c>
      <c r="X1354" s="23">
        <v>0</v>
      </c>
      <c r="Y1354" s="23">
        <v>0</v>
      </c>
      <c r="Z1354" s="23">
        <v>0</v>
      </c>
      <c r="AA1354" s="23">
        <v>0</v>
      </c>
      <c r="AB1354" s="23">
        <v>0</v>
      </c>
      <c r="AC1354" s="23">
        <v>0</v>
      </c>
      <c r="AD1354" s="23">
        <v>0</v>
      </c>
      <c r="AE1354" s="23">
        <v>0</v>
      </c>
      <c r="AF1354" s="23">
        <v>0</v>
      </c>
      <c r="AG1354" s="23">
        <v>0</v>
      </c>
      <c r="AH1354" s="23">
        <v>0</v>
      </c>
      <c r="AI1354" s="23">
        <v>0</v>
      </c>
      <c r="AJ1354" s="23">
        <v>0</v>
      </c>
      <c r="AK1354" s="23">
        <v>0</v>
      </c>
      <c r="AL1354" s="23">
        <v>0</v>
      </c>
      <c r="AM1354" s="23">
        <v>0</v>
      </c>
      <c r="AN1354" s="23">
        <v>0</v>
      </c>
      <c r="AO1354" s="23">
        <v>0</v>
      </c>
      <c r="AP1354" s="23">
        <v>0</v>
      </c>
      <c r="AQ1354" s="23">
        <v>0</v>
      </c>
      <c r="AR1354" s="23">
        <v>0</v>
      </c>
      <c r="AS1354" s="23">
        <v>0</v>
      </c>
      <c r="AT1354" s="23">
        <v>47075253.350000001</v>
      </c>
      <c r="AU1354" s="22" t="s">
        <v>2973</v>
      </c>
      <c r="AV1354" s="22" t="s">
        <v>2973</v>
      </c>
    </row>
    <row r="1355" spans="1:48" s="22" customFormat="1" x14ac:dyDescent="0.45">
      <c r="A1355" s="21" t="s">
        <v>1112</v>
      </c>
      <c r="B1355" s="22">
        <v>2200</v>
      </c>
      <c r="C1355" s="22" t="s">
        <v>1113</v>
      </c>
      <c r="D1355" s="22">
        <v>2200</v>
      </c>
      <c r="E1355" s="22" t="s">
        <v>1113</v>
      </c>
      <c r="F1355" s="22" t="s">
        <v>2751</v>
      </c>
      <c r="G1355" s="22" t="s">
        <v>2751</v>
      </c>
      <c r="H1355" s="22" t="s">
        <v>2743</v>
      </c>
      <c r="I1355" s="22" t="s">
        <v>2742</v>
      </c>
      <c r="J1355" s="22">
        <v>0</v>
      </c>
      <c r="K1355" s="22">
        <v>0</v>
      </c>
      <c r="L1355" s="22">
        <v>0</v>
      </c>
      <c r="M1355" s="22">
        <v>0</v>
      </c>
      <c r="N1355" s="23">
        <v>0</v>
      </c>
      <c r="O1355" s="23">
        <v>0</v>
      </c>
      <c r="P1355" s="23">
        <v>0</v>
      </c>
      <c r="Q1355" s="23">
        <v>0</v>
      </c>
      <c r="R1355" s="23">
        <v>0</v>
      </c>
      <c r="S1355" s="23">
        <v>0</v>
      </c>
      <c r="T1355" s="23">
        <v>0</v>
      </c>
      <c r="U1355" s="23">
        <v>0</v>
      </c>
      <c r="V1355" s="23">
        <v>0</v>
      </c>
      <c r="W1355" s="23">
        <v>0</v>
      </c>
      <c r="X1355" s="23">
        <v>0</v>
      </c>
      <c r="Y1355" s="23">
        <v>0</v>
      </c>
      <c r="Z1355" s="23">
        <v>0</v>
      </c>
      <c r="AA1355" s="23">
        <v>0</v>
      </c>
      <c r="AB1355" s="23">
        <v>0</v>
      </c>
      <c r="AC1355" s="23">
        <v>0</v>
      </c>
      <c r="AD1355" s="23">
        <v>0</v>
      </c>
      <c r="AE1355" s="23">
        <v>0</v>
      </c>
      <c r="AF1355" s="23">
        <v>0</v>
      </c>
      <c r="AG1355" s="23">
        <v>0</v>
      </c>
      <c r="AH1355" s="23">
        <v>0</v>
      </c>
      <c r="AI1355" s="23">
        <v>0</v>
      </c>
      <c r="AJ1355" s="23">
        <v>0</v>
      </c>
      <c r="AK1355" s="23">
        <v>0</v>
      </c>
      <c r="AL1355" s="23">
        <v>0</v>
      </c>
      <c r="AM1355" s="23">
        <v>0</v>
      </c>
      <c r="AN1355" s="23">
        <v>0</v>
      </c>
      <c r="AO1355" s="23">
        <v>0</v>
      </c>
      <c r="AP1355" s="23">
        <v>0</v>
      </c>
      <c r="AQ1355" s="23">
        <v>0</v>
      </c>
      <c r="AR1355" s="23">
        <v>0</v>
      </c>
      <c r="AS1355" s="23">
        <v>0</v>
      </c>
      <c r="AT1355" s="23">
        <v>35482143.670000002</v>
      </c>
      <c r="AU1355" s="22" t="s">
        <v>2973</v>
      </c>
      <c r="AV1355" s="22" t="s">
        <v>2973</v>
      </c>
    </row>
    <row r="1356" spans="1:48" s="22" customFormat="1" x14ac:dyDescent="0.45">
      <c r="A1356" s="21" t="s">
        <v>1133</v>
      </c>
      <c r="B1356" s="22">
        <v>2049</v>
      </c>
      <c r="C1356" s="22" t="s">
        <v>1134</v>
      </c>
      <c r="D1356" s="22">
        <v>2049</v>
      </c>
      <c r="E1356" s="22" t="s">
        <v>1134</v>
      </c>
      <c r="F1356" s="22" t="s">
        <v>2751</v>
      </c>
      <c r="G1356" s="22" t="s">
        <v>2751</v>
      </c>
      <c r="H1356" s="22" t="s">
        <v>2743</v>
      </c>
      <c r="I1356" s="22" t="s">
        <v>2742</v>
      </c>
      <c r="J1356" s="22">
        <v>0</v>
      </c>
      <c r="K1356" s="22">
        <v>0</v>
      </c>
      <c r="L1356" s="22">
        <v>0</v>
      </c>
      <c r="M1356" s="22">
        <v>0</v>
      </c>
      <c r="N1356" s="23">
        <v>0</v>
      </c>
      <c r="O1356" s="23">
        <v>0</v>
      </c>
      <c r="P1356" s="23">
        <v>0</v>
      </c>
      <c r="Q1356" s="23">
        <v>0</v>
      </c>
      <c r="R1356" s="23">
        <v>0</v>
      </c>
      <c r="S1356" s="23">
        <v>0</v>
      </c>
      <c r="T1356" s="23">
        <v>0</v>
      </c>
      <c r="U1356" s="23">
        <v>0</v>
      </c>
      <c r="V1356" s="23">
        <v>0</v>
      </c>
      <c r="W1356" s="23">
        <v>0</v>
      </c>
      <c r="X1356" s="23">
        <v>0</v>
      </c>
      <c r="Y1356" s="23">
        <v>0</v>
      </c>
      <c r="Z1356" s="23">
        <v>0</v>
      </c>
      <c r="AA1356" s="23">
        <v>0</v>
      </c>
      <c r="AB1356" s="23">
        <v>0</v>
      </c>
      <c r="AC1356" s="23">
        <v>0</v>
      </c>
      <c r="AD1356" s="23">
        <v>0</v>
      </c>
      <c r="AE1356" s="23">
        <v>0</v>
      </c>
      <c r="AF1356" s="23">
        <v>0</v>
      </c>
      <c r="AG1356" s="23">
        <v>0</v>
      </c>
      <c r="AH1356" s="23">
        <v>0</v>
      </c>
      <c r="AI1356" s="23">
        <v>0</v>
      </c>
      <c r="AJ1356" s="23">
        <v>0</v>
      </c>
      <c r="AK1356" s="23">
        <v>0</v>
      </c>
      <c r="AL1356" s="23">
        <v>0</v>
      </c>
      <c r="AM1356" s="23">
        <v>0</v>
      </c>
      <c r="AN1356" s="23">
        <v>0</v>
      </c>
      <c r="AO1356" s="23">
        <v>0</v>
      </c>
      <c r="AP1356" s="23">
        <v>0</v>
      </c>
      <c r="AQ1356" s="23">
        <v>0</v>
      </c>
      <c r="AR1356" s="23">
        <v>0</v>
      </c>
      <c r="AS1356" s="23">
        <v>0</v>
      </c>
      <c r="AT1356" s="23">
        <v>1992387.25</v>
      </c>
      <c r="AU1356" s="22" t="s">
        <v>2973</v>
      </c>
      <c r="AV1356" s="22" t="s">
        <v>2973</v>
      </c>
    </row>
    <row r="1357" spans="1:48" s="22" customFormat="1" x14ac:dyDescent="0.45">
      <c r="A1357" s="21" t="s">
        <v>1263</v>
      </c>
      <c r="B1357" s="22">
        <v>2058</v>
      </c>
      <c r="C1357" s="22" t="s">
        <v>1264</v>
      </c>
      <c r="D1357" s="22">
        <v>2058</v>
      </c>
      <c r="E1357" s="22" t="s">
        <v>1264</v>
      </c>
      <c r="F1357" s="22" t="s">
        <v>2751</v>
      </c>
      <c r="G1357" s="22" t="s">
        <v>2751</v>
      </c>
      <c r="H1357" s="22" t="s">
        <v>2743</v>
      </c>
      <c r="I1357" s="22" t="s">
        <v>2742</v>
      </c>
      <c r="J1357" s="22">
        <v>0</v>
      </c>
      <c r="K1357" s="22">
        <v>0</v>
      </c>
      <c r="L1357" s="22">
        <v>0</v>
      </c>
      <c r="M1357" s="22">
        <v>0</v>
      </c>
      <c r="N1357" s="23">
        <v>0</v>
      </c>
      <c r="O1357" s="23">
        <v>0</v>
      </c>
      <c r="P1357" s="23">
        <v>0</v>
      </c>
      <c r="Q1357" s="23">
        <v>0</v>
      </c>
      <c r="R1357" s="23">
        <v>0</v>
      </c>
      <c r="S1357" s="23">
        <v>0</v>
      </c>
      <c r="T1357" s="23">
        <v>0</v>
      </c>
      <c r="U1357" s="23">
        <v>0</v>
      </c>
      <c r="V1357" s="23">
        <v>0</v>
      </c>
      <c r="W1357" s="23">
        <v>0</v>
      </c>
      <c r="X1357" s="23">
        <v>0</v>
      </c>
      <c r="Y1357" s="23">
        <v>0</v>
      </c>
      <c r="Z1357" s="23">
        <v>0</v>
      </c>
      <c r="AA1357" s="23">
        <v>0</v>
      </c>
      <c r="AB1357" s="23">
        <v>0</v>
      </c>
      <c r="AC1357" s="23">
        <v>0</v>
      </c>
      <c r="AD1357" s="23">
        <v>0</v>
      </c>
      <c r="AE1357" s="23">
        <v>0</v>
      </c>
      <c r="AF1357" s="23">
        <v>0</v>
      </c>
      <c r="AG1357" s="23">
        <v>0</v>
      </c>
      <c r="AH1357" s="23">
        <v>0</v>
      </c>
      <c r="AI1357" s="23">
        <v>0</v>
      </c>
      <c r="AJ1357" s="23">
        <v>0</v>
      </c>
      <c r="AK1357" s="23">
        <v>0</v>
      </c>
      <c r="AL1357" s="23">
        <v>0</v>
      </c>
      <c r="AM1357" s="23">
        <v>0</v>
      </c>
      <c r="AN1357" s="23">
        <v>0</v>
      </c>
      <c r="AO1357" s="23">
        <v>0</v>
      </c>
      <c r="AP1357" s="23">
        <v>0</v>
      </c>
      <c r="AQ1357" s="23">
        <v>0</v>
      </c>
      <c r="AR1357" s="23">
        <v>0</v>
      </c>
      <c r="AS1357" s="23">
        <v>0</v>
      </c>
      <c r="AT1357" s="23">
        <v>1991331.32</v>
      </c>
      <c r="AU1357" s="22" t="s">
        <v>2973</v>
      </c>
      <c r="AV1357" s="22" t="s">
        <v>2973</v>
      </c>
    </row>
    <row r="1358" spans="1:48" s="22" customFormat="1" x14ac:dyDescent="0.45">
      <c r="A1358" s="21" t="s">
        <v>1287</v>
      </c>
      <c r="B1358" s="22">
        <v>2064</v>
      </c>
      <c r="C1358" s="22" t="s">
        <v>1288</v>
      </c>
      <c r="D1358" s="22">
        <v>2064</v>
      </c>
      <c r="E1358" s="22" t="s">
        <v>1288</v>
      </c>
      <c r="F1358" s="22" t="s">
        <v>2751</v>
      </c>
      <c r="G1358" s="22" t="s">
        <v>2751</v>
      </c>
      <c r="H1358" s="22" t="s">
        <v>2743</v>
      </c>
      <c r="I1358" s="22" t="s">
        <v>2742</v>
      </c>
      <c r="J1358" s="22">
        <v>0</v>
      </c>
      <c r="K1358" s="22">
        <v>0</v>
      </c>
      <c r="L1358" s="22">
        <v>0</v>
      </c>
      <c r="M1358" s="22">
        <v>0</v>
      </c>
      <c r="N1358" s="23">
        <v>0</v>
      </c>
      <c r="O1358" s="23">
        <v>0</v>
      </c>
      <c r="P1358" s="23">
        <v>0</v>
      </c>
      <c r="Q1358" s="23">
        <v>0</v>
      </c>
      <c r="R1358" s="23">
        <v>0</v>
      </c>
      <c r="S1358" s="23">
        <v>0</v>
      </c>
      <c r="T1358" s="23">
        <v>0</v>
      </c>
      <c r="U1358" s="23">
        <v>0</v>
      </c>
      <c r="V1358" s="23">
        <v>0</v>
      </c>
      <c r="W1358" s="23">
        <v>0</v>
      </c>
      <c r="X1358" s="23">
        <v>0</v>
      </c>
      <c r="Y1358" s="23">
        <v>0</v>
      </c>
      <c r="Z1358" s="23">
        <v>0</v>
      </c>
      <c r="AA1358" s="23">
        <v>0</v>
      </c>
      <c r="AB1358" s="23">
        <v>0</v>
      </c>
      <c r="AC1358" s="23">
        <v>0</v>
      </c>
      <c r="AD1358" s="23">
        <v>0</v>
      </c>
      <c r="AE1358" s="23">
        <v>0</v>
      </c>
      <c r="AF1358" s="23">
        <v>0</v>
      </c>
      <c r="AG1358" s="23">
        <v>0</v>
      </c>
      <c r="AH1358" s="23">
        <v>0</v>
      </c>
      <c r="AI1358" s="23">
        <v>0</v>
      </c>
      <c r="AJ1358" s="23">
        <v>0</v>
      </c>
      <c r="AK1358" s="23">
        <v>0</v>
      </c>
      <c r="AL1358" s="23">
        <v>0</v>
      </c>
      <c r="AM1358" s="23">
        <v>0</v>
      </c>
      <c r="AN1358" s="23">
        <v>0</v>
      </c>
      <c r="AO1358" s="23">
        <v>0</v>
      </c>
      <c r="AP1358" s="23">
        <v>0</v>
      </c>
      <c r="AQ1358" s="23">
        <v>0</v>
      </c>
      <c r="AR1358" s="23">
        <v>0</v>
      </c>
      <c r="AS1358" s="23">
        <v>0</v>
      </c>
      <c r="AT1358" s="23">
        <v>39310523.560000002</v>
      </c>
      <c r="AU1358" s="22" t="s">
        <v>2973</v>
      </c>
      <c r="AV1358" s="22" t="s">
        <v>2973</v>
      </c>
    </row>
    <row r="1359" spans="1:48" s="22" customFormat="1" x14ac:dyDescent="0.45">
      <c r="A1359" s="21" t="s">
        <v>1341</v>
      </c>
      <c r="B1359" s="22">
        <v>2098</v>
      </c>
      <c r="C1359" s="22" t="s">
        <v>1342</v>
      </c>
      <c r="D1359" s="22">
        <v>2098</v>
      </c>
      <c r="E1359" s="22" t="s">
        <v>1342</v>
      </c>
      <c r="F1359" s="22" t="s">
        <v>2751</v>
      </c>
      <c r="G1359" s="22" t="s">
        <v>2751</v>
      </c>
      <c r="H1359" s="22" t="s">
        <v>2743</v>
      </c>
      <c r="I1359" s="22" t="s">
        <v>2742</v>
      </c>
      <c r="J1359" s="22">
        <v>0</v>
      </c>
      <c r="K1359" s="22">
        <v>0</v>
      </c>
      <c r="L1359" s="22">
        <v>0</v>
      </c>
      <c r="M1359" s="22">
        <v>0</v>
      </c>
      <c r="N1359" s="23">
        <v>0</v>
      </c>
      <c r="O1359" s="23">
        <v>0</v>
      </c>
      <c r="P1359" s="23">
        <v>0</v>
      </c>
      <c r="Q1359" s="23">
        <v>0</v>
      </c>
      <c r="R1359" s="23">
        <v>0</v>
      </c>
      <c r="S1359" s="23">
        <v>0</v>
      </c>
      <c r="T1359" s="23">
        <v>0</v>
      </c>
      <c r="U1359" s="23">
        <v>0</v>
      </c>
      <c r="V1359" s="23">
        <v>0</v>
      </c>
      <c r="W1359" s="23">
        <v>0</v>
      </c>
      <c r="X1359" s="23">
        <v>0</v>
      </c>
      <c r="Y1359" s="23">
        <v>0</v>
      </c>
      <c r="Z1359" s="23">
        <v>0</v>
      </c>
      <c r="AA1359" s="23">
        <v>0</v>
      </c>
      <c r="AB1359" s="23">
        <v>0</v>
      </c>
      <c r="AC1359" s="23">
        <v>0</v>
      </c>
      <c r="AD1359" s="23">
        <v>0</v>
      </c>
      <c r="AE1359" s="23">
        <v>0</v>
      </c>
      <c r="AF1359" s="23">
        <v>0</v>
      </c>
      <c r="AG1359" s="23">
        <v>0</v>
      </c>
      <c r="AH1359" s="23">
        <v>0</v>
      </c>
      <c r="AI1359" s="23">
        <v>0</v>
      </c>
      <c r="AJ1359" s="23">
        <v>0</v>
      </c>
      <c r="AK1359" s="23">
        <v>0</v>
      </c>
      <c r="AL1359" s="23">
        <v>0</v>
      </c>
      <c r="AM1359" s="23">
        <v>0</v>
      </c>
      <c r="AN1359" s="23">
        <v>0</v>
      </c>
      <c r="AO1359" s="23">
        <v>0</v>
      </c>
      <c r="AP1359" s="23">
        <v>0</v>
      </c>
      <c r="AQ1359" s="23">
        <v>0</v>
      </c>
      <c r="AR1359" s="23">
        <v>0</v>
      </c>
      <c r="AS1359" s="23">
        <v>0</v>
      </c>
      <c r="AT1359" s="23">
        <v>49579062.829999998</v>
      </c>
      <c r="AU1359" s="22" t="s">
        <v>2973</v>
      </c>
      <c r="AV1359" s="22" t="s">
        <v>2973</v>
      </c>
    </row>
    <row r="1360" spans="1:48" s="22" customFormat="1" x14ac:dyDescent="0.45">
      <c r="A1360" s="21" t="s">
        <v>1356</v>
      </c>
      <c r="B1360" s="22">
        <v>2106</v>
      </c>
      <c r="C1360" s="22" t="s">
        <v>1357</v>
      </c>
      <c r="D1360" s="22">
        <v>2106</v>
      </c>
      <c r="E1360" s="22" t="s">
        <v>1357</v>
      </c>
      <c r="F1360" s="22" t="s">
        <v>2751</v>
      </c>
      <c r="G1360" s="22" t="s">
        <v>2751</v>
      </c>
      <c r="H1360" s="22" t="s">
        <v>2743</v>
      </c>
      <c r="I1360" s="22" t="s">
        <v>2742</v>
      </c>
      <c r="J1360" s="22">
        <v>0</v>
      </c>
      <c r="K1360" s="22">
        <v>0</v>
      </c>
      <c r="L1360" s="22">
        <v>0</v>
      </c>
      <c r="M1360" s="22">
        <v>0</v>
      </c>
      <c r="N1360" s="23">
        <v>0</v>
      </c>
      <c r="O1360" s="23">
        <v>0</v>
      </c>
      <c r="P1360" s="23">
        <v>0</v>
      </c>
      <c r="Q1360" s="23">
        <v>0</v>
      </c>
      <c r="R1360" s="23">
        <v>0</v>
      </c>
      <c r="S1360" s="23">
        <v>0</v>
      </c>
      <c r="T1360" s="23">
        <v>0</v>
      </c>
      <c r="U1360" s="23">
        <v>0</v>
      </c>
      <c r="V1360" s="23">
        <v>0</v>
      </c>
      <c r="W1360" s="23">
        <v>0</v>
      </c>
      <c r="X1360" s="23">
        <v>0</v>
      </c>
      <c r="Y1360" s="23">
        <v>0</v>
      </c>
      <c r="Z1360" s="23">
        <v>0</v>
      </c>
      <c r="AA1360" s="23">
        <v>0</v>
      </c>
      <c r="AB1360" s="23">
        <v>0</v>
      </c>
      <c r="AC1360" s="23">
        <v>0</v>
      </c>
      <c r="AD1360" s="23">
        <v>0</v>
      </c>
      <c r="AE1360" s="23">
        <v>0</v>
      </c>
      <c r="AF1360" s="23">
        <v>0</v>
      </c>
      <c r="AG1360" s="23">
        <v>0</v>
      </c>
      <c r="AH1360" s="23">
        <v>0</v>
      </c>
      <c r="AI1360" s="23">
        <v>0</v>
      </c>
      <c r="AJ1360" s="23">
        <v>0</v>
      </c>
      <c r="AK1360" s="23">
        <v>0</v>
      </c>
      <c r="AL1360" s="23">
        <v>0</v>
      </c>
      <c r="AM1360" s="23">
        <v>0</v>
      </c>
      <c r="AN1360" s="23">
        <v>0</v>
      </c>
      <c r="AO1360" s="23">
        <v>0</v>
      </c>
      <c r="AP1360" s="23">
        <v>0</v>
      </c>
      <c r="AQ1360" s="23">
        <v>0</v>
      </c>
      <c r="AR1360" s="23">
        <v>0</v>
      </c>
      <c r="AS1360" s="23">
        <v>0</v>
      </c>
      <c r="AT1360" s="23">
        <v>7864310.1500000004</v>
      </c>
      <c r="AU1360" s="22" t="s">
        <v>2973</v>
      </c>
      <c r="AV1360" s="22" t="s">
        <v>2973</v>
      </c>
    </row>
    <row r="1361" spans="1:48" s="22" customFormat="1" x14ac:dyDescent="0.45">
      <c r="A1361" s="21" t="s">
        <v>1492</v>
      </c>
      <c r="B1361" s="22">
        <v>2148</v>
      </c>
      <c r="C1361" s="22" t="s">
        <v>1493</v>
      </c>
      <c r="D1361" s="22">
        <v>1298</v>
      </c>
      <c r="E1361" s="22" t="s">
        <v>1494</v>
      </c>
      <c r="F1361" s="22" t="s">
        <v>2750</v>
      </c>
      <c r="G1361" s="22" t="s">
        <v>2748</v>
      </c>
      <c r="H1361" s="22" t="s">
        <v>2745</v>
      </c>
      <c r="I1361" s="22" t="s">
        <v>2742</v>
      </c>
      <c r="J1361" s="22">
        <v>0</v>
      </c>
      <c r="K1361" s="22">
        <v>0</v>
      </c>
      <c r="L1361" s="22">
        <v>0</v>
      </c>
      <c r="M1361" s="22">
        <v>0</v>
      </c>
      <c r="N1361" s="23">
        <v>1319445.1499999999</v>
      </c>
      <c r="O1361" s="23">
        <v>326025.73</v>
      </c>
      <c r="P1361" s="23">
        <v>47923.46</v>
      </c>
      <c r="Q1361" s="23">
        <v>0</v>
      </c>
      <c r="R1361" s="23">
        <v>5110246.3099999996</v>
      </c>
      <c r="S1361" s="23">
        <v>0</v>
      </c>
      <c r="T1361" s="23">
        <v>6803640.6500000004</v>
      </c>
      <c r="U1361" s="23">
        <v>0</v>
      </c>
      <c r="V1361" s="23">
        <v>6088179.9699999997</v>
      </c>
      <c r="W1361" s="23">
        <v>715460.68</v>
      </c>
      <c r="X1361" s="23">
        <v>0</v>
      </c>
      <c r="Y1361" s="23">
        <v>0</v>
      </c>
      <c r="Z1361" s="23">
        <v>0</v>
      </c>
      <c r="AA1361" s="23">
        <v>0</v>
      </c>
      <c r="AB1361" s="23">
        <v>0</v>
      </c>
      <c r="AC1361" s="23">
        <v>0</v>
      </c>
      <c r="AD1361" s="23">
        <v>0</v>
      </c>
      <c r="AE1361" s="23">
        <v>0</v>
      </c>
      <c r="AF1361" s="23">
        <v>0</v>
      </c>
      <c r="AG1361" s="23">
        <v>0</v>
      </c>
      <c r="AH1361" s="23">
        <v>0</v>
      </c>
      <c r="AI1361" s="23">
        <v>0</v>
      </c>
      <c r="AJ1361" s="23">
        <v>6803640.6500000004</v>
      </c>
      <c r="AK1361" s="23">
        <v>0</v>
      </c>
      <c r="AL1361" s="23">
        <v>0</v>
      </c>
      <c r="AM1361" s="23">
        <v>0</v>
      </c>
      <c r="AN1361" s="23">
        <v>0</v>
      </c>
      <c r="AO1361" s="23">
        <v>0</v>
      </c>
      <c r="AP1361" s="23">
        <v>0</v>
      </c>
      <c r="AQ1361" s="23">
        <v>0</v>
      </c>
      <c r="AR1361" s="23">
        <v>0</v>
      </c>
      <c r="AS1361" s="23">
        <v>0</v>
      </c>
      <c r="AT1361" s="23">
        <v>0</v>
      </c>
      <c r="AU1361" s="22" t="s">
        <v>2973</v>
      </c>
      <c r="AV1361" s="22" t="s">
        <v>2973</v>
      </c>
    </row>
    <row r="1362" spans="1:48" s="22" customFormat="1" x14ac:dyDescent="0.45">
      <c r="A1362" s="21" t="s">
        <v>1495</v>
      </c>
      <c r="B1362" s="22">
        <v>2148</v>
      </c>
      <c r="C1362" s="22" t="s">
        <v>1493</v>
      </c>
      <c r="D1362" s="22">
        <v>2148</v>
      </c>
      <c r="E1362" s="22" t="s">
        <v>1493</v>
      </c>
      <c r="F1362" s="22" t="s">
        <v>2751</v>
      </c>
      <c r="G1362" s="22" t="s">
        <v>2751</v>
      </c>
      <c r="H1362" s="22" t="s">
        <v>2743</v>
      </c>
      <c r="I1362" s="22" t="s">
        <v>2742</v>
      </c>
      <c r="J1362" s="22">
        <v>0</v>
      </c>
      <c r="K1362" s="22">
        <v>0</v>
      </c>
      <c r="L1362" s="22">
        <v>0</v>
      </c>
      <c r="M1362" s="22">
        <v>0</v>
      </c>
      <c r="N1362" s="23">
        <v>0</v>
      </c>
      <c r="O1362" s="23">
        <v>0</v>
      </c>
      <c r="P1362" s="23">
        <v>0</v>
      </c>
      <c r="Q1362" s="23">
        <v>0</v>
      </c>
      <c r="R1362" s="23">
        <v>0</v>
      </c>
      <c r="S1362" s="23">
        <v>0</v>
      </c>
      <c r="T1362" s="23">
        <v>0</v>
      </c>
      <c r="U1362" s="23">
        <v>0</v>
      </c>
      <c r="V1362" s="23">
        <v>0</v>
      </c>
      <c r="W1362" s="23">
        <v>0</v>
      </c>
      <c r="X1362" s="23">
        <v>0</v>
      </c>
      <c r="Y1362" s="23">
        <v>0</v>
      </c>
      <c r="Z1362" s="23">
        <v>0</v>
      </c>
      <c r="AA1362" s="23">
        <v>0</v>
      </c>
      <c r="AB1362" s="23">
        <v>0</v>
      </c>
      <c r="AC1362" s="23">
        <v>0</v>
      </c>
      <c r="AD1362" s="23">
        <v>0</v>
      </c>
      <c r="AE1362" s="23">
        <v>0</v>
      </c>
      <c r="AF1362" s="23">
        <v>0</v>
      </c>
      <c r="AG1362" s="23">
        <v>0</v>
      </c>
      <c r="AH1362" s="23">
        <v>0</v>
      </c>
      <c r="AI1362" s="23">
        <v>0</v>
      </c>
      <c r="AJ1362" s="23">
        <v>0</v>
      </c>
      <c r="AK1362" s="23">
        <v>0</v>
      </c>
      <c r="AL1362" s="23">
        <v>0</v>
      </c>
      <c r="AM1362" s="23">
        <v>0</v>
      </c>
      <c r="AN1362" s="23">
        <v>0</v>
      </c>
      <c r="AO1362" s="23">
        <v>0</v>
      </c>
      <c r="AP1362" s="23">
        <v>0</v>
      </c>
      <c r="AQ1362" s="23">
        <v>0</v>
      </c>
      <c r="AR1362" s="23">
        <v>0</v>
      </c>
      <c r="AS1362" s="23">
        <v>0</v>
      </c>
      <c r="AT1362" s="23">
        <v>54603428.850000001</v>
      </c>
      <c r="AU1362" s="22" t="s">
        <v>2973</v>
      </c>
      <c r="AV1362" s="22" t="s">
        <v>2973</v>
      </c>
    </row>
    <row r="1363" spans="1:48" s="22" customFormat="1" x14ac:dyDescent="0.45">
      <c r="A1363" s="21" t="s">
        <v>1496</v>
      </c>
      <c r="B1363" s="22">
        <v>2148</v>
      </c>
      <c r="C1363" s="22" t="s">
        <v>1493</v>
      </c>
      <c r="D1363" s="22">
        <v>3168</v>
      </c>
      <c r="E1363" s="22" t="s">
        <v>1497</v>
      </c>
      <c r="F1363" s="22" t="s">
        <v>2750</v>
      </c>
      <c r="G1363" s="22" t="s">
        <v>2748</v>
      </c>
      <c r="H1363" s="22" t="s">
        <v>2745</v>
      </c>
      <c r="I1363" s="22" t="s">
        <v>2742</v>
      </c>
      <c r="J1363" s="22">
        <v>0</v>
      </c>
      <c r="K1363" s="22">
        <v>0</v>
      </c>
      <c r="L1363" s="22">
        <v>0</v>
      </c>
      <c r="M1363" s="22">
        <v>0</v>
      </c>
      <c r="N1363" s="23">
        <v>7300430.2400000002</v>
      </c>
      <c r="O1363" s="23">
        <v>3619318.44</v>
      </c>
      <c r="P1363" s="23">
        <v>242481.75</v>
      </c>
      <c r="Q1363" s="23">
        <v>0</v>
      </c>
      <c r="R1363" s="23">
        <v>0</v>
      </c>
      <c r="S1363" s="23">
        <v>0</v>
      </c>
      <c r="T1363" s="23">
        <v>11162230.43</v>
      </c>
      <c r="U1363" s="23">
        <v>0</v>
      </c>
      <c r="V1363" s="23">
        <v>7625308.0599999996</v>
      </c>
      <c r="W1363" s="23">
        <v>3536922.37</v>
      </c>
      <c r="X1363" s="23">
        <v>0</v>
      </c>
      <c r="Y1363" s="23">
        <v>0</v>
      </c>
      <c r="Z1363" s="23">
        <v>0</v>
      </c>
      <c r="AA1363" s="23">
        <v>0</v>
      </c>
      <c r="AB1363" s="23">
        <v>0</v>
      </c>
      <c r="AC1363" s="23">
        <v>0</v>
      </c>
      <c r="AD1363" s="23">
        <v>0</v>
      </c>
      <c r="AE1363" s="23">
        <v>0</v>
      </c>
      <c r="AF1363" s="23">
        <v>0</v>
      </c>
      <c r="AG1363" s="23">
        <v>0</v>
      </c>
      <c r="AH1363" s="23">
        <v>0</v>
      </c>
      <c r="AI1363" s="23">
        <v>0</v>
      </c>
      <c r="AJ1363" s="23">
        <v>11162230.43</v>
      </c>
      <c r="AK1363" s="23">
        <v>0</v>
      </c>
      <c r="AL1363" s="23">
        <v>0</v>
      </c>
      <c r="AM1363" s="23">
        <v>0</v>
      </c>
      <c r="AN1363" s="23">
        <v>0</v>
      </c>
      <c r="AO1363" s="23">
        <v>0</v>
      </c>
      <c r="AP1363" s="23">
        <v>0</v>
      </c>
      <c r="AQ1363" s="23">
        <v>0</v>
      </c>
      <c r="AR1363" s="23">
        <v>0</v>
      </c>
      <c r="AS1363" s="23">
        <v>0</v>
      </c>
      <c r="AT1363" s="23">
        <v>0</v>
      </c>
      <c r="AU1363" s="22" t="s">
        <v>2973</v>
      </c>
      <c r="AV1363" s="22" t="s">
        <v>2973</v>
      </c>
    </row>
    <row r="1364" spans="1:48" s="22" customFormat="1" x14ac:dyDescent="0.45">
      <c r="A1364" s="21" t="s">
        <v>1540</v>
      </c>
      <c r="B1364" s="22">
        <v>1966</v>
      </c>
      <c r="C1364" s="22" t="s">
        <v>1538</v>
      </c>
      <c r="D1364" s="22">
        <v>4603</v>
      </c>
      <c r="E1364" s="22" t="s">
        <v>1541</v>
      </c>
      <c r="F1364" s="22" t="s">
        <v>2773</v>
      </c>
      <c r="G1364" s="22" t="s">
        <v>2746</v>
      </c>
      <c r="H1364" s="22" t="s">
        <v>2743</v>
      </c>
      <c r="I1364" s="22" t="s">
        <v>2742</v>
      </c>
      <c r="J1364" s="22">
        <v>0</v>
      </c>
      <c r="K1364" s="22">
        <v>0</v>
      </c>
      <c r="L1364" s="22">
        <v>0</v>
      </c>
      <c r="M1364" s="22">
        <v>1</v>
      </c>
      <c r="N1364" s="23">
        <v>345238.34</v>
      </c>
      <c r="O1364" s="23">
        <v>0</v>
      </c>
      <c r="P1364" s="23">
        <v>0</v>
      </c>
      <c r="Q1364" s="23">
        <v>0</v>
      </c>
      <c r="R1364" s="23">
        <v>0</v>
      </c>
      <c r="S1364" s="23">
        <v>0</v>
      </c>
      <c r="T1364" s="23">
        <v>345238.34</v>
      </c>
      <c r="U1364" s="23">
        <v>0</v>
      </c>
      <c r="V1364" s="23">
        <v>0</v>
      </c>
      <c r="W1364" s="23">
        <v>345238.34</v>
      </c>
      <c r="X1364" s="23">
        <v>0</v>
      </c>
      <c r="Y1364" s="23">
        <v>0</v>
      </c>
      <c r="Z1364" s="23">
        <v>0</v>
      </c>
      <c r="AA1364" s="23">
        <v>0</v>
      </c>
      <c r="AB1364" s="23">
        <v>0</v>
      </c>
      <c r="AC1364" s="23">
        <v>0</v>
      </c>
      <c r="AD1364" s="23">
        <v>0</v>
      </c>
      <c r="AE1364" s="23">
        <v>0</v>
      </c>
      <c r="AF1364" s="23">
        <v>0</v>
      </c>
      <c r="AG1364" s="23">
        <v>0</v>
      </c>
      <c r="AH1364" s="23">
        <v>0</v>
      </c>
      <c r="AI1364" s="23">
        <v>0</v>
      </c>
      <c r="AJ1364" s="23">
        <v>345238.34</v>
      </c>
      <c r="AK1364" s="23">
        <v>0</v>
      </c>
      <c r="AL1364" s="23">
        <v>0</v>
      </c>
      <c r="AM1364" s="23">
        <v>0</v>
      </c>
      <c r="AN1364" s="23">
        <v>0</v>
      </c>
      <c r="AO1364" s="23">
        <v>0</v>
      </c>
      <c r="AP1364" s="23">
        <v>0</v>
      </c>
      <c r="AQ1364" s="23">
        <v>0</v>
      </c>
      <c r="AR1364" s="23">
        <v>0</v>
      </c>
      <c r="AS1364" s="23">
        <v>0</v>
      </c>
      <c r="AT1364" s="23">
        <v>0</v>
      </c>
      <c r="AU1364" s="22" t="s">
        <v>2973</v>
      </c>
      <c r="AV1364" s="22" t="s">
        <v>2973</v>
      </c>
    </row>
    <row r="1365" spans="1:48" s="22" customFormat="1" x14ac:dyDescent="0.45">
      <c r="A1365" s="21" t="s">
        <v>1552</v>
      </c>
      <c r="B1365" s="22">
        <v>2004</v>
      </c>
      <c r="C1365" s="22" t="s">
        <v>1553</v>
      </c>
      <c r="D1365" s="22">
        <v>2004</v>
      </c>
      <c r="E1365" s="22" t="s">
        <v>1553</v>
      </c>
      <c r="F1365" s="22" t="s">
        <v>2751</v>
      </c>
      <c r="G1365" s="22" t="s">
        <v>2751</v>
      </c>
      <c r="H1365" s="22" t="s">
        <v>2743</v>
      </c>
      <c r="I1365" s="22" t="s">
        <v>2742</v>
      </c>
      <c r="J1365" s="22">
        <v>0</v>
      </c>
      <c r="K1365" s="22">
        <v>0</v>
      </c>
      <c r="L1365" s="22">
        <v>0</v>
      </c>
      <c r="M1365" s="22">
        <v>0</v>
      </c>
      <c r="N1365" s="23">
        <v>0</v>
      </c>
      <c r="O1365" s="23">
        <v>0</v>
      </c>
      <c r="P1365" s="23">
        <v>0</v>
      </c>
      <c r="Q1365" s="23">
        <v>0</v>
      </c>
      <c r="R1365" s="23">
        <v>0</v>
      </c>
      <c r="S1365" s="23">
        <v>0</v>
      </c>
      <c r="T1365" s="23">
        <v>0</v>
      </c>
      <c r="U1365" s="23">
        <v>0</v>
      </c>
      <c r="V1365" s="23">
        <v>0</v>
      </c>
      <c r="W1365" s="23">
        <v>0</v>
      </c>
      <c r="X1365" s="23">
        <v>0</v>
      </c>
      <c r="Y1365" s="23">
        <v>0</v>
      </c>
      <c r="Z1365" s="23">
        <v>0</v>
      </c>
      <c r="AA1365" s="23">
        <v>0</v>
      </c>
      <c r="AB1365" s="23">
        <v>0</v>
      </c>
      <c r="AC1365" s="23">
        <v>0</v>
      </c>
      <c r="AD1365" s="23">
        <v>0</v>
      </c>
      <c r="AE1365" s="23">
        <v>0</v>
      </c>
      <c r="AF1365" s="23">
        <v>0</v>
      </c>
      <c r="AG1365" s="23">
        <v>0</v>
      </c>
      <c r="AH1365" s="23">
        <v>0</v>
      </c>
      <c r="AI1365" s="23">
        <v>0</v>
      </c>
      <c r="AJ1365" s="23">
        <v>0</v>
      </c>
      <c r="AK1365" s="23">
        <v>0</v>
      </c>
      <c r="AL1365" s="23">
        <v>0</v>
      </c>
      <c r="AM1365" s="23">
        <v>0</v>
      </c>
      <c r="AN1365" s="23">
        <v>0</v>
      </c>
      <c r="AO1365" s="23">
        <v>0</v>
      </c>
      <c r="AP1365" s="23">
        <v>0</v>
      </c>
      <c r="AQ1365" s="23">
        <v>0</v>
      </c>
      <c r="AR1365" s="23">
        <v>0</v>
      </c>
      <c r="AS1365" s="23">
        <v>0</v>
      </c>
      <c r="AT1365" s="23">
        <v>3594215.18</v>
      </c>
      <c r="AU1365" s="22" t="s">
        <v>2973</v>
      </c>
      <c r="AV1365" s="22" t="s">
        <v>2973</v>
      </c>
    </row>
    <row r="1366" spans="1:48" s="22" customFormat="1" x14ac:dyDescent="0.45">
      <c r="A1366" s="21" t="s">
        <v>1601</v>
      </c>
      <c r="B1366" s="22">
        <v>1924</v>
      </c>
      <c r="C1366" s="22" t="s">
        <v>1555</v>
      </c>
      <c r="D1366" s="22">
        <v>2734</v>
      </c>
      <c r="E1366" s="22" t="s">
        <v>1602</v>
      </c>
      <c r="F1366" s="22" t="s">
        <v>2750</v>
      </c>
      <c r="G1366" s="22" t="s">
        <v>2746</v>
      </c>
      <c r="H1366" s="22" t="s">
        <v>2743</v>
      </c>
      <c r="I1366" s="22" t="s">
        <v>2742</v>
      </c>
      <c r="J1366" s="22">
        <v>0</v>
      </c>
      <c r="K1366" s="22">
        <v>0</v>
      </c>
      <c r="L1366" s="22">
        <v>0</v>
      </c>
      <c r="M1366" s="22">
        <v>2</v>
      </c>
      <c r="N1366" s="23">
        <v>4584547.4800000004</v>
      </c>
      <c r="O1366" s="23">
        <v>1101145.76</v>
      </c>
      <c r="P1366" s="23">
        <v>543336.43999999994</v>
      </c>
      <c r="Q1366" s="23">
        <v>90526.31</v>
      </c>
      <c r="R1366" s="23">
        <v>0</v>
      </c>
      <c r="S1366" s="23">
        <v>0</v>
      </c>
      <c r="T1366" s="23">
        <v>6319555.9900000002</v>
      </c>
      <c r="U1366" s="23">
        <v>0</v>
      </c>
      <c r="V1366" s="23">
        <v>5462821.7999999998</v>
      </c>
      <c r="W1366" s="23">
        <v>856734.19</v>
      </c>
      <c r="X1366" s="23">
        <v>0</v>
      </c>
      <c r="Y1366" s="23">
        <v>0</v>
      </c>
      <c r="Z1366" s="23">
        <v>0</v>
      </c>
      <c r="AA1366" s="23">
        <v>0</v>
      </c>
      <c r="AB1366" s="23">
        <v>0</v>
      </c>
      <c r="AC1366" s="23">
        <v>0</v>
      </c>
      <c r="AD1366" s="23">
        <v>0</v>
      </c>
      <c r="AE1366" s="23">
        <v>0</v>
      </c>
      <c r="AF1366" s="23">
        <v>0</v>
      </c>
      <c r="AG1366" s="23">
        <v>0</v>
      </c>
      <c r="AH1366" s="23">
        <v>0</v>
      </c>
      <c r="AI1366" s="23">
        <v>0</v>
      </c>
      <c r="AJ1366" s="23">
        <v>6319555.9900000002</v>
      </c>
      <c r="AK1366" s="23">
        <v>0</v>
      </c>
      <c r="AL1366" s="23">
        <v>0</v>
      </c>
      <c r="AM1366" s="23">
        <v>0</v>
      </c>
      <c r="AN1366" s="23">
        <v>0</v>
      </c>
      <c r="AO1366" s="23">
        <v>0</v>
      </c>
      <c r="AP1366" s="23">
        <v>0</v>
      </c>
      <c r="AQ1366" s="23">
        <v>0</v>
      </c>
      <c r="AR1366" s="23">
        <v>0</v>
      </c>
      <c r="AS1366" s="23">
        <v>0</v>
      </c>
      <c r="AT1366" s="23">
        <v>0</v>
      </c>
      <c r="AU1366" s="22" t="s">
        <v>2973</v>
      </c>
      <c r="AV1366" s="22" t="s">
        <v>2973</v>
      </c>
    </row>
    <row r="1367" spans="1:48" s="22" customFormat="1" x14ac:dyDescent="0.45">
      <c r="A1367" s="21" t="s">
        <v>1665</v>
      </c>
      <c r="B1367" s="22">
        <v>2230</v>
      </c>
      <c r="C1367" s="22" t="s">
        <v>1666</v>
      </c>
      <c r="D1367" s="22">
        <v>2230</v>
      </c>
      <c r="E1367" s="22" t="s">
        <v>1666</v>
      </c>
      <c r="F1367" s="22" t="s">
        <v>2751</v>
      </c>
      <c r="G1367" s="22" t="s">
        <v>2751</v>
      </c>
      <c r="H1367" s="22" t="s">
        <v>2743</v>
      </c>
      <c r="I1367" s="22" t="s">
        <v>2742</v>
      </c>
      <c r="J1367" s="22">
        <v>0</v>
      </c>
      <c r="K1367" s="22">
        <v>0</v>
      </c>
      <c r="L1367" s="22">
        <v>0</v>
      </c>
      <c r="M1367" s="22">
        <v>0</v>
      </c>
      <c r="N1367" s="23">
        <v>0</v>
      </c>
      <c r="O1367" s="23">
        <v>0</v>
      </c>
      <c r="P1367" s="23">
        <v>0</v>
      </c>
      <c r="Q1367" s="23">
        <v>0</v>
      </c>
      <c r="R1367" s="23">
        <v>0</v>
      </c>
      <c r="S1367" s="23">
        <v>0</v>
      </c>
      <c r="T1367" s="23">
        <v>0</v>
      </c>
      <c r="U1367" s="23">
        <v>0</v>
      </c>
      <c r="V1367" s="23">
        <v>0</v>
      </c>
      <c r="W1367" s="23">
        <v>0</v>
      </c>
      <c r="X1367" s="23">
        <v>0</v>
      </c>
      <c r="Y1367" s="23">
        <v>0</v>
      </c>
      <c r="Z1367" s="23">
        <v>0</v>
      </c>
      <c r="AA1367" s="23">
        <v>0</v>
      </c>
      <c r="AB1367" s="23">
        <v>0</v>
      </c>
      <c r="AC1367" s="23">
        <v>0</v>
      </c>
      <c r="AD1367" s="23">
        <v>0</v>
      </c>
      <c r="AE1367" s="23">
        <v>0</v>
      </c>
      <c r="AF1367" s="23">
        <v>0</v>
      </c>
      <c r="AG1367" s="23">
        <v>0</v>
      </c>
      <c r="AH1367" s="23">
        <v>0</v>
      </c>
      <c r="AI1367" s="23">
        <v>0</v>
      </c>
      <c r="AJ1367" s="23">
        <v>0</v>
      </c>
      <c r="AK1367" s="23">
        <v>0</v>
      </c>
      <c r="AL1367" s="23">
        <v>0</v>
      </c>
      <c r="AM1367" s="23">
        <v>0</v>
      </c>
      <c r="AN1367" s="23">
        <v>0</v>
      </c>
      <c r="AO1367" s="23">
        <v>0</v>
      </c>
      <c r="AP1367" s="23">
        <v>0</v>
      </c>
      <c r="AQ1367" s="23">
        <v>0</v>
      </c>
      <c r="AR1367" s="23">
        <v>0</v>
      </c>
      <c r="AS1367" s="23">
        <v>0</v>
      </c>
      <c r="AT1367" s="23">
        <v>165471431.65000001</v>
      </c>
      <c r="AU1367" s="22" t="s">
        <v>2973</v>
      </c>
      <c r="AV1367" s="22" t="s">
        <v>2973</v>
      </c>
    </row>
    <row r="1368" spans="1:48" s="22" customFormat="1" x14ac:dyDescent="0.45">
      <c r="A1368" s="21" t="s">
        <v>2061</v>
      </c>
      <c r="B1368" s="22">
        <v>2218</v>
      </c>
      <c r="C1368" s="22" t="s">
        <v>2062</v>
      </c>
      <c r="D1368" s="22">
        <v>2218</v>
      </c>
      <c r="E1368" s="22" t="s">
        <v>2062</v>
      </c>
      <c r="F1368" s="22" t="s">
        <v>2751</v>
      </c>
      <c r="G1368" s="22" t="s">
        <v>2751</v>
      </c>
      <c r="H1368" s="22" t="s">
        <v>2743</v>
      </c>
      <c r="I1368" s="22" t="s">
        <v>2742</v>
      </c>
      <c r="J1368" s="22">
        <v>0</v>
      </c>
      <c r="K1368" s="22">
        <v>0</v>
      </c>
      <c r="L1368" s="22">
        <v>0</v>
      </c>
      <c r="M1368" s="22">
        <v>0</v>
      </c>
      <c r="N1368" s="23">
        <v>0</v>
      </c>
      <c r="O1368" s="23">
        <v>0</v>
      </c>
      <c r="P1368" s="23">
        <v>0</v>
      </c>
      <c r="Q1368" s="23">
        <v>0</v>
      </c>
      <c r="R1368" s="23">
        <v>0</v>
      </c>
      <c r="S1368" s="23">
        <v>0</v>
      </c>
      <c r="T1368" s="23">
        <v>0</v>
      </c>
      <c r="U1368" s="23">
        <v>0</v>
      </c>
      <c r="V1368" s="23">
        <v>0</v>
      </c>
      <c r="W1368" s="23">
        <v>0</v>
      </c>
      <c r="X1368" s="23">
        <v>0</v>
      </c>
      <c r="Y1368" s="23">
        <v>0</v>
      </c>
      <c r="Z1368" s="23">
        <v>0</v>
      </c>
      <c r="AA1368" s="23">
        <v>0</v>
      </c>
      <c r="AB1368" s="23">
        <v>0</v>
      </c>
      <c r="AC1368" s="23">
        <v>0</v>
      </c>
      <c r="AD1368" s="23">
        <v>0</v>
      </c>
      <c r="AE1368" s="23">
        <v>0</v>
      </c>
      <c r="AF1368" s="23">
        <v>0</v>
      </c>
      <c r="AG1368" s="23">
        <v>0</v>
      </c>
      <c r="AH1368" s="23">
        <v>0</v>
      </c>
      <c r="AI1368" s="23">
        <v>0</v>
      </c>
      <c r="AJ1368" s="23">
        <v>0</v>
      </c>
      <c r="AK1368" s="23">
        <v>0</v>
      </c>
      <c r="AL1368" s="23">
        <v>0</v>
      </c>
      <c r="AM1368" s="23">
        <v>0</v>
      </c>
      <c r="AN1368" s="23">
        <v>0</v>
      </c>
      <c r="AO1368" s="23">
        <v>0</v>
      </c>
      <c r="AP1368" s="23">
        <v>0</v>
      </c>
      <c r="AQ1368" s="23">
        <v>0</v>
      </c>
      <c r="AR1368" s="23">
        <v>0</v>
      </c>
      <c r="AS1368" s="23">
        <v>0</v>
      </c>
      <c r="AT1368" s="23">
        <v>5054676.04</v>
      </c>
      <c r="AU1368" s="22" t="s">
        <v>2973</v>
      </c>
      <c r="AV1368" s="22" t="s">
        <v>2973</v>
      </c>
    </row>
    <row r="1369" spans="1:48" s="22" customFormat="1" x14ac:dyDescent="0.45">
      <c r="A1369" s="21" t="s">
        <v>2355</v>
      </c>
      <c r="B1369" s="22">
        <v>1949</v>
      </c>
      <c r="C1369" s="22" t="s">
        <v>2356</v>
      </c>
      <c r="D1369" s="22">
        <v>1949</v>
      </c>
      <c r="E1369" s="22" t="s">
        <v>2356</v>
      </c>
      <c r="F1369" s="22" t="s">
        <v>2751</v>
      </c>
      <c r="G1369" s="22" t="s">
        <v>2751</v>
      </c>
      <c r="H1369" s="22" t="s">
        <v>2743</v>
      </c>
      <c r="I1369" s="22" t="s">
        <v>2742</v>
      </c>
      <c r="J1369" s="22">
        <v>0</v>
      </c>
      <c r="K1369" s="22">
        <v>0</v>
      </c>
      <c r="L1369" s="22">
        <v>0</v>
      </c>
      <c r="M1369" s="22">
        <v>0</v>
      </c>
      <c r="N1369" s="23">
        <v>0</v>
      </c>
      <c r="O1369" s="23">
        <v>0</v>
      </c>
      <c r="P1369" s="23">
        <v>0</v>
      </c>
      <c r="Q1369" s="23">
        <v>0</v>
      </c>
      <c r="R1369" s="23">
        <v>0</v>
      </c>
      <c r="S1369" s="23">
        <v>0</v>
      </c>
      <c r="T1369" s="23">
        <v>0</v>
      </c>
      <c r="U1369" s="23">
        <v>0</v>
      </c>
      <c r="V1369" s="23">
        <v>0</v>
      </c>
      <c r="W1369" s="23">
        <v>0</v>
      </c>
      <c r="X1369" s="23">
        <v>0</v>
      </c>
      <c r="Y1369" s="23">
        <v>0</v>
      </c>
      <c r="Z1369" s="23">
        <v>0</v>
      </c>
      <c r="AA1369" s="23">
        <v>0</v>
      </c>
      <c r="AB1369" s="23">
        <v>0</v>
      </c>
      <c r="AC1369" s="23">
        <v>0</v>
      </c>
      <c r="AD1369" s="23">
        <v>0</v>
      </c>
      <c r="AE1369" s="23">
        <v>0</v>
      </c>
      <c r="AF1369" s="23">
        <v>0</v>
      </c>
      <c r="AG1369" s="23">
        <v>0</v>
      </c>
      <c r="AH1369" s="23">
        <v>0</v>
      </c>
      <c r="AI1369" s="23">
        <v>0</v>
      </c>
      <c r="AJ1369" s="23">
        <v>0</v>
      </c>
      <c r="AK1369" s="23">
        <v>0</v>
      </c>
      <c r="AL1369" s="23">
        <v>0</v>
      </c>
      <c r="AM1369" s="23">
        <v>0</v>
      </c>
      <c r="AN1369" s="23">
        <v>0</v>
      </c>
      <c r="AO1369" s="23">
        <v>0</v>
      </c>
      <c r="AP1369" s="23">
        <v>0</v>
      </c>
      <c r="AQ1369" s="23">
        <v>0</v>
      </c>
      <c r="AR1369" s="23">
        <v>0</v>
      </c>
      <c r="AS1369" s="23">
        <v>0</v>
      </c>
      <c r="AT1369" s="23">
        <v>22895803.43</v>
      </c>
      <c r="AU1369" s="22" t="s">
        <v>2973</v>
      </c>
      <c r="AV1369" s="22" t="s">
        <v>2973</v>
      </c>
    </row>
    <row r="1370" spans="1:48" s="22" customFormat="1" x14ac:dyDescent="0.45">
      <c r="A1370" s="21" t="s">
        <v>2397</v>
      </c>
      <c r="B1370" s="22">
        <v>2025</v>
      </c>
      <c r="C1370" s="22" t="s">
        <v>2398</v>
      </c>
      <c r="D1370" s="22">
        <v>2025</v>
      </c>
      <c r="E1370" s="22" t="s">
        <v>2398</v>
      </c>
      <c r="F1370" s="22" t="s">
        <v>2751</v>
      </c>
      <c r="G1370" s="22" t="s">
        <v>2751</v>
      </c>
      <c r="H1370" s="22" t="s">
        <v>2743</v>
      </c>
      <c r="I1370" s="22" t="s">
        <v>2742</v>
      </c>
      <c r="J1370" s="22">
        <v>0</v>
      </c>
      <c r="K1370" s="22">
        <v>0</v>
      </c>
      <c r="L1370" s="22">
        <v>0</v>
      </c>
      <c r="M1370" s="22">
        <v>0</v>
      </c>
      <c r="N1370" s="23">
        <v>0</v>
      </c>
      <c r="O1370" s="23">
        <v>0</v>
      </c>
      <c r="P1370" s="23">
        <v>0</v>
      </c>
      <c r="Q1370" s="23">
        <v>0</v>
      </c>
      <c r="R1370" s="23">
        <v>0</v>
      </c>
      <c r="S1370" s="23">
        <v>0</v>
      </c>
      <c r="T1370" s="23">
        <v>0</v>
      </c>
      <c r="U1370" s="23">
        <v>0</v>
      </c>
      <c r="V1370" s="23">
        <v>0</v>
      </c>
      <c r="W1370" s="23">
        <v>0</v>
      </c>
      <c r="X1370" s="23">
        <v>0</v>
      </c>
      <c r="Y1370" s="23">
        <v>0</v>
      </c>
      <c r="Z1370" s="23">
        <v>0</v>
      </c>
      <c r="AA1370" s="23">
        <v>0</v>
      </c>
      <c r="AB1370" s="23">
        <v>0</v>
      </c>
      <c r="AC1370" s="23">
        <v>0</v>
      </c>
      <c r="AD1370" s="23">
        <v>0</v>
      </c>
      <c r="AE1370" s="23">
        <v>0</v>
      </c>
      <c r="AF1370" s="23">
        <v>0</v>
      </c>
      <c r="AG1370" s="23">
        <v>0</v>
      </c>
      <c r="AH1370" s="23">
        <v>0</v>
      </c>
      <c r="AI1370" s="23">
        <v>0</v>
      </c>
      <c r="AJ1370" s="23">
        <v>0</v>
      </c>
      <c r="AK1370" s="23">
        <v>0</v>
      </c>
      <c r="AL1370" s="23">
        <v>0</v>
      </c>
      <c r="AM1370" s="23">
        <v>0</v>
      </c>
      <c r="AN1370" s="23">
        <v>0</v>
      </c>
      <c r="AO1370" s="23">
        <v>0</v>
      </c>
      <c r="AP1370" s="23">
        <v>0</v>
      </c>
      <c r="AQ1370" s="23">
        <v>0</v>
      </c>
      <c r="AR1370" s="23">
        <v>0</v>
      </c>
      <c r="AS1370" s="23">
        <v>0</v>
      </c>
      <c r="AT1370" s="23">
        <v>50535652.18</v>
      </c>
      <c r="AU1370" s="22" t="s">
        <v>2973</v>
      </c>
      <c r="AV1370" s="22" t="s">
        <v>2973</v>
      </c>
    </row>
    <row r="1371" spans="1:48" s="22" customFormat="1" x14ac:dyDescent="0.45">
      <c r="A1371" s="21" t="s">
        <v>2515</v>
      </c>
      <c r="B1371" s="22">
        <v>2055</v>
      </c>
      <c r="C1371" s="22" t="s">
        <v>2495</v>
      </c>
      <c r="D1371" s="22">
        <v>2260</v>
      </c>
      <c r="E1371" s="22" t="s">
        <v>1688</v>
      </c>
      <c r="F1371" s="22" t="s">
        <v>2775</v>
      </c>
      <c r="G1371" s="22" t="s">
        <v>2775</v>
      </c>
      <c r="H1371" s="22" t="s">
        <v>2745</v>
      </c>
      <c r="I1371" s="22" t="s">
        <v>2742</v>
      </c>
      <c r="J1371" s="22">
        <v>0</v>
      </c>
      <c r="K1371" s="22">
        <v>0</v>
      </c>
      <c r="L1371" s="22">
        <v>0</v>
      </c>
      <c r="M1371" s="22">
        <v>3</v>
      </c>
      <c r="N1371" s="23">
        <v>1295240.25</v>
      </c>
      <c r="O1371" s="23">
        <v>364295.52</v>
      </c>
      <c r="P1371" s="23">
        <v>4649.5</v>
      </c>
      <c r="Q1371" s="23">
        <v>0</v>
      </c>
      <c r="R1371" s="23">
        <v>0</v>
      </c>
      <c r="S1371" s="23">
        <v>0</v>
      </c>
      <c r="T1371" s="23">
        <v>1664185.27</v>
      </c>
      <c r="U1371" s="23">
        <v>0</v>
      </c>
      <c r="V1371" s="23">
        <v>0</v>
      </c>
      <c r="W1371" s="23">
        <v>1664185.27</v>
      </c>
      <c r="X1371" s="23">
        <v>0</v>
      </c>
      <c r="Y1371" s="23">
        <v>0</v>
      </c>
      <c r="Z1371" s="23">
        <v>0</v>
      </c>
      <c r="AA1371" s="23">
        <v>0</v>
      </c>
      <c r="AB1371" s="23">
        <v>0</v>
      </c>
      <c r="AC1371" s="23">
        <v>0</v>
      </c>
      <c r="AD1371" s="23">
        <v>0</v>
      </c>
      <c r="AE1371" s="23">
        <v>0</v>
      </c>
      <c r="AF1371" s="23">
        <v>0</v>
      </c>
      <c r="AG1371" s="23">
        <v>0</v>
      </c>
      <c r="AH1371" s="23">
        <v>0</v>
      </c>
      <c r="AI1371" s="23">
        <v>0</v>
      </c>
      <c r="AJ1371" s="23">
        <v>1664185.27</v>
      </c>
      <c r="AK1371" s="23">
        <v>0</v>
      </c>
      <c r="AL1371" s="23">
        <v>0</v>
      </c>
      <c r="AM1371" s="23">
        <v>0</v>
      </c>
      <c r="AN1371" s="23">
        <v>0</v>
      </c>
      <c r="AO1371" s="23">
        <v>0</v>
      </c>
      <c r="AP1371" s="23">
        <v>0</v>
      </c>
      <c r="AQ1371" s="23">
        <v>0</v>
      </c>
      <c r="AR1371" s="23">
        <v>0</v>
      </c>
      <c r="AS1371" s="23">
        <v>0</v>
      </c>
      <c r="AT1371" s="23">
        <v>0</v>
      </c>
      <c r="AU1371" s="22" t="s">
        <v>2973</v>
      </c>
      <c r="AV1371" s="22" t="s">
        <v>2973</v>
      </c>
    </row>
    <row r="1372" spans="1:48" s="22" customFormat="1" x14ac:dyDescent="0.45">
      <c r="A1372" s="21" t="s">
        <v>2542</v>
      </c>
      <c r="B1372" s="22">
        <v>2242</v>
      </c>
      <c r="C1372" s="22" t="s">
        <v>2526</v>
      </c>
      <c r="D1372" s="22">
        <v>2273</v>
      </c>
      <c r="E1372" s="22" t="s">
        <v>2543</v>
      </c>
      <c r="F1372" s="22" t="s">
        <v>2773</v>
      </c>
      <c r="G1372" s="22" t="s">
        <v>2746</v>
      </c>
      <c r="H1372" s="22" t="s">
        <v>2743</v>
      </c>
      <c r="I1372" s="22" t="s">
        <v>2742</v>
      </c>
      <c r="J1372" s="22">
        <v>0</v>
      </c>
      <c r="K1372" s="22">
        <v>0</v>
      </c>
      <c r="L1372" s="22">
        <v>0</v>
      </c>
      <c r="M1372" s="22">
        <v>1</v>
      </c>
      <c r="N1372" s="23">
        <v>297004.44</v>
      </c>
      <c r="O1372" s="23">
        <v>43359.37</v>
      </c>
      <c r="P1372" s="23">
        <v>969.86</v>
      </c>
      <c r="Q1372" s="23">
        <v>0</v>
      </c>
      <c r="R1372" s="23">
        <v>0</v>
      </c>
      <c r="S1372" s="23">
        <v>0</v>
      </c>
      <c r="T1372" s="23">
        <v>341333.67</v>
      </c>
      <c r="U1372" s="23">
        <v>0</v>
      </c>
      <c r="V1372" s="23">
        <v>449.45</v>
      </c>
      <c r="W1372" s="23">
        <v>340884.22</v>
      </c>
      <c r="X1372" s="23">
        <v>0</v>
      </c>
      <c r="Y1372" s="23">
        <v>0</v>
      </c>
      <c r="Z1372" s="23">
        <v>0</v>
      </c>
      <c r="AA1372" s="23">
        <v>0</v>
      </c>
      <c r="AB1372" s="23">
        <v>0</v>
      </c>
      <c r="AC1372" s="23">
        <v>0</v>
      </c>
      <c r="AD1372" s="23">
        <v>0</v>
      </c>
      <c r="AE1372" s="23">
        <v>0</v>
      </c>
      <c r="AF1372" s="23">
        <v>0</v>
      </c>
      <c r="AG1372" s="23">
        <v>0</v>
      </c>
      <c r="AH1372" s="23">
        <v>0</v>
      </c>
      <c r="AI1372" s="23">
        <v>0</v>
      </c>
      <c r="AJ1372" s="23">
        <v>341333.67</v>
      </c>
      <c r="AK1372" s="23">
        <v>0</v>
      </c>
      <c r="AL1372" s="23">
        <v>0</v>
      </c>
      <c r="AM1372" s="23">
        <v>0</v>
      </c>
      <c r="AN1372" s="23">
        <v>0</v>
      </c>
      <c r="AO1372" s="23">
        <v>0</v>
      </c>
      <c r="AP1372" s="23">
        <v>0</v>
      </c>
      <c r="AQ1372" s="23">
        <v>0</v>
      </c>
      <c r="AR1372" s="23">
        <v>0</v>
      </c>
      <c r="AS1372" s="23">
        <v>0</v>
      </c>
      <c r="AT1372" s="23">
        <v>0</v>
      </c>
      <c r="AU1372" s="22" t="s">
        <v>2973</v>
      </c>
      <c r="AV1372" s="22" t="s">
        <v>2973</v>
      </c>
    </row>
    <row r="1373" spans="1:48" s="22" customFormat="1" x14ac:dyDescent="0.45">
      <c r="A1373" s="21" t="s">
        <v>2653</v>
      </c>
      <c r="B1373" s="22">
        <v>2117</v>
      </c>
      <c r="C1373" s="22" t="s">
        <v>2654</v>
      </c>
      <c r="D1373" s="22">
        <v>2117</v>
      </c>
      <c r="E1373" s="22" t="s">
        <v>2654</v>
      </c>
      <c r="F1373" s="22" t="s">
        <v>2751</v>
      </c>
      <c r="G1373" s="22" t="s">
        <v>2751</v>
      </c>
      <c r="H1373" s="22" t="s">
        <v>2743</v>
      </c>
      <c r="I1373" s="22" t="s">
        <v>2742</v>
      </c>
      <c r="J1373" s="22">
        <v>0</v>
      </c>
      <c r="K1373" s="22">
        <v>0</v>
      </c>
      <c r="L1373" s="22">
        <v>0</v>
      </c>
      <c r="M1373" s="22">
        <v>0</v>
      </c>
      <c r="N1373" s="23">
        <v>0</v>
      </c>
      <c r="O1373" s="23">
        <v>0</v>
      </c>
      <c r="P1373" s="23">
        <v>0</v>
      </c>
      <c r="Q1373" s="23">
        <v>0</v>
      </c>
      <c r="R1373" s="23">
        <v>0</v>
      </c>
      <c r="S1373" s="23">
        <v>0</v>
      </c>
      <c r="T1373" s="23">
        <v>0</v>
      </c>
      <c r="U1373" s="23">
        <v>0</v>
      </c>
      <c r="V1373" s="23">
        <v>0</v>
      </c>
      <c r="W1373" s="23">
        <v>0</v>
      </c>
      <c r="X1373" s="23">
        <v>0</v>
      </c>
      <c r="Y1373" s="23">
        <v>0</v>
      </c>
      <c r="Z1373" s="23">
        <v>0</v>
      </c>
      <c r="AA1373" s="23">
        <v>0</v>
      </c>
      <c r="AB1373" s="23">
        <v>0</v>
      </c>
      <c r="AC1373" s="23">
        <v>0</v>
      </c>
      <c r="AD1373" s="23">
        <v>0</v>
      </c>
      <c r="AE1373" s="23">
        <v>0</v>
      </c>
      <c r="AF1373" s="23">
        <v>0</v>
      </c>
      <c r="AG1373" s="23">
        <v>0</v>
      </c>
      <c r="AH1373" s="23">
        <v>0</v>
      </c>
      <c r="AI1373" s="23">
        <v>0</v>
      </c>
      <c r="AJ1373" s="23">
        <v>0</v>
      </c>
      <c r="AK1373" s="23">
        <v>0</v>
      </c>
      <c r="AL1373" s="23">
        <v>0</v>
      </c>
      <c r="AM1373" s="23">
        <v>0</v>
      </c>
      <c r="AN1373" s="23">
        <v>0</v>
      </c>
      <c r="AO1373" s="23">
        <v>0</v>
      </c>
      <c r="AP1373" s="23">
        <v>0</v>
      </c>
      <c r="AQ1373" s="23">
        <v>0</v>
      </c>
      <c r="AR1373" s="23">
        <v>0</v>
      </c>
      <c r="AS1373" s="23">
        <v>0</v>
      </c>
      <c r="AT1373" s="23">
        <v>118271342.47</v>
      </c>
      <c r="AU1373" s="22" t="s">
        <v>2973</v>
      </c>
      <c r="AV1373" s="22" t="s">
        <v>2973</v>
      </c>
    </row>
  </sheetData>
  <sortState ref="A2:AR1395">
    <sortCondition descending="1" ref="AI1"/>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44"/>
  <sheetViews>
    <sheetView workbookViewId="0"/>
  </sheetViews>
  <sheetFormatPr defaultRowHeight="14.25" x14ac:dyDescent="0.45"/>
  <sheetData>
    <row r="1" spans="1:1" ht="18" x14ac:dyDescent="0.45">
      <c r="A1" s="12" t="s">
        <v>2828</v>
      </c>
    </row>
    <row r="2" spans="1:1" ht="15.75" x14ac:dyDescent="0.45">
      <c r="A2" s="13" t="s">
        <v>2829</v>
      </c>
    </row>
    <row r="3" spans="1:1" x14ac:dyDescent="0.45">
      <c r="A3" s="14" t="s">
        <v>2846</v>
      </c>
    </row>
    <row r="4" spans="1:1" x14ac:dyDescent="0.45">
      <c r="A4" s="15" t="s">
        <v>2847</v>
      </c>
    </row>
    <row r="5" spans="1:1" x14ac:dyDescent="0.45">
      <c r="A5" s="15" t="s">
        <v>2848</v>
      </c>
    </row>
    <row r="6" spans="1:1" x14ac:dyDescent="0.45">
      <c r="A6" s="16" t="s">
        <v>2849</v>
      </c>
    </row>
    <row r="7" spans="1:1" x14ac:dyDescent="0.45">
      <c r="A7" s="16" t="s">
        <v>2850</v>
      </c>
    </row>
    <row r="8" spans="1:1" x14ac:dyDescent="0.45">
      <c r="A8" s="16" t="s">
        <v>2936</v>
      </c>
    </row>
    <row r="9" spans="1:1" ht="15.75" x14ac:dyDescent="0.45">
      <c r="A9" s="13" t="s">
        <v>2830</v>
      </c>
    </row>
    <row r="10" spans="1:1" x14ac:dyDescent="0.45">
      <c r="A10" s="14" t="s">
        <v>2851</v>
      </c>
    </row>
    <row r="11" spans="1:1" ht="15.75" x14ac:dyDescent="0.45">
      <c r="A11" s="13" t="s">
        <v>2831</v>
      </c>
    </row>
    <row r="12" spans="1:1" x14ac:dyDescent="0.45">
      <c r="A12" s="14" t="s">
        <v>2852</v>
      </c>
    </row>
    <row r="13" spans="1:1" x14ac:dyDescent="0.45">
      <c r="A13" s="15" t="s">
        <v>2847</v>
      </c>
    </row>
    <row r="14" spans="1:1" ht="15.75" x14ac:dyDescent="0.45">
      <c r="A14" s="13" t="s">
        <v>2832</v>
      </c>
    </row>
    <row r="15" spans="1:1" x14ac:dyDescent="0.45">
      <c r="A15" s="14" t="s">
        <v>2853</v>
      </c>
    </row>
    <row r="16" spans="1:1" x14ac:dyDescent="0.45">
      <c r="A16" s="15" t="s">
        <v>2854</v>
      </c>
    </row>
    <row r="17" spans="1:1" x14ac:dyDescent="0.45">
      <c r="A17" s="15" t="s">
        <v>2855</v>
      </c>
    </row>
    <row r="18" spans="1:1" x14ac:dyDescent="0.45">
      <c r="A18" s="16" t="s">
        <v>2856</v>
      </c>
    </row>
    <row r="19" spans="1:1" x14ac:dyDescent="0.45">
      <c r="A19" s="16" t="s">
        <v>2857</v>
      </c>
    </row>
    <row r="20" spans="1:1" x14ac:dyDescent="0.45">
      <c r="A20" s="16" t="s">
        <v>2858</v>
      </c>
    </row>
    <row r="21" spans="1:1" x14ac:dyDescent="0.45">
      <c r="A21" s="16" t="s">
        <v>2859</v>
      </c>
    </row>
    <row r="22" spans="1:1" x14ac:dyDescent="0.45">
      <c r="A22" s="16" t="s">
        <v>2860</v>
      </c>
    </row>
    <row r="23" spans="1:1" x14ac:dyDescent="0.45">
      <c r="A23" s="16" t="s">
        <v>2861</v>
      </c>
    </row>
    <row r="24" spans="1:1" x14ac:dyDescent="0.45">
      <c r="A24" s="16" t="s">
        <v>2862</v>
      </c>
    </row>
    <row r="25" spans="1:1" x14ac:dyDescent="0.45">
      <c r="A25" s="16" t="s">
        <v>2863</v>
      </c>
    </row>
    <row r="26" spans="1:1" x14ac:dyDescent="0.45">
      <c r="A26" s="15" t="s">
        <v>2864</v>
      </c>
    </row>
    <row r="27" spans="1:1" x14ac:dyDescent="0.45">
      <c r="A27" s="16" t="s">
        <v>2865</v>
      </c>
    </row>
    <row r="28" spans="1:1" x14ac:dyDescent="0.45">
      <c r="A28" s="16" t="s">
        <v>2866</v>
      </c>
    </row>
    <row r="29" spans="1:1" x14ac:dyDescent="0.45">
      <c r="A29" s="16" t="s">
        <v>2867</v>
      </c>
    </row>
    <row r="30" spans="1:1" x14ac:dyDescent="0.45">
      <c r="A30" s="16" t="s">
        <v>2868</v>
      </c>
    </row>
    <row r="31" spans="1:1" x14ac:dyDescent="0.45">
      <c r="A31" s="16" t="s">
        <v>2857</v>
      </c>
    </row>
    <row r="32" spans="1:1" x14ac:dyDescent="0.45">
      <c r="A32" s="16" t="s">
        <v>2860</v>
      </c>
    </row>
    <row r="33" spans="1:1" x14ac:dyDescent="0.45">
      <c r="A33" s="16" t="s">
        <v>2862</v>
      </c>
    </row>
    <row r="34" spans="1:1" x14ac:dyDescent="0.45">
      <c r="A34" s="16" t="s">
        <v>2863</v>
      </c>
    </row>
    <row r="35" spans="1:1" x14ac:dyDescent="0.45">
      <c r="A35" s="16" t="s">
        <v>2869</v>
      </c>
    </row>
    <row r="36" spans="1:1" x14ac:dyDescent="0.45">
      <c r="A36" s="15" t="s">
        <v>2870</v>
      </c>
    </row>
    <row r="37" spans="1:1" x14ac:dyDescent="0.45">
      <c r="A37" s="16" t="s">
        <v>2871</v>
      </c>
    </row>
    <row r="38" spans="1:1" x14ac:dyDescent="0.45">
      <c r="A38" s="16" t="s">
        <v>2872</v>
      </c>
    </row>
    <row r="39" spans="1:1" x14ac:dyDescent="0.45">
      <c r="A39" s="17" t="s">
        <v>2873</v>
      </c>
    </row>
    <row r="40" spans="1:1" x14ac:dyDescent="0.45">
      <c r="A40" s="16" t="s">
        <v>2874</v>
      </c>
    </row>
    <row r="41" spans="1:1" x14ac:dyDescent="0.45">
      <c r="A41" s="17" t="s">
        <v>2875</v>
      </c>
    </row>
    <row r="42" spans="1:1" x14ac:dyDescent="0.45">
      <c r="A42" s="16" t="s">
        <v>2876</v>
      </c>
    </row>
    <row r="43" spans="1:1" ht="15.75" x14ac:dyDescent="0.45">
      <c r="A43" s="13" t="s">
        <v>2833</v>
      </c>
    </row>
    <row r="44" spans="1:1" x14ac:dyDescent="0.45">
      <c r="A44" s="14" t="s">
        <v>2877</v>
      </c>
    </row>
    <row r="45" spans="1:1" x14ac:dyDescent="0.45">
      <c r="A45" s="15" t="s">
        <v>2847</v>
      </c>
    </row>
    <row r="46" spans="1:1" x14ac:dyDescent="0.45">
      <c r="A46" s="15" t="s">
        <v>2878</v>
      </c>
    </row>
    <row r="47" spans="1:1" x14ac:dyDescent="0.45">
      <c r="A47" s="15" t="s">
        <v>2879</v>
      </c>
    </row>
    <row r="48" spans="1:1" x14ac:dyDescent="0.45">
      <c r="A48" s="16" t="s">
        <v>2880</v>
      </c>
    </row>
    <row r="49" spans="1:1" x14ac:dyDescent="0.45">
      <c r="A49" s="16" t="s">
        <v>2881</v>
      </c>
    </row>
    <row r="50" spans="1:1" x14ac:dyDescent="0.45">
      <c r="A50" s="16" t="s">
        <v>2882</v>
      </c>
    </row>
    <row r="51" spans="1:1" x14ac:dyDescent="0.45">
      <c r="A51" s="14" t="s">
        <v>2883</v>
      </c>
    </row>
    <row r="52" spans="1:1" x14ac:dyDescent="0.45">
      <c r="A52" s="15" t="s">
        <v>2884</v>
      </c>
    </row>
    <row r="53" spans="1:1" x14ac:dyDescent="0.45">
      <c r="A53" s="15" t="s">
        <v>2885</v>
      </c>
    </row>
    <row r="54" spans="1:1" x14ac:dyDescent="0.45">
      <c r="A54" s="15" t="s">
        <v>2879</v>
      </c>
    </row>
    <row r="55" spans="1:1" x14ac:dyDescent="0.45">
      <c r="A55" s="16" t="s">
        <v>2880</v>
      </c>
    </row>
    <row r="56" spans="1:1" x14ac:dyDescent="0.45">
      <c r="A56" s="16" t="s">
        <v>2881</v>
      </c>
    </row>
    <row r="57" spans="1:1" ht="15.75" x14ac:dyDescent="0.45">
      <c r="A57" s="13" t="s">
        <v>2834</v>
      </c>
    </row>
    <row r="58" spans="1:1" x14ac:dyDescent="0.45">
      <c r="A58" s="14" t="s">
        <v>2886</v>
      </c>
    </row>
    <row r="59" spans="1:1" x14ac:dyDescent="0.45">
      <c r="A59" s="15" t="s">
        <v>2887</v>
      </c>
    </row>
    <row r="60" spans="1:1" x14ac:dyDescent="0.45">
      <c r="A60" s="15" t="s">
        <v>2888</v>
      </c>
    </row>
    <row r="61" spans="1:1" x14ac:dyDescent="0.45">
      <c r="A61" s="15" t="s">
        <v>2889</v>
      </c>
    </row>
    <row r="62" spans="1:1" x14ac:dyDescent="0.45">
      <c r="A62" s="16" t="s">
        <v>2890</v>
      </c>
    </row>
    <row r="63" spans="1:1" x14ac:dyDescent="0.45">
      <c r="A63" s="16" t="s">
        <v>2891</v>
      </c>
    </row>
    <row r="64" spans="1:1" x14ac:dyDescent="0.45">
      <c r="A64" s="16" t="s">
        <v>2892</v>
      </c>
    </row>
    <row r="65" spans="1:1" ht="15.75" x14ac:dyDescent="0.45">
      <c r="A65" s="13" t="s">
        <v>2835</v>
      </c>
    </row>
    <row r="66" spans="1:1" x14ac:dyDescent="0.45">
      <c r="A66" s="14" t="s">
        <v>2893</v>
      </c>
    </row>
    <row r="67" spans="1:1" x14ac:dyDescent="0.45">
      <c r="A67" s="15" t="s">
        <v>2894</v>
      </c>
    </row>
    <row r="68" spans="1:1" x14ac:dyDescent="0.45">
      <c r="A68" s="16" t="s">
        <v>2895</v>
      </c>
    </row>
    <row r="69" spans="1:1" x14ac:dyDescent="0.45">
      <c r="A69" s="15" t="s">
        <v>2896</v>
      </c>
    </row>
    <row r="70" spans="1:1" x14ac:dyDescent="0.45">
      <c r="A70" s="16" t="s">
        <v>2897</v>
      </c>
    </row>
    <row r="71" spans="1:1" x14ac:dyDescent="0.45">
      <c r="A71" s="18"/>
    </row>
    <row r="72" spans="1:1" ht="18" x14ac:dyDescent="0.45">
      <c r="A72" s="12" t="s">
        <v>2836</v>
      </c>
    </row>
    <row r="73" spans="1:1" x14ac:dyDescent="0.45">
      <c r="A73" s="18"/>
    </row>
    <row r="74" spans="1:1" ht="15.75" x14ac:dyDescent="0.45">
      <c r="A74" s="13" t="s">
        <v>2837</v>
      </c>
    </row>
    <row r="75" spans="1:1" x14ac:dyDescent="0.45">
      <c r="A75" s="14" t="s">
        <v>2849</v>
      </c>
    </row>
    <row r="76" spans="1:1" x14ac:dyDescent="0.45">
      <c r="A76" s="14" t="s">
        <v>2850</v>
      </c>
    </row>
    <row r="77" spans="1:1" x14ac:dyDescent="0.45">
      <c r="A77" s="14" t="s">
        <v>2936</v>
      </c>
    </row>
    <row r="78" spans="1:1" x14ac:dyDescent="0.45">
      <c r="A78" s="14" t="s">
        <v>2898</v>
      </c>
    </row>
    <row r="79" spans="1:1" x14ac:dyDescent="0.45">
      <c r="A79" s="15" t="s">
        <v>2899</v>
      </c>
    </row>
    <row r="80" spans="1:1" x14ac:dyDescent="0.45">
      <c r="A80" s="18"/>
    </row>
    <row r="81" spans="1:1" ht="15.75" x14ac:dyDescent="0.45">
      <c r="A81" s="13" t="s">
        <v>2838</v>
      </c>
    </row>
    <row r="82" spans="1:1" x14ac:dyDescent="0.45">
      <c r="A82" s="19" t="s">
        <v>10</v>
      </c>
    </row>
    <row r="83" spans="1:1" x14ac:dyDescent="0.45">
      <c r="A83" s="14" t="s">
        <v>2900</v>
      </c>
    </row>
    <row r="84" spans="1:1" x14ac:dyDescent="0.45">
      <c r="A84" s="19" t="s">
        <v>9</v>
      </c>
    </row>
    <row r="85" spans="1:1" x14ac:dyDescent="0.45">
      <c r="A85" s="14" t="s">
        <v>2901</v>
      </c>
    </row>
    <row r="86" spans="1:1" x14ac:dyDescent="0.45">
      <c r="A86" s="19" t="s">
        <v>2721</v>
      </c>
    </row>
    <row r="87" spans="1:1" x14ac:dyDescent="0.45">
      <c r="A87" s="14" t="s">
        <v>2902</v>
      </c>
    </row>
    <row r="88" spans="1:1" x14ac:dyDescent="0.45">
      <c r="A88" s="18"/>
    </row>
    <row r="89" spans="1:1" x14ac:dyDescent="0.45">
      <c r="A89" s="19" t="s">
        <v>2839</v>
      </c>
    </row>
    <row r="90" spans="1:1" x14ac:dyDescent="0.45">
      <c r="A90" s="18" t="s">
        <v>2840</v>
      </c>
    </row>
    <row r="91" spans="1:1" x14ac:dyDescent="0.45">
      <c r="A91" s="14" t="s">
        <v>2903</v>
      </c>
    </row>
    <row r="92" spans="1:1" x14ac:dyDescent="0.45">
      <c r="A92" s="14" t="s">
        <v>2904</v>
      </c>
    </row>
    <row r="93" spans="1:1" x14ac:dyDescent="0.45">
      <c r="A93" s="18"/>
    </row>
    <row r="94" spans="1:1" ht="15.75" x14ac:dyDescent="0.45">
      <c r="A94" s="13" t="s">
        <v>2841</v>
      </c>
    </row>
    <row r="95" spans="1:1" x14ac:dyDescent="0.45">
      <c r="A95" s="19" t="s">
        <v>2721</v>
      </c>
    </row>
    <row r="96" spans="1:1" x14ac:dyDescent="0.45">
      <c r="A96" s="14" t="s">
        <v>2902</v>
      </c>
    </row>
    <row r="97" spans="1:1" x14ac:dyDescent="0.45">
      <c r="A97" s="19" t="s">
        <v>2842</v>
      </c>
    </row>
    <row r="98" spans="1:1" x14ac:dyDescent="0.45">
      <c r="A98" s="14" t="s">
        <v>2905</v>
      </c>
    </row>
    <row r="99" spans="1:1" x14ac:dyDescent="0.45">
      <c r="A99" s="15" t="s">
        <v>2906</v>
      </c>
    </row>
    <row r="100" spans="1:1" x14ac:dyDescent="0.45">
      <c r="A100" s="16" t="s">
        <v>2907</v>
      </c>
    </row>
    <row r="101" spans="1:1" x14ac:dyDescent="0.45">
      <c r="A101" s="16" t="s">
        <v>2908</v>
      </c>
    </row>
    <row r="102" spans="1:1" x14ac:dyDescent="0.45">
      <c r="A102" s="15" t="s">
        <v>2909</v>
      </c>
    </row>
    <row r="103" spans="1:1" x14ac:dyDescent="0.45">
      <c r="A103" s="16" t="s">
        <v>2910</v>
      </c>
    </row>
    <row r="104" spans="1:1" x14ac:dyDescent="0.45">
      <c r="A104" s="14" t="s">
        <v>2911</v>
      </c>
    </row>
    <row r="105" spans="1:1" x14ac:dyDescent="0.45">
      <c r="A105" s="15" t="s">
        <v>2906</v>
      </c>
    </row>
    <row r="106" spans="1:1" x14ac:dyDescent="0.45">
      <c r="A106" s="16" t="s">
        <v>2907</v>
      </c>
    </row>
    <row r="107" spans="1:1" x14ac:dyDescent="0.45">
      <c r="A107" s="16" t="s">
        <v>2912</v>
      </c>
    </row>
    <row r="108" spans="1:1" x14ac:dyDescent="0.45">
      <c r="A108" s="15" t="s">
        <v>2909</v>
      </c>
    </row>
    <row r="109" spans="1:1" x14ac:dyDescent="0.45">
      <c r="A109" s="16" t="s">
        <v>2910</v>
      </c>
    </row>
    <row r="110" spans="1:1" x14ac:dyDescent="0.45">
      <c r="A110" s="14" t="s">
        <v>2913</v>
      </c>
    </row>
    <row r="111" spans="1:1" x14ac:dyDescent="0.45">
      <c r="A111" s="15" t="s">
        <v>2906</v>
      </c>
    </row>
    <row r="112" spans="1:1" x14ac:dyDescent="0.45">
      <c r="A112" s="16" t="s">
        <v>2907</v>
      </c>
    </row>
    <row r="113" spans="1:1" x14ac:dyDescent="0.45">
      <c r="A113" s="16" t="s">
        <v>2914</v>
      </c>
    </row>
    <row r="114" spans="1:1" x14ac:dyDescent="0.45">
      <c r="A114" s="15" t="s">
        <v>2909</v>
      </c>
    </row>
    <row r="115" spans="1:1" x14ac:dyDescent="0.45">
      <c r="A115" s="16" t="s">
        <v>2910</v>
      </c>
    </row>
    <row r="116" spans="1:1" x14ac:dyDescent="0.45">
      <c r="A116" s="14" t="s">
        <v>2915</v>
      </c>
    </row>
    <row r="117" spans="1:1" x14ac:dyDescent="0.45">
      <c r="A117" s="15" t="s">
        <v>2906</v>
      </c>
    </row>
    <row r="118" spans="1:1" x14ac:dyDescent="0.45">
      <c r="A118" s="16" t="s">
        <v>2907</v>
      </c>
    </row>
    <row r="119" spans="1:1" x14ac:dyDescent="0.45">
      <c r="A119" s="16" t="s">
        <v>2916</v>
      </c>
    </row>
    <row r="120" spans="1:1" x14ac:dyDescent="0.45">
      <c r="A120" s="15" t="s">
        <v>2909</v>
      </c>
    </row>
    <row r="121" spans="1:1" x14ac:dyDescent="0.45">
      <c r="A121" s="16" t="s">
        <v>2917</v>
      </c>
    </row>
    <row r="122" spans="1:1" x14ac:dyDescent="0.45">
      <c r="A122" s="19" t="s">
        <v>8</v>
      </c>
    </row>
    <row r="123" spans="1:1" x14ac:dyDescent="0.45">
      <c r="A123" s="14" t="s">
        <v>2918</v>
      </c>
    </row>
    <row r="124" spans="1:1" x14ac:dyDescent="0.45">
      <c r="A124" s="18"/>
    </row>
    <row r="125" spans="1:1" ht="15.75" x14ac:dyDescent="0.45">
      <c r="A125" s="13" t="s">
        <v>2843</v>
      </c>
    </row>
    <row r="126" spans="1:1" x14ac:dyDescent="0.45">
      <c r="A126" s="19" t="s">
        <v>2844</v>
      </c>
    </row>
    <row r="127" spans="1:1" x14ac:dyDescent="0.45">
      <c r="A127" s="14" t="s">
        <v>2919</v>
      </c>
    </row>
    <row r="128" spans="1:1" x14ac:dyDescent="0.45">
      <c r="A128" s="20" t="s">
        <v>2845</v>
      </c>
    </row>
    <row r="129" spans="1:1" x14ac:dyDescent="0.45">
      <c r="A129" s="14" t="s">
        <v>2920</v>
      </c>
    </row>
    <row r="130" spans="1:1" x14ac:dyDescent="0.45">
      <c r="A130" s="15" t="s">
        <v>2921</v>
      </c>
    </row>
    <row r="131" spans="1:1" x14ac:dyDescent="0.45">
      <c r="A131" s="14" t="s">
        <v>2922</v>
      </c>
    </row>
    <row r="132" spans="1:1" x14ac:dyDescent="0.45">
      <c r="A132" s="15" t="s">
        <v>2923</v>
      </c>
    </row>
    <row r="133" spans="1:1" x14ac:dyDescent="0.45">
      <c r="A133" s="14" t="s">
        <v>2924</v>
      </c>
    </row>
    <row r="134" spans="1:1" x14ac:dyDescent="0.45">
      <c r="A134" s="15" t="s">
        <v>2925</v>
      </c>
    </row>
    <row r="135" spans="1:1" x14ac:dyDescent="0.45">
      <c r="A135" s="14" t="s">
        <v>2926</v>
      </c>
    </row>
    <row r="136" spans="1:1" x14ac:dyDescent="0.45">
      <c r="A136" s="15" t="s">
        <v>2927</v>
      </c>
    </row>
    <row r="137" spans="1:1" x14ac:dyDescent="0.45">
      <c r="A137" s="14" t="s">
        <v>2928</v>
      </c>
    </row>
    <row r="138" spans="1:1" x14ac:dyDescent="0.45">
      <c r="A138" s="15" t="s">
        <v>2929</v>
      </c>
    </row>
    <row r="139" spans="1:1" x14ac:dyDescent="0.45">
      <c r="A139" s="14" t="s">
        <v>2930</v>
      </c>
    </row>
    <row r="140" spans="1:1" x14ac:dyDescent="0.45">
      <c r="A140" s="15" t="s">
        <v>2931</v>
      </c>
    </row>
    <row r="141" spans="1:1" x14ac:dyDescent="0.45">
      <c r="A141" s="14" t="s">
        <v>2932</v>
      </c>
    </row>
    <row r="142" spans="1:1" x14ac:dyDescent="0.45">
      <c r="A142" s="15" t="s">
        <v>2933</v>
      </c>
    </row>
    <row r="143" spans="1:1" x14ac:dyDescent="0.45">
      <c r="A143" s="14" t="s">
        <v>2934</v>
      </c>
    </row>
    <row r="144" spans="1:1" x14ac:dyDescent="0.45">
      <c r="A144" s="15" t="s">
        <v>2935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V19"/>
  <sheetViews>
    <sheetView topLeftCell="AF1" workbookViewId="0">
      <selection activeCell="AV2" sqref="AV2"/>
    </sheetView>
  </sheetViews>
  <sheetFormatPr defaultRowHeight="14.25" x14ac:dyDescent="0.45"/>
  <cols>
    <col min="1" max="1" width="30.59765625" customWidth="1"/>
    <col min="2" max="2" width="12.86328125" bestFit="1" customWidth="1"/>
    <col min="3" max="3" width="30.73046875" customWidth="1"/>
    <col min="4" max="4" width="14.86328125" customWidth="1"/>
    <col min="5" max="5" width="31.265625" customWidth="1"/>
    <col min="6" max="6" width="18.1328125" customWidth="1"/>
    <col min="7" max="7" width="11.59765625" bestFit="1" customWidth="1"/>
    <col min="8" max="8" width="13" bestFit="1" customWidth="1"/>
    <col min="9" max="9" width="11.86328125" bestFit="1" customWidth="1"/>
    <col min="10" max="10" width="16.59765625" customWidth="1"/>
    <col min="11" max="11" width="16.86328125" customWidth="1"/>
    <col min="12" max="12" width="10.1328125" bestFit="1" customWidth="1"/>
    <col min="13" max="13" width="28.59765625" bestFit="1" customWidth="1"/>
    <col min="14" max="14" width="17.86328125" bestFit="1" customWidth="1"/>
    <col min="15" max="15" width="15.86328125" bestFit="1" customWidth="1"/>
    <col min="16" max="16" width="15" bestFit="1" customWidth="1"/>
    <col min="17" max="17" width="9.265625" bestFit="1" customWidth="1"/>
    <col min="18" max="18" width="17.73046875" bestFit="1" customWidth="1"/>
    <col min="19" max="19" width="12.265625" bestFit="1" customWidth="1"/>
    <col min="20" max="20" width="12.73046875" bestFit="1" customWidth="1"/>
    <col min="21" max="21" width="12" bestFit="1" customWidth="1"/>
    <col min="22" max="22" width="15.73046875" bestFit="1" customWidth="1"/>
    <col min="23" max="23" width="12.1328125" bestFit="1" customWidth="1"/>
    <col min="24" max="24" width="14" bestFit="1" customWidth="1"/>
    <col min="25" max="25" width="10.1328125" bestFit="1" customWidth="1"/>
    <col min="26" max="26" width="15" bestFit="1" customWidth="1"/>
    <col min="27" max="27" width="16.1328125" bestFit="1" customWidth="1"/>
    <col min="28" max="28" width="12" bestFit="1" customWidth="1"/>
    <col min="29" max="29" width="15.73046875" bestFit="1" customWidth="1"/>
    <col min="30" max="30" width="12.1328125" bestFit="1" customWidth="1"/>
    <col min="31" max="31" width="14" bestFit="1" customWidth="1"/>
    <col min="32" max="32" width="10.1328125" bestFit="1" customWidth="1"/>
    <col min="36" max="36" width="12.59765625" customWidth="1"/>
    <col min="40" max="43" width="10.86328125" customWidth="1"/>
    <col min="44" max="44" width="11.265625" customWidth="1"/>
  </cols>
  <sheetData>
    <row r="1" spans="1:48" s="4" customFormat="1" x14ac:dyDescent="0.45">
      <c r="A1" s="4" t="s">
        <v>0</v>
      </c>
      <c r="B1" s="4" t="s">
        <v>2713</v>
      </c>
      <c r="C1" s="4" t="s">
        <v>1</v>
      </c>
      <c r="D1" s="4" t="s">
        <v>2714</v>
      </c>
      <c r="E1" s="4" t="s">
        <v>2</v>
      </c>
      <c r="F1" s="4" t="s">
        <v>2715</v>
      </c>
      <c r="G1" s="4" t="s">
        <v>2716</v>
      </c>
      <c r="H1" s="4" t="s">
        <v>2717</v>
      </c>
      <c r="I1" s="4" t="s">
        <v>2718</v>
      </c>
      <c r="J1" s="4" t="s">
        <v>2719</v>
      </c>
      <c r="K1" s="4" t="s">
        <v>2720</v>
      </c>
      <c r="L1" s="4" t="s">
        <v>2798</v>
      </c>
      <c r="M1" s="4" t="s">
        <v>2799</v>
      </c>
      <c r="N1" s="4" t="s">
        <v>4</v>
      </c>
      <c r="O1" s="4" t="s">
        <v>5</v>
      </c>
      <c r="P1" s="4" t="s">
        <v>6</v>
      </c>
      <c r="Q1" s="4" t="s">
        <v>7</v>
      </c>
      <c r="R1" s="4" t="s">
        <v>8</v>
      </c>
      <c r="S1" s="4" t="s">
        <v>2721</v>
      </c>
      <c r="T1" s="4" t="s">
        <v>9</v>
      </c>
      <c r="U1" s="4" t="s">
        <v>10</v>
      </c>
      <c r="V1" s="4" t="s">
        <v>2722</v>
      </c>
      <c r="W1" s="4" t="s">
        <v>2723</v>
      </c>
      <c r="X1" s="4" t="s">
        <v>2724</v>
      </c>
      <c r="Y1" s="4" t="s">
        <v>2725</v>
      </c>
      <c r="Z1" s="4" t="s">
        <v>2726</v>
      </c>
      <c r="AA1" s="4" t="s">
        <v>2727</v>
      </c>
      <c r="AB1" s="4" t="s">
        <v>2728</v>
      </c>
      <c r="AC1" s="4" t="s">
        <v>2783</v>
      </c>
      <c r="AD1" s="4" t="s">
        <v>2784</v>
      </c>
      <c r="AE1" s="4" t="s">
        <v>2785</v>
      </c>
      <c r="AF1" s="4" t="s">
        <v>2786</v>
      </c>
      <c r="AG1" s="4" t="s">
        <v>2787</v>
      </c>
      <c r="AH1" s="4" t="s">
        <v>2788</v>
      </c>
      <c r="AI1" s="4" t="s">
        <v>2789</v>
      </c>
      <c r="AJ1" s="4" t="s">
        <v>11</v>
      </c>
      <c r="AK1" s="4" t="s">
        <v>2729</v>
      </c>
      <c r="AL1" s="4" t="s">
        <v>2730</v>
      </c>
      <c r="AM1" s="4" t="s">
        <v>2731</v>
      </c>
      <c r="AN1" s="4" t="s">
        <v>2732</v>
      </c>
      <c r="AO1" s="4" t="s">
        <v>2733</v>
      </c>
      <c r="AP1" s="4" t="s">
        <v>2734</v>
      </c>
      <c r="AQ1" s="4" t="s">
        <v>2735</v>
      </c>
      <c r="AR1" s="4" t="s">
        <v>2736</v>
      </c>
      <c r="AS1" s="4" t="s">
        <v>2737</v>
      </c>
      <c r="AT1" s="4" t="s">
        <v>2738</v>
      </c>
      <c r="AU1" s="4" t="s">
        <v>2971</v>
      </c>
      <c r="AV1" s="4" t="s">
        <v>2972</v>
      </c>
    </row>
    <row r="2" spans="1:48" x14ac:dyDescent="0.45">
      <c r="A2" t="s">
        <v>12</v>
      </c>
      <c r="B2">
        <f t="shared" ref="B2:AV2" si="0">VLOOKUP($A$2,Data201819,COLUMN(),FALSE)</f>
        <v>2063</v>
      </c>
      <c r="C2" t="str">
        <f t="shared" si="0"/>
        <v>Adel SD 21</v>
      </c>
      <c r="D2">
        <f t="shared" si="0"/>
        <v>498</v>
      </c>
      <c r="E2" t="str">
        <f t="shared" si="0"/>
        <v>Adel Elementary School</v>
      </c>
      <c r="F2" t="str">
        <f t="shared" si="0"/>
        <v>Regular</v>
      </c>
      <c r="G2" t="str">
        <f t="shared" si="0"/>
        <v>Elementary</v>
      </c>
      <c r="H2" t="str">
        <f t="shared" si="0"/>
        <v>Not Virtual</v>
      </c>
      <c r="I2" t="str">
        <f t="shared" si="0"/>
        <v>Public</v>
      </c>
      <c r="J2">
        <f t="shared" si="0"/>
        <v>6.3941176470579997</v>
      </c>
      <c r="K2">
        <f t="shared" si="0"/>
        <v>0</v>
      </c>
      <c r="L2">
        <f t="shared" si="0"/>
        <v>0</v>
      </c>
      <c r="M2">
        <f t="shared" si="0"/>
        <v>2</v>
      </c>
      <c r="N2" s="6">
        <f t="shared" si="0"/>
        <v>74117.744445399294</v>
      </c>
      <c r="O2" s="6">
        <f t="shared" si="0"/>
        <v>17577.666752946501</v>
      </c>
      <c r="P2" s="6">
        <f t="shared" si="0"/>
        <v>41787.471783708403</v>
      </c>
      <c r="Q2" s="6">
        <f t="shared" si="0"/>
        <v>14187.4628102267</v>
      </c>
      <c r="R2" s="6">
        <f t="shared" si="0"/>
        <v>49390.426112157496</v>
      </c>
      <c r="S2" s="6">
        <f t="shared" si="0"/>
        <v>28103.3565650817</v>
      </c>
      <c r="T2" s="6">
        <f t="shared" si="0"/>
        <v>0</v>
      </c>
      <c r="U2" s="6">
        <f t="shared" si="0"/>
        <v>197060.77190443801</v>
      </c>
      <c r="V2" s="6">
        <f t="shared" si="0"/>
        <v>185136.78614666901</v>
      </c>
      <c r="W2" s="6">
        <f t="shared" si="0"/>
        <v>11923.9857577697</v>
      </c>
      <c r="X2" s="6">
        <f t="shared" si="0"/>
        <v>0</v>
      </c>
      <c r="Y2" s="6">
        <f t="shared" si="0"/>
        <v>0</v>
      </c>
      <c r="Z2" s="6">
        <f t="shared" si="0"/>
        <v>0</v>
      </c>
      <c r="AA2" s="6">
        <f t="shared" si="0"/>
        <v>0</v>
      </c>
      <c r="AB2" s="6">
        <f t="shared" si="0"/>
        <v>0</v>
      </c>
      <c r="AC2" s="6">
        <f t="shared" si="0"/>
        <v>27853.687973792701</v>
      </c>
      <c r="AD2" s="6">
        <f t="shared" si="0"/>
        <v>249.66859128907601</v>
      </c>
      <c r="AE2" s="6">
        <f t="shared" si="0"/>
        <v>0</v>
      </c>
      <c r="AF2" s="6">
        <f t="shared" si="0"/>
        <v>0</v>
      </c>
      <c r="AG2" s="6">
        <f t="shared" si="0"/>
        <v>0</v>
      </c>
      <c r="AH2" s="6">
        <f t="shared" si="0"/>
        <v>0</v>
      </c>
      <c r="AI2" s="6">
        <f t="shared" si="0"/>
        <v>0</v>
      </c>
      <c r="AJ2" s="6">
        <f t="shared" si="0"/>
        <v>225164.12846951999</v>
      </c>
      <c r="AK2" s="6">
        <f t="shared" si="0"/>
        <v>35214.261122192598</v>
      </c>
      <c r="AL2" s="6">
        <f t="shared" si="0"/>
        <v>330.98244656580999</v>
      </c>
      <c r="AM2" s="6">
        <f t="shared" si="0"/>
        <v>93035.839999999997</v>
      </c>
      <c r="AN2" s="6">
        <f t="shared" si="0"/>
        <v>35214.261122192598</v>
      </c>
      <c r="AO2" s="6">
        <f t="shared" si="0"/>
        <v>35214.261122192598</v>
      </c>
      <c r="AP2" s="6">
        <f t="shared" si="0"/>
        <v>330.98244656580999</v>
      </c>
      <c r="AQ2" s="6">
        <f t="shared" si="0"/>
        <v>93035.839999999997</v>
      </c>
      <c r="AR2" s="6">
        <f t="shared" si="0"/>
        <v>35214.261122192598</v>
      </c>
      <c r="AS2" s="6">
        <f t="shared" si="0"/>
        <v>35214.261122192598</v>
      </c>
      <c r="AT2" s="6">
        <f t="shared" si="0"/>
        <v>0</v>
      </c>
      <c r="AU2" s="6" t="str">
        <f t="shared" si="0"/>
        <v>No notes provided</v>
      </c>
      <c r="AV2" s="6" t="str">
        <f t="shared" si="0"/>
        <v>Expenditure data incorrectly reported. No expenses reported specifically at the school; only proportional expenses reported at district are reflected.</v>
      </c>
    </row>
    <row r="7" spans="1:48" x14ac:dyDescent="0.45">
      <c r="B7" s="4" t="str">
        <f t="shared" ref="B7:G8" si="1">N1</f>
        <v>Direct Classroom Expenditures</v>
      </c>
      <c r="C7" s="4" t="str">
        <f t="shared" si="1"/>
        <v>Classroom Support</v>
      </c>
      <c r="D7" s="4" t="str">
        <f t="shared" si="1"/>
        <v>Building Support</v>
      </c>
      <c r="E7" s="4" t="str">
        <f t="shared" si="1"/>
        <v>Central Support</v>
      </c>
      <c r="F7" s="4" t="str">
        <f t="shared" si="1"/>
        <v>Other Expenditures</v>
      </c>
      <c r="G7" s="4" t="str">
        <f t="shared" si="1"/>
        <v>ESD Direct Support</v>
      </c>
    </row>
    <row r="8" spans="1:48" x14ac:dyDescent="0.45">
      <c r="A8" t="str">
        <f>A2</f>
        <v>Adel SD 21, Adel Elementary School</v>
      </c>
      <c r="B8" s="4">
        <f t="shared" si="1"/>
        <v>74117.744445399294</v>
      </c>
      <c r="C8" s="4">
        <f t="shared" si="1"/>
        <v>17577.666752946501</v>
      </c>
      <c r="D8" s="4">
        <f t="shared" si="1"/>
        <v>41787.471783708403</v>
      </c>
      <c r="E8" s="4">
        <f t="shared" si="1"/>
        <v>14187.4628102267</v>
      </c>
      <c r="F8" s="4">
        <f t="shared" si="1"/>
        <v>49390.426112157496</v>
      </c>
      <c r="G8" s="4">
        <f t="shared" si="1"/>
        <v>28103.3565650817</v>
      </c>
    </row>
    <row r="10" spans="1:48" x14ac:dyDescent="0.45">
      <c r="B10" s="4" t="str">
        <f t="shared" ref="B10:R10" si="2">S1</f>
        <v>ESD Direct Support</v>
      </c>
      <c r="C10" s="4" t="str">
        <f t="shared" si="2"/>
        <v>School Expenditures</v>
      </c>
      <c r="D10" s="4" t="str">
        <f t="shared" si="2"/>
        <v>District Expenditures</v>
      </c>
      <c r="E10" s="4" t="str">
        <f t="shared" si="2"/>
        <v>General Fund</v>
      </c>
      <c r="F10" s="4" t="str">
        <f t="shared" si="2"/>
        <v>Special Revenue Funds</v>
      </c>
      <c r="G10" s="4" t="str">
        <f t="shared" si="2"/>
        <v>Debt Service Funds</v>
      </c>
      <c r="H10" s="4" t="str">
        <f t="shared" si="2"/>
        <v>Capital Project Funds</v>
      </c>
      <c r="I10" s="4" t="str">
        <f t="shared" si="2"/>
        <v>Enterprise Funds</v>
      </c>
      <c r="J10" s="4" t="str">
        <f t="shared" si="2"/>
        <v>Internal Service Funds</v>
      </c>
      <c r="K10" s="4" t="str">
        <f t="shared" si="2"/>
        <v>Trust and Agency Funds</v>
      </c>
      <c r="L10" s="4" t="str">
        <f t="shared" si="2"/>
        <v xml:space="preserve">General Fund </v>
      </c>
      <c r="M10" s="4" t="str">
        <f t="shared" si="2"/>
        <v xml:space="preserve">Special Revenue Funds </v>
      </c>
      <c r="N10" s="4" t="str">
        <f t="shared" si="2"/>
        <v xml:space="preserve">Debt Service Funds </v>
      </c>
      <c r="O10" s="4" t="str">
        <f t="shared" si="2"/>
        <v xml:space="preserve">Capital Project Funds </v>
      </c>
      <c r="P10" s="4" t="str">
        <f t="shared" si="2"/>
        <v xml:space="preserve">Enterprise Funds </v>
      </c>
      <c r="Q10" s="4" t="str">
        <f t="shared" si="2"/>
        <v xml:space="preserve">Internal Service Funds </v>
      </c>
      <c r="R10" s="4" t="str">
        <f t="shared" si="2"/>
        <v xml:space="preserve">Trust and Agency Funds </v>
      </c>
    </row>
    <row r="11" spans="1:48" x14ac:dyDescent="0.45">
      <c r="A11" t="s">
        <v>2790</v>
      </c>
      <c r="B11" s="9">
        <f>S2</f>
        <v>28103.3565650817</v>
      </c>
      <c r="C11" s="9">
        <f>T2</f>
        <v>0</v>
      </c>
      <c r="D11" s="9">
        <f>U2</f>
        <v>197060.77190443801</v>
      </c>
      <c r="E11" s="9"/>
      <c r="F11" s="9"/>
      <c r="G11" s="9"/>
      <c r="H11" s="9"/>
      <c r="I11" s="9"/>
      <c r="J11" s="9"/>
      <c r="K11" s="9"/>
      <c r="L11" s="9"/>
      <c r="M11" s="9"/>
      <c r="N11" s="9"/>
      <c r="O11" s="9"/>
      <c r="P11" s="9"/>
      <c r="Q11" s="9"/>
      <c r="R11" s="9"/>
    </row>
    <row r="12" spans="1:48" x14ac:dyDescent="0.45">
      <c r="A12" t="s">
        <v>2791</v>
      </c>
      <c r="B12" s="9"/>
      <c r="C12" s="9"/>
      <c r="D12" s="9"/>
      <c r="E12" s="9">
        <f t="shared" ref="E12:K12" si="3">V2</f>
        <v>185136.78614666901</v>
      </c>
      <c r="F12" s="9">
        <f t="shared" si="3"/>
        <v>11923.9857577697</v>
      </c>
      <c r="G12" s="9">
        <f t="shared" si="3"/>
        <v>0</v>
      </c>
      <c r="H12" s="9">
        <f t="shared" si="3"/>
        <v>0</v>
      </c>
      <c r="I12" s="9">
        <f t="shared" si="3"/>
        <v>0</v>
      </c>
      <c r="J12" s="9">
        <f t="shared" si="3"/>
        <v>0</v>
      </c>
      <c r="K12" s="9">
        <f t="shared" si="3"/>
        <v>0</v>
      </c>
      <c r="L12" s="9"/>
      <c r="M12" s="9"/>
      <c r="N12" s="9"/>
      <c r="O12" s="9"/>
      <c r="P12" s="9"/>
      <c r="Q12" s="9"/>
      <c r="R12" s="9"/>
    </row>
    <row r="13" spans="1:48" x14ac:dyDescent="0.45">
      <c r="A13" t="s">
        <v>2721</v>
      </c>
      <c r="B13" s="9"/>
      <c r="C13" s="9"/>
      <c r="D13" s="9"/>
      <c r="E13" s="9"/>
      <c r="F13" s="9"/>
      <c r="G13" s="9"/>
      <c r="H13" s="9"/>
      <c r="I13" s="9"/>
      <c r="J13" s="9"/>
      <c r="K13" s="9"/>
      <c r="L13" s="9">
        <f t="shared" ref="L13:R13" si="4">AC2</f>
        <v>27853.687973792701</v>
      </c>
      <c r="M13" s="9">
        <f t="shared" si="4"/>
        <v>249.66859128907601</v>
      </c>
      <c r="N13" s="9">
        <f t="shared" si="4"/>
        <v>0</v>
      </c>
      <c r="O13" s="9">
        <f t="shared" si="4"/>
        <v>0</v>
      </c>
      <c r="P13" s="9">
        <f t="shared" si="4"/>
        <v>0</v>
      </c>
      <c r="Q13" s="9">
        <f t="shared" si="4"/>
        <v>0</v>
      </c>
      <c r="R13" s="9">
        <f t="shared" si="4"/>
        <v>0</v>
      </c>
    </row>
    <row r="15" spans="1:48" x14ac:dyDescent="0.45">
      <c r="B15" s="4" t="s">
        <v>2792</v>
      </c>
      <c r="C15" s="4" t="s">
        <v>2793</v>
      </c>
      <c r="D15" s="4" t="str">
        <f>"This School: "&amp;TEXT(D16,"$#,###") &amp; " per pupil"</f>
        <v>This School: $35,214 per pupil</v>
      </c>
    </row>
    <row r="16" spans="1:48" x14ac:dyDescent="0.45">
      <c r="A16" t="s">
        <v>2794</v>
      </c>
      <c r="B16" s="6">
        <f>AM2</f>
        <v>93035.839999999997</v>
      </c>
      <c r="C16" s="6">
        <f>AL2</f>
        <v>330.98244656580999</v>
      </c>
      <c r="D16" s="6">
        <f>AK2</f>
        <v>35214.261122192598</v>
      </c>
    </row>
    <row r="17" spans="1:4" x14ac:dyDescent="0.45">
      <c r="A17" t="s">
        <v>2795</v>
      </c>
      <c r="B17" s="6">
        <f>AQ2</f>
        <v>93035.839999999997</v>
      </c>
      <c r="C17" s="6">
        <f>AP2</f>
        <v>330.98244656580999</v>
      </c>
      <c r="D17" s="6">
        <f>AK2</f>
        <v>35214.261122192598</v>
      </c>
    </row>
    <row r="18" spans="1:4" x14ac:dyDescent="0.45">
      <c r="A18" t="s">
        <v>2796</v>
      </c>
      <c r="B18" s="6">
        <f>AO2</f>
        <v>35214.261122192598</v>
      </c>
      <c r="C18" s="6">
        <f>AN2</f>
        <v>35214.261122192598</v>
      </c>
      <c r="D18" s="6">
        <f>AK2</f>
        <v>35214.261122192598</v>
      </c>
    </row>
    <row r="19" spans="1:4" x14ac:dyDescent="0.45">
      <c r="A19" t="s">
        <v>2797</v>
      </c>
      <c r="B19" s="6">
        <f>AS2</f>
        <v>35214.261122192598</v>
      </c>
      <c r="C19" s="6">
        <f>AR2</f>
        <v>35214.261122192598</v>
      </c>
      <c r="D19" s="6">
        <f>AK2</f>
        <v>35214.261122192598</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AD634F791A68E448BB12BA2A972606E" ma:contentTypeVersion="9" ma:contentTypeDescription="Create a new document." ma:contentTypeScope="" ma:versionID="4a28d3a6c841c990b00a279ff2874a0a">
  <xsd:schema xmlns:xsd="http://www.w3.org/2001/XMLSchema" xmlns:xs="http://www.w3.org/2001/XMLSchema" xmlns:p="http://schemas.microsoft.com/office/2006/metadata/properties" xmlns:ns1="http://schemas.microsoft.com/sharepoint/v3" xmlns:ns2="edb5ef48-5285-463e-a2b9-308f2d437c3d" xmlns:ns3="54031767-dd6d-417c-ab73-583408f47564" targetNamespace="http://schemas.microsoft.com/office/2006/metadata/properties" ma:root="true" ma:fieldsID="3a1546a14cda2ed46116909da332764f" ns1:_="" ns2:_="" ns3:_="">
    <xsd:import namespace="http://schemas.microsoft.com/sharepoint/v3"/>
    <xsd:import namespace="edb5ef48-5285-463e-a2b9-308f2d437c3d"/>
    <xsd:import namespace="54031767-dd6d-417c-ab73-583408f47564"/>
    <xsd:element name="properties">
      <xsd:complexType>
        <xsd:sequence>
          <xsd:element name="documentManagement">
            <xsd:complexType>
              <xsd:all>
                <xsd:element ref="ns1:PublishingStartDate" minOccurs="0"/>
                <xsd:element ref="ns1:PublishingExpirationDate" minOccurs="0"/>
                <xsd:element ref="ns2:Estimated_x0020_Creation_x0020_Date" minOccurs="0"/>
                <xsd:element ref="ns2:Remediation_x0020_Date" minOccurs="0"/>
                <xsd:element ref="ns2:Priority"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4" nillable="true" ma:displayName="Scheduling Start Date" ma:description="Scheduling Start Date is a site column created by the Publishing feature. It is used to specify the date and time on which this page will first appear to site visitors." ma:hidden="true" ma:internalName="PublishingStartDate">
      <xsd:simpleType>
        <xsd:restriction base="dms:Unknown"/>
      </xsd:simpleType>
    </xsd:element>
    <xsd:element name="PublishingExpirationDate" ma:index="5" nillable="true" ma:displayName="Scheduling End Date" ma:description="Scheduling End Date is a site column created by the Publishing feature. It is used to specify the date and time on which this page will no longer appear to site visitors."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edb5ef48-5285-463e-a2b9-308f2d437c3d" elementFormDefault="qualified">
    <xsd:import namespace="http://schemas.microsoft.com/office/2006/documentManagement/types"/>
    <xsd:import namespace="http://schemas.microsoft.com/office/infopath/2007/PartnerControls"/>
    <xsd:element name="Estimated_x0020_Creation_x0020_Date" ma:index="6" nillable="true" ma:displayName="Estimated Creation Date" ma:format="DateOnly" ma:internalName="Estimated_x0020_Creation_x0020_Date" ma:readOnly="false">
      <xsd:simpleType>
        <xsd:restriction base="dms:DateTime"/>
      </xsd:simpleType>
    </xsd:element>
    <xsd:element name="Remediation_x0020_Date" ma:index="7" nillable="true" ma:displayName="Remediation Date" ma:default="[today]" ma:format="DateOnly" ma:internalName="Remediation_x0020_Date" ma:readOnly="false">
      <xsd:simpleType>
        <xsd:restriction base="dms:DateTime"/>
      </xsd:simpleType>
    </xsd:element>
    <xsd:element name="Priority" ma:index="8" nillable="true" ma:displayName="Priority" ma:default="New" ma:description="What Priority Level Is This Document?" ma:format="RadioButtons" ma:internalName="Priority" ma:readOnly="false">
      <xsd:simpleType>
        <xsd:restriction base="dms:Choice">
          <xsd:enumeration value="New"/>
          <xsd:enumeration value="Legacy"/>
          <xsd:enumeration value="Tier 1"/>
          <xsd:enumeration value="Tier 2"/>
          <xsd:enumeration value="Tier 3"/>
        </xsd:restriction>
      </xsd:simpleType>
    </xsd:element>
  </xsd:schema>
  <xsd:schema xmlns:xsd="http://www.w3.org/2001/XMLSchema" xmlns:xs="http://www.w3.org/2001/XMLSchema" xmlns:dms="http://schemas.microsoft.com/office/2006/documentManagement/types" xmlns:pc="http://schemas.microsoft.com/office/infopath/2007/PartnerControls" targetNamespace="54031767-dd6d-417c-ab73-583408f47564"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9"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Estimated_x0020_Creation_x0020_Date xmlns="edb5ef48-5285-463e-a2b9-308f2d437c3d">2020-06-30T07:00:00+00:00</Estimated_x0020_Creation_x0020_Date>
    <Remediation_x0020_Date xmlns="edb5ef48-5285-463e-a2b9-308f2d437c3d">2020-06-30T07:00:00+00:00</Remediation_x0020_Date>
    <Priority xmlns="edb5ef48-5285-463e-a2b9-308f2d437c3d">New</Priority>
    <PublishingExpirationDate xmlns="http://schemas.microsoft.com/sharepoint/v3" xsi:nil="true"/>
    <PublishingStartDate xmlns="http://schemas.microsoft.com/sharepoint/v3" xsi:nil="true"/>
  </documentManagement>
</p:properties>
</file>

<file path=customXml/itemProps1.xml><?xml version="1.0" encoding="utf-8"?>
<ds:datastoreItem xmlns:ds="http://schemas.openxmlformats.org/officeDocument/2006/customXml" ds:itemID="{8348B64C-3484-4629-BE63-0914D8C1180D}"/>
</file>

<file path=customXml/itemProps2.xml><?xml version="1.0" encoding="utf-8"?>
<ds:datastoreItem xmlns:ds="http://schemas.openxmlformats.org/officeDocument/2006/customXml" ds:itemID="{F513249F-D771-477F-B493-7A95136845B3}"/>
</file>

<file path=customXml/itemProps3.xml><?xml version="1.0" encoding="utf-8"?>
<ds:datastoreItem xmlns:ds="http://schemas.openxmlformats.org/officeDocument/2006/customXml" ds:itemID="{50E7044F-E8F2-4C51-BA62-226FE8363F2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18-19 Charts</vt:lpstr>
      <vt:lpstr>18-19 Data</vt:lpstr>
      <vt:lpstr>Parameters</vt:lpstr>
      <vt:lpstr>Selected Data</vt:lpstr>
      <vt:lpstr>Data201819</vt:lpstr>
      <vt:lpstr>Institution</vt:lpstr>
    </vt:vector>
  </TitlesOfParts>
  <Company>Oregon Department of Education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2018-19 School Level Expenditure report </dc:title>
  <dc:creator>"nakamurl"</dc:creator>
  <cp:lastModifiedBy>"WiltfonM"</cp:lastModifiedBy>
  <cp:lastPrinted>2018-09-27T23:21:14Z</cp:lastPrinted>
  <dcterms:created xsi:type="dcterms:W3CDTF">2018-09-27T21:19:25Z</dcterms:created>
  <dcterms:modified xsi:type="dcterms:W3CDTF">2020-06-30T20:06:23Z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0x0101008AD634F791A68E448BB12BA2A972606E</vt:lpwstr>
  </property>
</Properties>
</file>